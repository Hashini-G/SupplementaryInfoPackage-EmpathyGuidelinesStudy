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gun0011/Desktop/Monash/1 - Work Tracker/Year  2 &amp; 3/Guidelines Impl Survey/Git Repo/"/>
    </mc:Choice>
  </mc:AlternateContent>
  <xr:revisionPtr revIDLastSave="0" documentId="13_ncr:1_{E8EA9416-2DB7-4C48-B7E0-41B72788FF41}" xr6:coauthVersionLast="47" xr6:coauthVersionMax="47" xr10:uidLastSave="{00000000-0000-0000-0000-000000000000}"/>
  <bookViews>
    <workbookView xWindow="0" yWindow="500" windowWidth="28800" windowHeight="17500" xr2:uid="{00000000-000D-0000-FFFF-FFFF00000000}"/>
  </bookViews>
  <sheets>
    <sheet name="readme" sheetId="1" r:id="rId1"/>
    <sheet name="Demographics - Data" sheetId="2" r:id="rId2"/>
    <sheet name="Demographics Analysis" sheetId="3" r:id="rId3"/>
    <sheet name="Guidelines - Data" sheetId="4" r:id="rId4"/>
    <sheet name="Guidelines Analysis - Quant" sheetId="5" r:id="rId5"/>
    <sheet name="Detailed Guidelines Analysis - " sheetId="6" r:id="rId6"/>
    <sheet name="Guidelines Analysis - Qual - Pr" sheetId="7" r:id="rId7"/>
    <sheet name="Guide. Analysis - Qual - Limita"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1" i="6" l="1"/>
  <c r="F91" i="6"/>
  <c r="F90" i="6"/>
  <c r="G90" i="6" s="1"/>
  <c r="G89" i="6"/>
  <c r="F89" i="6"/>
  <c r="F88" i="6"/>
  <c r="G88" i="6" s="1"/>
  <c r="G87" i="6"/>
  <c r="F87" i="6"/>
  <c r="F86" i="6"/>
  <c r="G86" i="6" s="1"/>
  <c r="G85" i="6"/>
  <c r="F85" i="6"/>
  <c r="F84" i="6"/>
  <c r="G84" i="6" s="1"/>
  <c r="G83" i="6"/>
  <c r="F83" i="6"/>
  <c r="F82" i="6"/>
  <c r="G82" i="6" s="1"/>
  <c r="G81" i="6"/>
  <c r="F81" i="6"/>
  <c r="F80" i="6"/>
  <c r="G80" i="6" s="1"/>
  <c r="G79" i="6"/>
  <c r="F79" i="6"/>
  <c r="F78" i="6"/>
  <c r="G78" i="6" s="1"/>
  <c r="G77" i="6"/>
  <c r="F77" i="6"/>
  <c r="F76" i="6"/>
  <c r="G76" i="6" s="1"/>
  <c r="G75" i="6"/>
  <c r="F75" i="6"/>
  <c r="AB69" i="6"/>
  <c r="AC69" i="6" s="1"/>
  <c r="O69" i="6"/>
  <c r="X69" i="6" s="1"/>
  <c r="H69" i="6"/>
  <c r="G69" i="6"/>
  <c r="F69" i="6"/>
  <c r="E69" i="6"/>
  <c r="M69" i="6" s="1"/>
  <c r="V69" i="6" s="1"/>
  <c r="D69" i="6"/>
  <c r="L69" i="6" s="1"/>
  <c r="U69" i="6" s="1"/>
  <c r="C69" i="6"/>
  <c r="C156" i="6" s="1"/>
  <c r="D156" i="6" s="1"/>
  <c r="V68" i="6"/>
  <c r="U68" i="6"/>
  <c r="H68" i="6"/>
  <c r="G68" i="6"/>
  <c r="O68" i="6" s="1"/>
  <c r="X68" i="6" s="1"/>
  <c r="F68" i="6"/>
  <c r="N68" i="6" s="1"/>
  <c r="W68" i="6" s="1"/>
  <c r="E68" i="6"/>
  <c r="M68" i="6" s="1"/>
  <c r="D68" i="6"/>
  <c r="L68" i="6" s="1"/>
  <c r="C68" i="6"/>
  <c r="AB68" i="6" s="1"/>
  <c r="AC68" i="6" s="1"/>
  <c r="H67" i="6"/>
  <c r="G67" i="6"/>
  <c r="F67" i="6"/>
  <c r="E67" i="6"/>
  <c r="M67" i="6" s="1"/>
  <c r="V67" i="6" s="1"/>
  <c r="D67" i="6"/>
  <c r="C67" i="6"/>
  <c r="P66" i="6"/>
  <c r="Y66" i="6" s="1"/>
  <c r="O66" i="6"/>
  <c r="X66" i="6" s="1"/>
  <c r="K66" i="6"/>
  <c r="T66" i="6" s="1"/>
  <c r="H66" i="6"/>
  <c r="G66" i="6"/>
  <c r="F66" i="6"/>
  <c r="E66" i="6"/>
  <c r="M66" i="6" s="1"/>
  <c r="V66" i="6" s="1"/>
  <c r="D66" i="6"/>
  <c r="L66" i="6" s="1"/>
  <c r="U66" i="6" s="1"/>
  <c r="C66" i="6"/>
  <c r="C153" i="6" s="1"/>
  <c r="D153" i="6" s="1"/>
  <c r="L65" i="6"/>
  <c r="U65" i="6" s="1"/>
  <c r="K65" i="6"/>
  <c r="T65" i="6" s="1"/>
  <c r="H65" i="6"/>
  <c r="G65" i="6"/>
  <c r="F65" i="6"/>
  <c r="E65" i="6"/>
  <c r="D65" i="6"/>
  <c r="C65" i="6"/>
  <c r="AB65" i="6" s="1"/>
  <c r="AC65" i="6" s="1"/>
  <c r="AB64" i="6"/>
  <c r="AC64" i="6" s="1"/>
  <c r="H64" i="6"/>
  <c r="G64" i="6"/>
  <c r="O64" i="6" s="1"/>
  <c r="X64" i="6" s="1"/>
  <c r="F64" i="6"/>
  <c r="E64" i="6"/>
  <c r="D64" i="6"/>
  <c r="C64" i="6"/>
  <c r="AB63" i="6"/>
  <c r="AC63" i="6" s="1"/>
  <c r="L63" i="6"/>
  <c r="U63" i="6" s="1"/>
  <c r="K63" i="6"/>
  <c r="T63" i="6" s="1"/>
  <c r="H63" i="6"/>
  <c r="P63" i="6" s="1"/>
  <c r="Y63" i="6" s="1"/>
  <c r="G63" i="6"/>
  <c r="F63" i="6"/>
  <c r="E63" i="6"/>
  <c r="D63" i="6"/>
  <c r="C63" i="6"/>
  <c r="C150" i="6" s="1"/>
  <c r="D150" i="6" s="1"/>
  <c r="AB62" i="6"/>
  <c r="AC62" i="6" s="1"/>
  <c r="H62" i="6"/>
  <c r="G62" i="6"/>
  <c r="F62" i="6"/>
  <c r="E62" i="6"/>
  <c r="D62" i="6"/>
  <c r="C62" i="6"/>
  <c r="H61" i="6"/>
  <c r="G61" i="6"/>
  <c r="F61" i="6"/>
  <c r="E61" i="6"/>
  <c r="O61" i="6" s="1"/>
  <c r="X61" i="6" s="1"/>
  <c r="D61" i="6"/>
  <c r="L61" i="6" s="1"/>
  <c r="U61" i="6" s="1"/>
  <c r="C61" i="6"/>
  <c r="AB61" i="6" s="1"/>
  <c r="AC61" i="6" s="1"/>
  <c r="H60" i="6"/>
  <c r="G60" i="6"/>
  <c r="F60" i="6"/>
  <c r="E60" i="6"/>
  <c r="D60" i="6"/>
  <c r="C60" i="6"/>
  <c r="N59" i="6"/>
  <c r="W59" i="6" s="1"/>
  <c r="M59" i="6"/>
  <c r="V59" i="6" s="1"/>
  <c r="H59" i="6"/>
  <c r="G59" i="6"/>
  <c r="F59" i="6"/>
  <c r="E59" i="6"/>
  <c r="D59" i="6"/>
  <c r="C59" i="6"/>
  <c r="P58" i="6"/>
  <c r="Y58" i="6" s="1"/>
  <c r="O58" i="6"/>
  <c r="X58" i="6" s="1"/>
  <c r="K58" i="6"/>
  <c r="T58" i="6" s="1"/>
  <c r="H58" i="6"/>
  <c r="G58" i="6"/>
  <c r="F58" i="6"/>
  <c r="E58" i="6"/>
  <c r="M58" i="6" s="1"/>
  <c r="V58" i="6" s="1"/>
  <c r="D58" i="6"/>
  <c r="L58" i="6" s="1"/>
  <c r="U58" i="6" s="1"/>
  <c r="C58" i="6"/>
  <c r="C145" i="6" s="1"/>
  <c r="D145" i="6" s="1"/>
  <c r="AB57" i="6"/>
  <c r="AC57" i="6" s="1"/>
  <c r="K57" i="6"/>
  <c r="T57" i="6" s="1"/>
  <c r="H57" i="6"/>
  <c r="G57" i="6"/>
  <c r="F57" i="6"/>
  <c r="E57" i="6"/>
  <c r="D57" i="6"/>
  <c r="C57" i="6"/>
  <c r="L57" i="6" s="1"/>
  <c r="U57" i="6" s="1"/>
  <c r="H56" i="6"/>
  <c r="G56" i="6"/>
  <c r="K56" i="6" s="1"/>
  <c r="T56" i="6" s="1"/>
  <c r="F56" i="6"/>
  <c r="E56" i="6"/>
  <c r="D56" i="6"/>
  <c r="C56" i="6"/>
  <c r="AB55" i="6"/>
  <c r="AC55" i="6" s="1"/>
  <c r="Y55" i="6"/>
  <c r="L55" i="6"/>
  <c r="U55" i="6" s="1"/>
  <c r="K55" i="6"/>
  <c r="T55" i="6" s="1"/>
  <c r="H55" i="6"/>
  <c r="P55" i="6" s="1"/>
  <c r="G55" i="6"/>
  <c r="F55" i="6"/>
  <c r="E55" i="6"/>
  <c r="D55" i="6"/>
  <c r="C55" i="6"/>
  <c r="C142" i="6" s="1"/>
  <c r="D142" i="6" s="1"/>
  <c r="H54" i="6"/>
  <c r="G54" i="6"/>
  <c r="F54" i="6"/>
  <c r="E54" i="6"/>
  <c r="D54" i="6"/>
  <c r="C54" i="6"/>
  <c r="O53" i="6"/>
  <c r="X53" i="6" s="1"/>
  <c r="H53" i="6"/>
  <c r="P53" i="6" s="1"/>
  <c r="Y53" i="6" s="1"/>
  <c r="G53" i="6"/>
  <c r="F53" i="6"/>
  <c r="E53" i="6"/>
  <c r="D53" i="6"/>
  <c r="C53" i="6"/>
  <c r="AB53" i="6" s="1"/>
  <c r="AC53" i="6" s="1"/>
  <c r="O43" i="6"/>
  <c r="X43" i="6" s="1"/>
  <c r="N43" i="6"/>
  <c r="W43" i="6" s="1"/>
  <c r="H43" i="6"/>
  <c r="G43" i="6"/>
  <c r="F43" i="6"/>
  <c r="E43" i="6"/>
  <c r="D43" i="6"/>
  <c r="C43" i="6"/>
  <c r="K42" i="6"/>
  <c r="T42" i="6" s="1"/>
  <c r="H42" i="6"/>
  <c r="G42" i="6"/>
  <c r="O42" i="6" s="1"/>
  <c r="X42" i="6" s="1"/>
  <c r="F42" i="6"/>
  <c r="E42" i="6"/>
  <c r="D42" i="6"/>
  <c r="C42" i="6"/>
  <c r="W41" i="6"/>
  <c r="H41" i="6"/>
  <c r="G41" i="6"/>
  <c r="F41" i="6"/>
  <c r="N41" i="6" s="1"/>
  <c r="E41" i="6"/>
  <c r="D41" i="6"/>
  <c r="C41" i="6"/>
  <c r="L41" i="6" s="1"/>
  <c r="U41" i="6" s="1"/>
  <c r="H40" i="6"/>
  <c r="G40" i="6"/>
  <c r="F40" i="6"/>
  <c r="E40" i="6"/>
  <c r="M40" i="6" s="1"/>
  <c r="V40" i="6" s="1"/>
  <c r="D40" i="6"/>
  <c r="C40" i="6"/>
  <c r="N40" i="6" s="1"/>
  <c r="W40" i="6" s="1"/>
  <c r="N39" i="6"/>
  <c r="W39" i="6" s="1"/>
  <c r="M39" i="6"/>
  <c r="V39" i="6" s="1"/>
  <c r="H39" i="6"/>
  <c r="G39" i="6"/>
  <c r="F39" i="6"/>
  <c r="E39" i="6"/>
  <c r="D39" i="6"/>
  <c r="C39" i="6"/>
  <c r="H38" i="6"/>
  <c r="G38" i="6"/>
  <c r="O38" i="6" s="1"/>
  <c r="X38" i="6" s="1"/>
  <c r="F38" i="6"/>
  <c r="E38" i="6"/>
  <c r="D38" i="6"/>
  <c r="C38" i="6"/>
  <c r="M37" i="6"/>
  <c r="V37" i="6" s="1"/>
  <c r="L37" i="6"/>
  <c r="U37" i="6" s="1"/>
  <c r="H37" i="6"/>
  <c r="G37" i="6"/>
  <c r="F37" i="6"/>
  <c r="E37" i="6"/>
  <c r="D37" i="6"/>
  <c r="C37" i="6"/>
  <c r="H36" i="6"/>
  <c r="G36" i="6"/>
  <c r="F36" i="6"/>
  <c r="E36" i="6"/>
  <c r="D36" i="6"/>
  <c r="L36" i="6" s="1"/>
  <c r="U36" i="6" s="1"/>
  <c r="C36" i="6"/>
  <c r="K36" i="6" s="1"/>
  <c r="T36" i="6" s="1"/>
  <c r="H35" i="6"/>
  <c r="G35" i="6"/>
  <c r="F35" i="6"/>
  <c r="N35" i="6" s="1"/>
  <c r="W35" i="6" s="1"/>
  <c r="E35" i="6"/>
  <c r="D35" i="6"/>
  <c r="C35" i="6"/>
  <c r="O34" i="6"/>
  <c r="X34" i="6" s="1"/>
  <c r="H34" i="6"/>
  <c r="G34" i="6"/>
  <c r="F34" i="6"/>
  <c r="E34" i="6"/>
  <c r="D34" i="6"/>
  <c r="C34" i="6"/>
  <c r="AB34" i="6" s="1"/>
  <c r="AC34" i="6" s="1"/>
  <c r="L33" i="6"/>
  <c r="U33" i="6" s="1"/>
  <c r="K33" i="6"/>
  <c r="T33" i="6" s="1"/>
  <c r="H33" i="6"/>
  <c r="G33" i="6"/>
  <c r="F33" i="6"/>
  <c r="E33" i="6"/>
  <c r="D33" i="6"/>
  <c r="C33" i="6"/>
  <c r="D102" i="6" s="1"/>
  <c r="G102" i="6" s="1"/>
  <c r="AB32" i="6"/>
  <c r="AC32" i="6" s="1"/>
  <c r="L32" i="6"/>
  <c r="U32" i="6" s="1"/>
  <c r="K32" i="6"/>
  <c r="T32" i="6" s="1"/>
  <c r="H32" i="6"/>
  <c r="G32" i="6"/>
  <c r="F32" i="6"/>
  <c r="E32" i="6"/>
  <c r="D32" i="6"/>
  <c r="C32" i="6"/>
  <c r="D101" i="6" s="1"/>
  <c r="G101" i="6" s="1"/>
  <c r="H31" i="6"/>
  <c r="G31" i="6"/>
  <c r="F31" i="6"/>
  <c r="N31" i="6" s="1"/>
  <c r="W31" i="6" s="1"/>
  <c r="E31" i="6"/>
  <c r="D31" i="6"/>
  <c r="AB31" i="6" s="1"/>
  <c r="AC31" i="6" s="1"/>
  <c r="C31" i="6"/>
  <c r="O30" i="6"/>
  <c r="X30" i="6" s="1"/>
  <c r="K30" i="6"/>
  <c r="T30" i="6" s="1"/>
  <c r="H30" i="6"/>
  <c r="G30" i="6"/>
  <c r="F30" i="6"/>
  <c r="N30" i="6" s="1"/>
  <c r="W30" i="6" s="1"/>
  <c r="E30" i="6"/>
  <c r="D30" i="6"/>
  <c r="L30" i="6" s="1"/>
  <c r="U30" i="6" s="1"/>
  <c r="C30" i="6"/>
  <c r="AB30" i="6" s="1"/>
  <c r="AC30" i="6" s="1"/>
  <c r="AB29" i="6"/>
  <c r="AC29" i="6" s="1"/>
  <c r="K29" i="6"/>
  <c r="T29" i="6" s="1"/>
  <c r="H29" i="6"/>
  <c r="G29" i="6"/>
  <c r="F29" i="6"/>
  <c r="E29" i="6"/>
  <c r="D29" i="6"/>
  <c r="C29" i="6"/>
  <c r="AB28" i="6"/>
  <c r="AC28" i="6" s="1"/>
  <c r="H28" i="6"/>
  <c r="G28" i="6"/>
  <c r="F28" i="6"/>
  <c r="E28" i="6"/>
  <c r="O28" i="6" s="1"/>
  <c r="X28" i="6" s="1"/>
  <c r="D28" i="6"/>
  <c r="L28" i="6" s="1"/>
  <c r="U28" i="6" s="1"/>
  <c r="C28" i="6"/>
  <c r="H27" i="6"/>
  <c r="G27" i="6"/>
  <c r="O27" i="6" s="1"/>
  <c r="X27" i="6" s="1"/>
  <c r="F27" i="6"/>
  <c r="E27" i="6"/>
  <c r="M27" i="6" s="1"/>
  <c r="V27" i="6" s="1"/>
  <c r="D27" i="6"/>
  <c r="C27" i="6"/>
  <c r="O20" i="6"/>
  <c r="X20" i="6" s="1"/>
  <c r="N20" i="6"/>
  <c r="W20" i="6" s="1"/>
  <c r="G20" i="6"/>
  <c r="F20" i="6"/>
  <c r="E20" i="6"/>
  <c r="D20" i="6"/>
  <c r="L20" i="6" s="1"/>
  <c r="U20" i="6" s="1"/>
  <c r="C20" i="6"/>
  <c r="G19" i="6"/>
  <c r="O19" i="6" s="1"/>
  <c r="X19" i="6" s="1"/>
  <c r="F19" i="6"/>
  <c r="E19" i="6"/>
  <c r="D19" i="6"/>
  <c r="C19" i="6"/>
  <c r="X18" i="6"/>
  <c r="G18" i="6"/>
  <c r="O18" i="6" s="1"/>
  <c r="F18" i="6"/>
  <c r="E18" i="6"/>
  <c r="D18" i="6"/>
  <c r="C18" i="6"/>
  <c r="G17" i="6"/>
  <c r="O17" i="6" s="1"/>
  <c r="X17" i="6" s="1"/>
  <c r="F17" i="6"/>
  <c r="E17" i="6"/>
  <c r="D17" i="6"/>
  <c r="C17" i="6"/>
  <c r="AB17" i="6" s="1"/>
  <c r="AC17" i="6" s="1"/>
  <c r="G16" i="6"/>
  <c r="F16" i="6"/>
  <c r="E16" i="6"/>
  <c r="D16" i="6"/>
  <c r="C16" i="6"/>
  <c r="AB16" i="6" s="1"/>
  <c r="AC16" i="6" s="1"/>
  <c r="G15" i="6"/>
  <c r="O15" i="6" s="1"/>
  <c r="X15" i="6" s="1"/>
  <c r="F15" i="6"/>
  <c r="E15" i="6"/>
  <c r="D15" i="6"/>
  <c r="C15" i="6"/>
  <c r="AB15" i="6" s="1"/>
  <c r="AC15" i="6" s="1"/>
  <c r="G14" i="6"/>
  <c r="F14" i="6"/>
  <c r="E14" i="6"/>
  <c r="D14" i="6"/>
  <c r="C14" i="6"/>
  <c r="L13" i="6"/>
  <c r="U13" i="6" s="1"/>
  <c r="K13" i="6"/>
  <c r="T13" i="6" s="1"/>
  <c r="G13" i="6"/>
  <c r="O13" i="6" s="1"/>
  <c r="X13" i="6" s="1"/>
  <c r="F13" i="6"/>
  <c r="C105" i="6" s="1"/>
  <c r="F105" i="6" s="1"/>
  <c r="E13" i="6"/>
  <c r="D13" i="6"/>
  <c r="C13" i="6"/>
  <c r="AB12" i="6"/>
  <c r="AC12" i="6" s="1"/>
  <c r="X12" i="6"/>
  <c r="G12" i="6"/>
  <c r="O12" i="6" s="1"/>
  <c r="F12" i="6"/>
  <c r="E12" i="6"/>
  <c r="D12" i="6"/>
  <c r="C12" i="6"/>
  <c r="M11" i="6"/>
  <c r="V11" i="6" s="1"/>
  <c r="L11" i="6"/>
  <c r="U11" i="6" s="1"/>
  <c r="G11" i="6"/>
  <c r="F11" i="6"/>
  <c r="E11" i="6"/>
  <c r="D11" i="6"/>
  <c r="C11" i="6"/>
  <c r="AB10" i="6"/>
  <c r="AC10" i="6" s="1"/>
  <c r="L10" i="6"/>
  <c r="U10" i="6" s="1"/>
  <c r="G10" i="6"/>
  <c r="F10" i="6"/>
  <c r="E10" i="6"/>
  <c r="D10" i="6"/>
  <c r="C10" i="6"/>
  <c r="N10" i="6" s="1"/>
  <c r="W10" i="6" s="1"/>
  <c r="O9" i="6"/>
  <c r="X9" i="6" s="1"/>
  <c r="N9" i="6"/>
  <c r="W9" i="6" s="1"/>
  <c r="M9" i="6"/>
  <c r="V9" i="6" s="1"/>
  <c r="G9" i="6"/>
  <c r="F9" i="6"/>
  <c r="E9" i="6"/>
  <c r="D9" i="6"/>
  <c r="C9" i="6"/>
  <c r="AB9" i="6" s="1"/>
  <c r="AC9" i="6" s="1"/>
  <c r="G8" i="6"/>
  <c r="F8" i="6"/>
  <c r="E8" i="6"/>
  <c r="D8" i="6"/>
  <c r="C8" i="6"/>
  <c r="G7" i="6"/>
  <c r="O7" i="6" s="1"/>
  <c r="X7" i="6" s="1"/>
  <c r="F7" i="6"/>
  <c r="E7" i="6"/>
  <c r="D7" i="6"/>
  <c r="C7" i="6"/>
  <c r="C99" i="6" s="1"/>
  <c r="F99" i="6" s="1"/>
  <c r="G6" i="6"/>
  <c r="F6" i="6"/>
  <c r="E6" i="6"/>
  <c r="D6" i="6"/>
  <c r="C6" i="6"/>
  <c r="L5" i="6"/>
  <c r="U5" i="6" s="1"/>
  <c r="K5" i="6"/>
  <c r="T5" i="6" s="1"/>
  <c r="G5" i="6"/>
  <c r="O5" i="6" s="1"/>
  <c r="X5" i="6" s="1"/>
  <c r="F5" i="6"/>
  <c r="E5" i="6"/>
  <c r="D5" i="6"/>
  <c r="C5" i="6"/>
  <c r="C97" i="6" s="1"/>
  <c r="F97" i="6" s="1"/>
  <c r="AB4" i="6"/>
  <c r="AC4" i="6" s="1"/>
  <c r="X4" i="6"/>
  <c r="G4" i="6"/>
  <c r="O4" i="6" s="1"/>
  <c r="F4" i="6"/>
  <c r="E4" i="6"/>
  <c r="D4" i="6"/>
  <c r="C4" i="6"/>
  <c r="H90" i="5"/>
  <c r="G90" i="5"/>
  <c r="F90" i="5"/>
  <c r="E90" i="5"/>
  <c r="D90" i="5"/>
  <c r="C90" i="5"/>
  <c r="H89" i="5"/>
  <c r="G89" i="5"/>
  <c r="F89" i="5"/>
  <c r="E89" i="5"/>
  <c r="D89" i="5"/>
  <c r="C89" i="5"/>
  <c r="H88" i="5"/>
  <c r="G88" i="5"/>
  <c r="F88" i="5"/>
  <c r="E88" i="5"/>
  <c r="D88" i="5"/>
  <c r="C88" i="5"/>
  <c r="H87" i="5"/>
  <c r="G87" i="5"/>
  <c r="F87" i="5"/>
  <c r="E87" i="5"/>
  <c r="D87" i="5"/>
  <c r="C87" i="5"/>
  <c r="H86" i="5"/>
  <c r="G86" i="5"/>
  <c r="F86" i="5"/>
  <c r="E86" i="5"/>
  <c r="D86" i="5"/>
  <c r="C86" i="5"/>
  <c r="H85" i="5"/>
  <c r="G85" i="5"/>
  <c r="F85" i="5"/>
  <c r="E85" i="5"/>
  <c r="D85" i="5"/>
  <c r="C85" i="5"/>
  <c r="H84" i="5"/>
  <c r="G84" i="5"/>
  <c r="F84" i="5"/>
  <c r="E84" i="5"/>
  <c r="D84" i="5"/>
  <c r="C84" i="5"/>
  <c r="H83" i="5"/>
  <c r="G83" i="5"/>
  <c r="F83" i="5"/>
  <c r="E83" i="5"/>
  <c r="D83" i="5"/>
  <c r="C83" i="5"/>
  <c r="H82" i="5"/>
  <c r="G82" i="5"/>
  <c r="F82" i="5"/>
  <c r="E82" i="5"/>
  <c r="D82" i="5"/>
  <c r="C82" i="5"/>
  <c r="H81" i="5"/>
  <c r="G81" i="5"/>
  <c r="F81" i="5"/>
  <c r="E81" i="5"/>
  <c r="D81" i="5"/>
  <c r="C81" i="5"/>
  <c r="H80" i="5"/>
  <c r="G80" i="5"/>
  <c r="F80" i="5"/>
  <c r="E80" i="5"/>
  <c r="D80" i="5"/>
  <c r="C80" i="5"/>
  <c r="H79" i="5"/>
  <c r="G79" i="5"/>
  <c r="F79" i="5"/>
  <c r="E79" i="5"/>
  <c r="D79" i="5"/>
  <c r="C79" i="5"/>
  <c r="H78" i="5"/>
  <c r="G78" i="5"/>
  <c r="F78" i="5"/>
  <c r="E78" i="5"/>
  <c r="D78" i="5"/>
  <c r="C78" i="5"/>
  <c r="H77" i="5"/>
  <c r="G77" i="5"/>
  <c r="F77" i="5"/>
  <c r="E77" i="5"/>
  <c r="D77" i="5"/>
  <c r="C77" i="5"/>
  <c r="H76" i="5"/>
  <c r="G76" i="5"/>
  <c r="F76" i="5"/>
  <c r="E76" i="5"/>
  <c r="D76" i="5"/>
  <c r="C76" i="5"/>
  <c r="H75" i="5"/>
  <c r="G75" i="5"/>
  <c r="F75" i="5"/>
  <c r="E75" i="5"/>
  <c r="D75" i="5"/>
  <c r="C75" i="5"/>
  <c r="H74" i="5"/>
  <c r="G74" i="5"/>
  <c r="F74" i="5"/>
  <c r="E74" i="5"/>
  <c r="D74" i="5"/>
  <c r="C74" i="5"/>
  <c r="J67" i="5"/>
  <c r="H67" i="5"/>
  <c r="G67" i="5"/>
  <c r="I67" i="5" s="1"/>
  <c r="F67" i="5"/>
  <c r="E67" i="5"/>
  <c r="D67" i="5"/>
  <c r="C67" i="5"/>
  <c r="J66" i="5"/>
  <c r="H66" i="5"/>
  <c r="G66" i="5"/>
  <c r="F66" i="5"/>
  <c r="E66" i="5"/>
  <c r="D66" i="5"/>
  <c r="C66" i="5"/>
  <c r="J65" i="5"/>
  <c r="H65" i="5"/>
  <c r="G65" i="5"/>
  <c r="I65" i="5" s="1"/>
  <c r="F65" i="5"/>
  <c r="E65" i="5"/>
  <c r="D65" i="5"/>
  <c r="C65" i="5"/>
  <c r="J64" i="5"/>
  <c r="H64" i="5"/>
  <c r="G64" i="5"/>
  <c r="I64" i="5" s="1"/>
  <c r="F64" i="5"/>
  <c r="D64" i="5"/>
  <c r="C64" i="5"/>
  <c r="E64" i="5" s="1"/>
  <c r="J63" i="5"/>
  <c r="H63" i="5"/>
  <c r="G63" i="5"/>
  <c r="I63" i="5" s="1"/>
  <c r="F63" i="5"/>
  <c r="E63" i="5"/>
  <c r="D63" i="5"/>
  <c r="C63" i="5"/>
  <c r="J62" i="5"/>
  <c r="H62" i="5"/>
  <c r="G62" i="5"/>
  <c r="I62" i="5" s="1"/>
  <c r="F62" i="5"/>
  <c r="E62" i="5"/>
  <c r="D62" i="5"/>
  <c r="C62" i="5"/>
  <c r="J61" i="5"/>
  <c r="H61" i="5"/>
  <c r="G61" i="5"/>
  <c r="I61" i="5" s="1"/>
  <c r="F61" i="5"/>
  <c r="D61" i="5"/>
  <c r="C61" i="5"/>
  <c r="E61" i="5" s="1"/>
  <c r="J60" i="5"/>
  <c r="H60" i="5"/>
  <c r="G60" i="5"/>
  <c r="F60" i="5"/>
  <c r="D60" i="5"/>
  <c r="C60" i="5"/>
  <c r="E60" i="5" s="1"/>
  <c r="J59" i="5"/>
  <c r="H59" i="5"/>
  <c r="G59" i="5"/>
  <c r="I59" i="5" s="1"/>
  <c r="F59" i="5"/>
  <c r="D59" i="5"/>
  <c r="C59" i="5"/>
  <c r="E59" i="5" s="1"/>
  <c r="J58" i="5"/>
  <c r="H58" i="5"/>
  <c r="G58" i="5"/>
  <c r="F58" i="5"/>
  <c r="D58" i="5"/>
  <c r="C58" i="5"/>
  <c r="E58" i="5" s="1"/>
  <c r="J57" i="5"/>
  <c r="H57" i="5"/>
  <c r="G57" i="5"/>
  <c r="I57" i="5" s="1"/>
  <c r="F57" i="5"/>
  <c r="E57" i="5"/>
  <c r="D57" i="5"/>
  <c r="C57" i="5"/>
  <c r="J56" i="5"/>
  <c r="H56" i="5"/>
  <c r="G56" i="5"/>
  <c r="I56" i="5" s="1"/>
  <c r="F56" i="5"/>
  <c r="D56" i="5"/>
  <c r="C56" i="5"/>
  <c r="E56" i="5" s="1"/>
  <c r="J55" i="5"/>
  <c r="H55" i="5"/>
  <c r="G55" i="5"/>
  <c r="I55" i="5" s="1"/>
  <c r="F55" i="5"/>
  <c r="E55" i="5"/>
  <c r="D55" i="5"/>
  <c r="C55" i="5"/>
  <c r="J54" i="5"/>
  <c r="H54" i="5"/>
  <c r="G54" i="5"/>
  <c r="I54" i="5" s="1"/>
  <c r="F54" i="5"/>
  <c r="D54" i="5"/>
  <c r="E54" i="5" s="1"/>
  <c r="C54" i="5"/>
  <c r="J53" i="5"/>
  <c r="H53" i="5"/>
  <c r="G53" i="5"/>
  <c r="I53" i="5" s="1"/>
  <c r="F53" i="5"/>
  <c r="D53" i="5"/>
  <c r="C53" i="5"/>
  <c r="E53" i="5" s="1"/>
  <c r="J52" i="5"/>
  <c r="H52" i="5"/>
  <c r="G52" i="5"/>
  <c r="F52" i="5"/>
  <c r="D52" i="5"/>
  <c r="C52" i="5"/>
  <c r="E52" i="5" s="1"/>
  <c r="J51" i="5"/>
  <c r="H51" i="5"/>
  <c r="G51" i="5"/>
  <c r="I51" i="5" s="1"/>
  <c r="F51" i="5"/>
  <c r="D51" i="5"/>
  <c r="C51" i="5"/>
  <c r="E51" i="5" s="1"/>
  <c r="H43" i="5"/>
  <c r="G43" i="5"/>
  <c r="F43" i="5"/>
  <c r="E43" i="5"/>
  <c r="D43" i="5"/>
  <c r="C43" i="5"/>
  <c r="H42" i="5"/>
  <c r="G42" i="5"/>
  <c r="F42" i="5"/>
  <c r="E42" i="5"/>
  <c r="D42" i="5"/>
  <c r="C42" i="5"/>
  <c r="H41" i="5"/>
  <c r="G41" i="5"/>
  <c r="F41" i="5"/>
  <c r="E41" i="5"/>
  <c r="D41" i="5"/>
  <c r="C41" i="5"/>
  <c r="H40" i="5"/>
  <c r="G40" i="5"/>
  <c r="F40" i="5"/>
  <c r="E40" i="5"/>
  <c r="D40" i="5"/>
  <c r="C40" i="5"/>
  <c r="H39" i="5"/>
  <c r="G39" i="5"/>
  <c r="F39" i="5"/>
  <c r="E39" i="5"/>
  <c r="D39" i="5"/>
  <c r="C39" i="5"/>
  <c r="H38" i="5"/>
  <c r="G38" i="5"/>
  <c r="F38" i="5"/>
  <c r="E38" i="5"/>
  <c r="D38" i="5"/>
  <c r="C38" i="5"/>
  <c r="H37" i="5"/>
  <c r="G37" i="5"/>
  <c r="F37" i="5"/>
  <c r="E37" i="5"/>
  <c r="D37" i="5"/>
  <c r="C37" i="5"/>
  <c r="H36" i="5"/>
  <c r="G36" i="5"/>
  <c r="F36" i="5"/>
  <c r="E36" i="5"/>
  <c r="D36" i="5"/>
  <c r="C36" i="5"/>
  <c r="H35" i="5"/>
  <c r="G35" i="5"/>
  <c r="F35" i="5"/>
  <c r="E35" i="5"/>
  <c r="D35" i="5"/>
  <c r="C35" i="5"/>
  <c r="H34" i="5"/>
  <c r="G34" i="5"/>
  <c r="F34" i="5"/>
  <c r="E34" i="5"/>
  <c r="D34" i="5"/>
  <c r="C34" i="5"/>
  <c r="H33" i="5"/>
  <c r="G33" i="5"/>
  <c r="F33" i="5"/>
  <c r="E33" i="5"/>
  <c r="D33" i="5"/>
  <c r="C33" i="5"/>
  <c r="H32" i="5"/>
  <c r="G32" i="5"/>
  <c r="F32" i="5"/>
  <c r="E32" i="5"/>
  <c r="D32" i="5"/>
  <c r="C32" i="5"/>
  <c r="H31" i="5"/>
  <c r="G31" i="5"/>
  <c r="F31" i="5"/>
  <c r="E31" i="5"/>
  <c r="D31" i="5"/>
  <c r="C31" i="5"/>
  <c r="H30" i="5"/>
  <c r="G30" i="5"/>
  <c r="F30" i="5"/>
  <c r="E30" i="5"/>
  <c r="D30" i="5"/>
  <c r="C30" i="5"/>
  <c r="H29" i="5"/>
  <c r="G29" i="5"/>
  <c r="F29" i="5"/>
  <c r="E29" i="5"/>
  <c r="D29" i="5"/>
  <c r="C29" i="5"/>
  <c r="H28" i="5"/>
  <c r="G28" i="5"/>
  <c r="F28" i="5"/>
  <c r="E28" i="5"/>
  <c r="D28" i="5"/>
  <c r="C28" i="5"/>
  <c r="H27" i="5"/>
  <c r="G27" i="5"/>
  <c r="F27" i="5"/>
  <c r="E27" i="5"/>
  <c r="D27" i="5"/>
  <c r="C27" i="5"/>
  <c r="G20" i="5"/>
  <c r="F20" i="5"/>
  <c r="E20" i="5"/>
  <c r="D20" i="5"/>
  <c r="C20" i="5"/>
  <c r="G19" i="5"/>
  <c r="F19" i="5"/>
  <c r="E19" i="5"/>
  <c r="D19" i="5"/>
  <c r="C19" i="5"/>
  <c r="G18" i="5"/>
  <c r="F18" i="5"/>
  <c r="E18" i="5"/>
  <c r="D18" i="5"/>
  <c r="C18" i="5"/>
  <c r="G17" i="5"/>
  <c r="F17" i="5"/>
  <c r="E17" i="5"/>
  <c r="D17" i="5"/>
  <c r="C17" i="5"/>
  <c r="G16" i="5"/>
  <c r="F16" i="5"/>
  <c r="E16" i="5"/>
  <c r="D16" i="5"/>
  <c r="C16" i="5"/>
  <c r="G15" i="5"/>
  <c r="F15" i="5"/>
  <c r="E15" i="5"/>
  <c r="D15" i="5"/>
  <c r="C15" i="5"/>
  <c r="G14" i="5"/>
  <c r="F14" i="5"/>
  <c r="E14" i="5"/>
  <c r="D14" i="5"/>
  <c r="C14" i="5"/>
  <c r="G13" i="5"/>
  <c r="F13" i="5"/>
  <c r="E13" i="5"/>
  <c r="D13" i="5"/>
  <c r="C13" i="5"/>
  <c r="G12" i="5"/>
  <c r="F12" i="5"/>
  <c r="E12" i="5"/>
  <c r="D12" i="5"/>
  <c r="C12" i="5"/>
  <c r="G11" i="5"/>
  <c r="F11" i="5"/>
  <c r="E11" i="5"/>
  <c r="D11" i="5"/>
  <c r="C11" i="5"/>
  <c r="G10" i="5"/>
  <c r="F10" i="5"/>
  <c r="E10" i="5"/>
  <c r="D10" i="5"/>
  <c r="C10" i="5"/>
  <c r="G9" i="5"/>
  <c r="F9" i="5"/>
  <c r="E9" i="5"/>
  <c r="D9" i="5"/>
  <c r="C9" i="5"/>
  <c r="G8" i="5"/>
  <c r="F8" i="5"/>
  <c r="E8" i="5"/>
  <c r="D8" i="5"/>
  <c r="C8" i="5"/>
  <c r="G7" i="5"/>
  <c r="F7" i="5"/>
  <c r="E7" i="5"/>
  <c r="D7" i="5"/>
  <c r="C7" i="5"/>
  <c r="G6" i="5"/>
  <c r="F6" i="5"/>
  <c r="E6" i="5"/>
  <c r="D6" i="5"/>
  <c r="C6" i="5"/>
  <c r="G5" i="5"/>
  <c r="F5" i="5"/>
  <c r="E5" i="5"/>
  <c r="D5" i="5"/>
  <c r="C5" i="5"/>
  <c r="G4" i="5"/>
  <c r="F4" i="5"/>
  <c r="E4" i="5"/>
  <c r="D4" i="5"/>
  <c r="C4" i="5"/>
  <c r="B94" i="3"/>
  <c r="B93" i="3"/>
  <c r="B92" i="3"/>
  <c r="B91" i="3"/>
  <c r="B90" i="3"/>
  <c r="B89" i="3"/>
  <c r="B88" i="3"/>
  <c r="B87" i="3"/>
  <c r="B86" i="3"/>
  <c r="B85" i="3"/>
  <c r="B84" i="3"/>
  <c r="B83" i="3"/>
  <c r="B82" i="3"/>
  <c r="B81" i="3"/>
  <c r="B80" i="3"/>
  <c r="B79" i="3"/>
  <c r="B78" i="3"/>
  <c r="B74" i="3"/>
  <c r="B73" i="3"/>
  <c r="B72" i="3"/>
  <c r="B71" i="3"/>
  <c r="B70" i="3"/>
  <c r="B66" i="3"/>
  <c r="B65" i="3"/>
  <c r="B64" i="3"/>
  <c r="B63" i="3"/>
  <c r="B62" i="3"/>
  <c r="C67" i="3" s="1"/>
  <c r="B58" i="3"/>
  <c r="C59" i="3" s="1"/>
  <c r="B57" i="3"/>
  <c r="B56" i="3"/>
  <c r="B55" i="3"/>
  <c r="B54" i="3"/>
  <c r="B50" i="3"/>
  <c r="B49" i="3"/>
  <c r="B48" i="3"/>
  <c r="B47" i="3"/>
  <c r="B46" i="3"/>
  <c r="B45" i="3"/>
  <c r="B44" i="3"/>
  <c r="B43" i="3"/>
  <c r="B42" i="3"/>
  <c r="B41" i="3"/>
  <c r="C51" i="3" s="1"/>
  <c r="B37" i="3"/>
  <c r="B36" i="3"/>
  <c r="B35" i="3"/>
  <c r="B34" i="3"/>
  <c r="B33" i="3"/>
  <c r="B32" i="3"/>
  <c r="B31" i="3"/>
  <c r="B30" i="3"/>
  <c r="B29" i="3"/>
  <c r="B28" i="3"/>
  <c r="B27" i="3"/>
  <c r="B26" i="3"/>
  <c r="B25" i="3"/>
  <c r="B24" i="3"/>
  <c r="B23" i="3"/>
  <c r="B22" i="3"/>
  <c r="C38" i="3" s="1"/>
  <c r="B21" i="3"/>
  <c r="B20" i="3"/>
  <c r="B19" i="3"/>
  <c r="B15" i="3"/>
  <c r="B14" i="3"/>
  <c r="C16" i="3" s="1"/>
  <c r="B10" i="3"/>
  <c r="B9" i="3"/>
  <c r="B8" i="3"/>
  <c r="B7" i="3"/>
  <c r="B6" i="3"/>
  <c r="B5" i="3"/>
  <c r="B4" i="3"/>
  <c r="B3" i="3"/>
  <c r="C11" i="3" s="1"/>
  <c r="N36" i="6" l="1"/>
  <c r="W36" i="6" s="1"/>
  <c r="C100" i="6"/>
  <c r="F100" i="6" s="1"/>
  <c r="AB8" i="6"/>
  <c r="AC8" i="6" s="1"/>
  <c r="K8" i="6"/>
  <c r="T8" i="6" s="1"/>
  <c r="L15" i="6"/>
  <c r="U15" i="6" s="1"/>
  <c r="K15" i="6"/>
  <c r="T15" i="6" s="1"/>
  <c r="K19" i="6"/>
  <c r="T19" i="6" s="1"/>
  <c r="N54" i="6"/>
  <c r="W54" i="6" s="1"/>
  <c r="M14" i="6"/>
  <c r="V14" i="6" s="1"/>
  <c r="L14" i="6"/>
  <c r="U14" i="6" s="1"/>
  <c r="M54" i="6"/>
  <c r="V54" i="6" s="1"/>
  <c r="K54" i="6"/>
  <c r="T54" i="6" s="1"/>
  <c r="C154" i="6"/>
  <c r="D154" i="6" s="1"/>
  <c r="AB67" i="6"/>
  <c r="AC67" i="6" s="1"/>
  <c r="K67" i="6"/>
  <c r="T67" i="6" s="1"/>
  <c r="O67" i="6"/>
  <c r="X67" i="6" s="1"/>
  <c r="N6" i="6"/>
  <c r="W6" i="6" s="1"/>
  <c r="N14" i="6"/>
  <c r="W14" i="6" s="1"/>
  <c r="O31" i="6"/>
  <c r="X31" i="6" s="1"/>
  <c r="AB7" i="6"/>
  <c r="AC7" i="6" s="1"/>
  <c r="L7" i="6"/>
  <c r="U7" i="6" s="1"/>
  <c r="K7" i="6"/>
  <c r="T7" i="6" s="1"/>
  <c r="P56" i="6"/>
  <c r="Y56" i="6" s="1"/>
  <c r="O6" i="6"/>
  <c r="X6" i="6" s="1"/>
  <c r="C103" i="6"/>
  <c r="F103" i="6" s="1"/>
  <c r="O11" i="6"/>
  <c r="X11" i="6" s="1"/>
  <c r="N11" i="6"/>
  <c r="W11" i="6" s="1"/>
  <c r="M16" i="6"/>
  <c r="V16" i="6" s="1"/>
  <c r="L16" i="6"/>
  <c r="U16" i="6" s="1"/>
  <c r="K16" i="6"/>
  <c r="T16" i="6" s="1"/>
  <c r="L19" i="6"/>
  <c r="U19" i="6" s="1"/>
  <c r="M33" i="6"/>
  <c r="V33" i="6" s="1"/>
  <c r="O54" i="6"/>
  <c r="X54" i="6" s="1"/>
  <c r="O60" i="6"/>
  <c r="X60" i="6" s="1"/>
  <c r="N7" i="6"/>
  <c r="W7" i="6" s="1"/>
  <c r="K14" i="6"/>
  <c r="T14" i="6" s="1"/>
  <c r="L43" i="6"/>
  <c r="U43" i="6" s="1"/>
  <c r="P54" i="6"/>
  <c r="Y54" i="6" s="1"/>
  <c r="O56" i="6"/>
  <c r="X56" i="6" s="1"/>
  <c r="N65" i="6"/>
  <c r="W65" i="6" s="1"/>
  <c r="M6" i="6"/>
  <c r="V6" i="6" s="1"/>
  <c r="L6" i="6"/>
  <c r="U6" i="6" s="1"/>
  <c r="M60" i="6"/>
  <c r="V60" i="6" s="1"/>
  <c r="C147" i="6"/>
  <c r="D147" i="6" s="1"/>
  <c r="K60" i="6"/>
  <c r="T60" i="6" s="1"/>
  <c r="AB60" i="6"/>
  <c r="AC60" i="6" s="1"/>
  <c r="N27" i="6"/>
  <c r="W27" i="6" s="1"/>
  <c r="N60" i="6"/>
  <c r="W60" i="6" s="1"/>
  <c r="L67" i="6"/>
  <c r="U67" i="6" s="1"/>
  <c r="K4" i="6"/>
  <c r="T4" i="6" s="1"/>
  <c r="L9" i="6"/>
  <c r="U9" i="6" s="1"/>
  <c r="M10" i="6"/>
  <c r="V10" i="6" s="1"/>
  <c r="K12" i="6"/>
  <c r="T12" i="6" s="1"/>
  <c r="N16" i="6"/>
  <c r="W16" i="6" s="1"/>
  <c r="M17" i="6"/>
  <c r="V17" i="6" s="1"/>
  <c r="K17" i="6"/>
  <c r="T17" i="6" s="1"/>
  <c r="M35" i="6"/>
  <c r="V35" i="6" s="1"/>
  <c r="O41" i="6"/>
  <c r="X41" i="6" s="1"/>
  <c r="AB41" i="6"/>
  <c r="AC41" i="6" s="1"/>
  <c r="M43" i="6"/>
  <c r="V43" i="6" s="1"/>
  <c r="AB56" i="6"/>
  <c r="AC56" i="6" s="1"/>
  <c r="C146" i="6"/>
  <c r="D146" i="6" s="1"/>
  <c r="AB59" i="6"/>
  <c r="AC59" i="6" s="1"/>
  <c r="K59" i="6"/>
  <c r="T59" i="6" s="1"/>
  <c r="O59" i="6"/>
  <c r="X59" i="6" s="1"/>
  <c r="P60" i="6"/>
  <c r="Y60" i="6" s="1"/>
  <c r="M62" i="6"/>
  <c r="V62" i="6" s="1"/>
  <c r="K62" i="6"/>
  <c r="T62" i="6" s="1"/>
  <c r="I52" i="5"/>
  <c r="I60" i="5"/>
  <c r="L4" i="6"/>
  <c r="U4" i="6" s="1"/>
  <c r="AB11" i="6"/>
  <c r="AC11" i="6" s="1"/>
  <c r="L12" i="6"/>
  <c r="U12" i="6" s="1"/>
  <c r="N17" i="6"/>
  <c r="W17" i="6" s="1"/>
  <c r="M18" i="6"/>
  <c r="V18" i="6" s="1"/>
  <c r="L18" i="6"/>
  <c r="U18" i="6" s="1"/>
  <c r="AB18" i="6"/>
  <c r="AC18" i="6" s="1"/>
  <c r="K18" i="6"/>
  <c r="T18" i="6" s="1"/>
  <c r="AB20" i="6"/>
  <c r="AC20" i="6" s="1"/>
  <c r="C112" i="6"/>
  <c r="F112" i="6" s="1"/>
  <c r="K20" i="6"/>
  <c r="T20" i="6" s="1"/>
  <c r="N29" i="6"/>
  <c r="W29" i="6" s="1"/>
  <c r="L34" i="6"/>
  <c r="U34" i="6" s="1"/>
  <c r="AB35" i="6"/>
  <c r="AC35" i="6" s="1"/>
  <c r="L38" i="6"/>
  <c r="U38" i="6" s="1"/>
  <c r="K39" i="6"/>
  <c r="T39" i="6" s="1"/>
  <c r="D108" i="6"/>
  <c r="G108" i="6" s="1"/>
  <c r="AB39" i="6"/>
  <c r="AC39" i="6" s="1"/>
  <c r="O39" i="6"/>
  <c r="X39" i="6" s="1"/>
  <c r="N42" i="6"/>
  <c r="W42" i="6" s="1"/>
  <c r="L53" i="6"/>
  <c r="U53" i="6" s="1"/>
  <c r="L59" i="6"/>
  <c r="U59" i="6" s="1"/>
  <c r="P61" i="6"/>
  <c r="Y61" i="6" s="1"/>
  <c r="N62" i="6"/>
  <c r="W62" i="6" s="1"/>
  <c r="P64" i="6"/>
  <c r="Y64" i="6" s="1"/>
  <c r="C107" i="6"/>
  <c r="F107" i="6" s="1"/>
  <c r="L8" i="6"/>
  <c r="U8" i="6" s="1"/>
  <c r="O14" i="6"/>
  <c r="X14" i="6" s="1"/>
  <c r="O35" i="6"/>
  <c r="X35" i="6" s="1"/>
  <c r="K43" i="6"/>
  <c r="T43" i="6" s="1"/>
  <c r="D112" i="6"/>
  <c r="G112" i="6" s="1"/>
  <c r="AB43" i="6"/>
  <c r="AC43" i="6" s="1"/>
  <c r="C152" i="6"/>
  <c r="D152" i="6" s="1"/>
  <c r="O65" i="6"/>
  <c r="X65" i="6" s="1"/>
  <c r="M65" i="6"/>
  <c r="V65" i="6" s="1"/>
  <c r="K6" i="6"/>
  <c r="T6" i="6" s="1"/>
  <c r="C101" i="6"/>
  <c r="F101" i="6" s="1"/>
  <c r="K9" i="6"/>
  <c r="T9" i="6" s="1"/>
  <c r="M4" i="6"/>
  <c r="V4" i="6" s="1"/>
  <c r="N5" i="6"/>
  <c r="W5" i="6" s="1"/>
  <c r="AB5" i="6"/>
  <c r="AC5" i="6" s="1"/>
  <c r="M5" i="6"/>
  <c r="V5" i="6" s="1"/>
  <c r="AB6" i="6"/>
  <c r="AC6" i="6" s="1"/>
  <c r="N8" i="6"/>
  <c r="W8" i="6" s="1"/>
  <c r="C102" i="6"/>
  <c r="F102" i="6" s="1"/>
  <c r="K10" i="6"/>
  <c r="T10" i="6" s="1"/>
  <c r="O10" i="6"/>
  <c r="X10" i="6" s="1"/>
  <c r="M12" i="6"/>
  <c r="V12" i="6" s="1"/>
  <c r="N13" i="6"/>
  <c r="W13" i="6" s="1"/>
  <c r="AB13" i="6"/>
  <c r="AC13" i="6" s="1"/>
  <c r="M13" i="6"/>
  <c r="V13" i="6" s="1"/>
  <c r="AB14" i="6"/>
  <c r="AC14" i="6" s="1"/>
  <c r="O16" i="6"/>
  <c r="X16" i="6" s="1"/>
  <c r="N18" i="6"/>
  <c r="W18" i="6" s="1"/>
  <c r="O29" i="6"/>
  <c r="X29" i="6" s="1"/>
  <c r="L29" i="6"/>
  <c r="U29" i="6" s="1"/>
  <c r="L31" i="6"/>
  <c r="U31" i="6" s="1"/>
  <c r="M34" i="6"/>
  <c r="V34" i="6" s="1"/>
  <c r="K34" i="6"/>
  <c r="T34" i="6" s="1"/>
  <c r="M38" i="6"/>
  <c r="V38" i="6" s="1"/>
  <c r="K38" i="6"/>
  <c r="T38" i="6" s="1"/>
  <c r="D109" i="6"/>
  <c r="G109" i="6" s="1"/>
  <c r="K40" i="6"/>
  <c r="T40" i="6" s="1"/>
  <c r="AB40" i="6"/>
  <c r="AC40" i="6" s="1"/>
  <c r="O40" i="6"/>
  <c r="X40" i="6" s="1"/>
  <c r="M53" i="6"/>
  <c r="V53" i="6" s="1"/>
  <c r="K53" i="6"/>
  <c r="T53" i="6" s="1"/>
  <c r="AB54" i="6"/>
  <c r="AC54" i="6" s="1"/>
  <c r="C143" i="6"/>
  <c r="D143" i="6" s="1"/>
  <c r="C144" i="6"/>
  <c r="D144" i="6" s="1"/>
  <c r="O57" i="6"/>
  <c r="X57" i="6" s="1"/>
  <c r="M57" i="6"/>
  <c r="V57" i="6" s="1"/>
  <c r="O62" i="6"/>
  <c r="X62" i="6" s="1"/>
  <c r="K64" i="6"/>
  <c r="T64" i="6" s="1"/>
  <c r="C109" i="6"/>
  <c r="F109" i="6" s="1"/>
  <c r="M7" i="6"/>
  <c r="V7" i="6" s="1"/>
  <c r="M15" i="6"/>
  <c r="V15" i="6" s="1"/>
  <c r="M28" i="6"/>
  <c r="V28" i="6" s="1"/>
  <c r="K28" i="6"/>
  <c r="T28" i="6" s="1"/>
  <c r="D106" i="6"/>
  <c r="G106" i="6" s="1"/>
  <c r="K37" i="6"/>
  <c r="T37" i="6" s="1"/>
  <c r="AB37" i="6"/>
  <c r="AC37" i="6" s="1"/>
  <c r="M61" i="6"/>
  <c r="V61" i="6" s="1"/>
  <c r="K61" i="6"/>
  <c r="T61" i="6" s="1"/>
  <c r="M8" i="6"/>
  <c r="V8" i="6" s="1"/>
  <c r="N15" i="6"/>
  <c r="W15" i="6" s="1"/>
  <c r="AB33" i="6"/>
  <c r="AC33" i="6" s="1"/>
  <c r="I58" i="5"/>
  <c r="I66" i="5"/>
  <c r="O8" i="6"/>
  <c r="X8" i="6" s="1"/>
  <c r="K11" i="6"/>
  <c r="T11" i="6" s="1"/>
  <c r="N19" i="6"/>
  <c r="W19" i="6" s="1"/>
  <c r="L27" i="6"/>
  <c r="U27" i="6" s="1"/>
  <c r="AB27" i="6"/>
  <c r="AC27" i="6" s="1"/>
  <c r="M31" i="6"/>
  <c r="V31" i="6" s="1"/>
  <c r="D105" i="6"/>
  <c r="G105" i="6" s="1"/>
  <c r="AB36" i="6"/>
  <c r="AC36" i="6" s="1"/>
  <c r="O36" i="6"/>
  <c r="X36" i="6" s="1"/>
  <c r="M36" i="6"/>
  <c r="V36" i="6" s="1"/>
  <c r="N38" i="6"/>
  <c r="W38" i="6" s="1"/>
  <c r="L40" i="6"/>
  <c r="U40" i="6" s="1"/>
  <c r="N57" i="6"/>
  <c r="W57" i="6" s="1"/>
  <c r="L60" i="6"/>
  <c r="U60" i="6" s="1"/>
  <c r="P62" i="6"/>
  <c r="Y62" i="6" s="1"/>
  <c r="N67" i="6"/>
  <c r="W67" i="6" s="1"/>
  <c r="C111" i="6"/>
  <c r="F111" i="6" s="1"/>
  <c r="C96" i="6"/>
  <c r="F96" i="6" s="1"/>
  <c r="N4" i="6"/>
  <c r="W4" i="6" s="1"/>
  <c r="C104" i="6"/>
  <c r="F104" i="6" s="1"/>
  <c r="N12" i="6"/>
  <c r="W12" i="6" s="1"/>
  <c r="M20" i="6"/>
  <c r="V20" i="6" s="1"/>
  <c r="M32" i="6"/>
  <c r="V32" i="6" s="1"/>
  <c r="N34" i="6"/>
  <c r="W34" i="6" s="1"/>
  <c r="N37" i="6"/>
  <c r="W37" i="6" s="1"/>
  <c r="L39" i="6"/>
  <c r="U39" i="6" s="1"/>
  <c r="M55" i="6"/>
  <c r="V55" i="6" s="1"/>
  <c r="M63" i="6"/>
  <c r="V63" i="6" s="1"/>
  <c r="L17" i="6"/>
  <c r="U17" i="6" s="1"/>
  <c r="AB19" i="6"/>
  <c r="AC19" i="6" s="1"/>
  <c r="D98" i="6"/>
  <c r="G98" i="6" s="1"/>
  <c r="M29" i="6"/>
  <c r="V29" i="6" s="1"/>
  <c r="M30" i="6"/>
  <c r="V30" i="6" s="1"/>
  <c r="N32" i="6"/>
  <c r="W32" i="6" s="1"/>
  <c r="K35" i="6"/>
  <c r="T35" i="6" s="1"/>
  <c r="D104" i="6"/>
  <c r="G104" i="6" s="1"/>
  <c r="O37" i="6"/>
  <c r="X37" i="6" s="1"/>
  <c r="K41" i="6"/>
  <c r="T41" i="6" s="1"/>
  <c r="AB42" i="6"/>
  <c r="AC42" i="6" s="1"/>
  <c r="N55" i="6"/>
  <c r="W55" i="6" s="1"/>
  <c r="L56" i="6"/>
  <c r="U56" i="6" s="1"/>
  <c r="N58" i="6"/>
  <c r="W58" i="6" s="1"/>
  <c r="P59" i="6"/>
  <c r="Y59" i="6" s="1"/>
  <c r="N63" i="6"/>
  <c r="W63" i="6" s="1"/>
  <c r="L64" i="6"/>
  <c r="U64" i="6" s="1"/>
  <c r="N66" i="6"/>
  <c r="W66" i="6" s="1"/>
  <c r="P67" i="6"/>
  <c r="Y67" i="6" s="1"/>
  <c r="P68" i="6"/>
  <c r="Y68" i="6" s="1"/>
  <c r="N69" i="6"/>
  <c r="W69" i="6" s="1"/>
  <c r="C98" i="6"/>
  <c r="F98" i="6" s="1"/>
  <c r="C106" i="6"/>
  <c r="F106" i="6" s="1"/>
  <c r="D97" i="6"/>
  <c r="G97" i="6" s="1"/>
  <c r="O32" i="6"/>
  <c r="X32" i="6" s="1"/>
  <c r="N33" i="6"/>
  <c r="W33" i="6" s="1"/>
  <c r="L35" i="6"/>
  <c r="U35" i="6" s="1"/>
  <c r="L42" i="6"/>
  <c r="U42" i="6" s="1"/>
  <c r="C140" i="6"/>
  <c r="D140" i="6" s="1"/>
  <c r="C141" i="6"/>
  <c r="D141" i="6" s="1"/>
  <c r="O55" i="6"/>
  <c r="X55" i="6" s="1"/>
  <c r="M56" i="6"/>
  <c r="V56" i="6" s="1"/>
  <c r="AB58" i="6"/>
  <c r="AC58" i="6" s="1"/>
  <c r="C148" i="6"/>
  <c r="D148" i="6" s="1"/>
  <c r="C149" i="6"/>
  <c r="D149" i="6" s="1"/>
  <c r="O63" i="6"/>
  <c r="X63" i="6" s="1"/>
  <c r="M64" i="6"/>
  <c r="V64" i="6" s="1"/>
  <c r="AB66" i="6"/>
  <c r="AC66" i="6" s="1"/>
  <c r="K68" i="6"/>
  <c r="T68" i="6" s="1"/>
  <c r="C108" i="6"/>
  <c r="F108" i="6" s="1"/>
  <c r="C110" i="6"/>
  <c r="F110" i="6" s="1"/>
  <c r="M19" i="6"/>
  <c r="V19" i="6" s="1"/>
  <c r="K27" i="6"/>
  <c r="T27" i="6" s="1"/>
  <c r="D96" i="6"/>
  <c r="G96" i="6" s="1"/>
  <c r="N28" i="6"/>
  <c r="W28" i="6" s="1"/>
  <c r="K31" i="6"/>
  <c r="T31" i="6" s="1"/>
  <c r="D100" i="6"/>
  <c r="G100" i="6" s="1"/>
  <c r="O33" i="6"/>
  <c r="X33" i="6" s="1"/>
  <c r="AB38" i="6"/>
  <c r="AC38" i="6" s="1"/>
  <c r="D110" i="6"/>
  <c r="G110" i="6" s="1"/>
  <c r="M41" i="6"/>
  <c r="V41" i="6" s="1"/>
  <c r="M42" i="6"/>
  <c r="V42" i="6" s="1"/>
  <c r="N53" i="6"/>
  <c r="W53" i="6" s="1"/>
  <c r="L54" i="6"/>
  <c r="U54" i="6" s="1"/>
  <c r="N56" i="6"/>
  <c r="W56" i="6" s="1"/>
  <c r="P57" i="6"/>
  <c r="Y57" i="6" s="1"/>
  <c r="N61" i="6"/>
  <c r="W61" i="6" s="1"/>
  <c r="L62" i="6"/>
  <c r="U62" i="6" s="1"/>
  <c r="N64" i="6"/>
  <c r="W64" i="6" s="1"/>
  <c r="P65" i="6"/>
  <c r="Y65" i="6" s="1"/>
  <c r="P69" i="6"/>
  <c r="Y69" i="6" s="1"/>
  <c r="C151" i="6"/>
  <c r="D151" i="6" s="1"/>
  <c r="K69" i="6"/>
  <c r="T69" i="6" s="1"/>
  <c r="C155" i="6"/>
  <c r="D155" i="6" s="1"/>
  <c r="D99" i="6"/>
  <c r="G99" i="6" s="1"/>
  <c r="D103" i="6"/>
  <c r="G103" i="6" s="1"/>
  <c r="D107" i="6"/>
  <c r="G107" i="6" s="1"/>
  <c r="D111" i="6"/>
  <c r="G111" i="6" s="1"/>
  <c r="G118" i="6" l="1"/>
  <c r="F118" i="6"/>
</calcChain>
</file>

<file path=xl/sharedStrings.xml><?xml version="1.0" encoding="utf-8"?>
<sst xmlns="http://schemas.openxmlformats.org/spreadsheetml/2006/main" count="7716" uniqueCount="1018">
  <si>
    <t>Age group</t>
  </si>
  <si>
    <t>Gender</t>
  </si>
  <si>
    <t>Country of your residence when you were working on your most recent role where you interacted with other software practitioners?</t>
  </si>
  <si>
    <t>Years of experience do you have in working as a software practitioner</t>
  </si>
  <si>
    <t>Title/designation of your current role?</t>
  </si>
  <si>
    <t>Responsibilities of your current role</t>
  </si>
  <si>
    <t>Software development methodologies have you primarily been involved in</t>
  </si>
  <si>
    <t>primary domain you have been involved in your current role</t>
  </si>
  <si>
    <t>Nature of the organisation you are affiliated with in your current role</t>
  </si>
  <si>
    <t>Team members in your current team</t>
  </si>
  <si>
    <t>20 - 30</t>
  </si>
  <si>
    <t>Man</t>
  </si>
  <si>
    <t>Mexico</t>
  </si>
  <si>
    <t>Between 3-5 years</t>
  </si>
  <si>
    <t>Customer Success/Product Manager</t>
  </si>
  <si>
    <t>I manage customer communication, I serve as the main point of contact for client, I ensure the communication with client and our internal team, including development and operations. I coordinate sprint delivery sessions and present platform updates.</t>
  </si>
  <si>
    <t>Agile - Scrum</t>
  </si>
  <si>
    <t>IT</t>
  </si>
  <si>
    <t>Small (10 -100 employees)</t>
  </si>
  <si>
    <t>Less than or equal to 5</t>
  </si>
  <si>
    <t>31-40</t>
  </si>
  <si>
    <t>New Zealand</t>
  </si>
  <si>
    <t>Between 5-10 years</t>
  </si>
  <si>
    <t>Software engineer</t>
  </si>
  <si>
    <t>Development</t>
  </si>
  <si>
    <t>Agile - Kanban</t>
  </si>
  <si>
    <t>Finance</t>
  </si>
  <si>
    <t>Large (More than 500 employees)</t>
  </si>
  <si>
    <t>5 - 10</t>
  </si>
  <si>
    <t>Canada</t>
  </si>
  <si>
    <t>Fullstack Developer</t>
  </si>
  <si>
    <t>Developing frontend and backend components of web services</t>
  </si>
  <si>
    <t>Social Media</t>
  </si>
  <si>
    <t>Between 10-15 years</t>
  </si>
  <si>
    <t>Senior Modern Workplace Consultant</t>
  </si>
  <si>
    <t>Designing, developing, deploying and training Microsoft SharePoint and PowerPlatform solutions.</t>
  </si>
  <si>
    <t>Traditional (Waterfall),Agile - Kanban,Agile - Scrum</t>
  </si>
  <si>
    <t>Telecommunication,Sales and Manufacturing,Finance,Human Resource Management</t>
  </si>
  <si>
    <t>Java senior developer</t>
  </si>
  <si>
    <t>Designing,testing and coding full stack systems</t>
  </si>
  <si>
    <t>61-70</t>
  </si>
  <si>
    <t>Senior support specialist</t>
  </si>
  <si>
    <t>End user and partner support, documenting product issues, and resolving via product development</t>
  </si>
  <si>
    <t>Medium (100 - 500 employees)</t>
  </si>
  <si>
    <t>41-50</t>
  </si>
  <si>
    <t>Between 20-30 years</t>
  </si>
  <si>
    <t>Senior Business Intelligence Consultant/Data Engineer/Machine Learning Engineer</t>
  </si>
  <si>
    <t>build data models in SAP, Azure, GCP,etc. ; built reports and dashboards and other visualizations; build data pipelines for ML and deploy ML models</t>
  </si>
  <si>
    <t>Traditional (Waterfall),Agile - Scrum</t>
  </si>
  <si>
    <t>Sales and Manufacturing,Finance,Human Resource Management,Transport, Travel &amp; Tourism,Energy, Fast Moving Consumer Goods in Supermarket retail, homeware, agriculture,etc.</t>
  </si>
  <si>
    <t>Senior Systems Analyst</t>
  </si>
  <si>
    <t>System Analyst role</t>
  </si>
  <si>
    <t>10 -20</t>
  </si>
  <si>
    <t>Hungary</t>
  </si>
  <si>
    <t>IT Quality Analyst</t>
  </si>
  <si>
    <t>Checkin quality of team, contact with second level teams, help colleagues to solve more complex issues</t>
  </si>
  <si>
    <t>Healthcare</t>
  </si>
  <si>
    <t>More than 20</t>
  </si>
  <si>
    <t>Italy</t>
  </si>
  <si>
    <t>Manager</t>
  </si>
  <si>
    <t>Manage the entire team</t>
  </si>
  <si>
    <t>Traditional (Waterfall)</t>
  </si>
  <si>
    <t>Telecommunication,Healthcare,Sales and Manufacturing,Finance,Energy</t>
  </si>
  <si>
    <t>Analyst</t>
  </si>
  <si>
    <t>data analyst and systems maintenance</t>
  </si>
  <si>
    <t>Agile - Kanban,Agile - Scrum</t>
  </si>
  <si>
    <t>Transport, Travel &amp; Tourism</t>
  </si>
  <si>
    <t>Network and Systems Engineer</t>
  </si>
  <si>
    <t>My primary responsibilities include designing, implementing, and maintaining the network infrastructure, with a strong focus on the backbone and customer connectivity.</t>
  </si>
  <si>
    <t>Traditional (Waterfall),Agile - Kanban</t>
  </si>
  <si>
    <t>Telecommunication</t>
  </si>
  <si>
    <t>Portugal</t>
  </si>
  <si>
    <t>Software developer</t>
  </si>
  <si>
    <t>I manage a team of interns and help developt software as part of a team.</t>
  </si>
  <si>
    <t>consulting</t>
  </si>
  <si>
    <t>Netherlands</t>
  </si>
  <si>
    <t>Test Automation Engineer</t>
  </si>
  <si>
    <t>Creating, Enhancing, Debugging, and Running Test Cases</t>
  </si>
  <si>
    <t>Sales and Manufacturing</t>
  </si>
  <si>
    <t>Poland</t>
  </si>
  <si>
    <t>project manager</t>
  </si>
  <si>
    <t>project planning, monitoring their implementation</t>
  </si>
  <si>
    <t>Woman</t>
  </si>
  <si>
    <t>United States of America</t>
  </si>
  <si>
    <t>Less than 1 year</t>
  </si>
  <si>
    <t>Computer programmer</t>
  </si>
  <si>
    <t>I mainly test and modify codes to ensure programs are running correctly.</t>
  </si>
  <si>
    <t>United Kingdom of Great Britain and Northern Ireland</t>
  </si>
  <si>
    <t>Senior Software Engineer</t>
  </si>
  <si>
    <t>DevOps, Maganing Infrastucture Codebases for a gaming company</t>
  </si>
  <si>
    <t>Gaming</t>
  </si>
  <si>
    <t>51-60</t>
  </si>
  <si>
    <t>CTO</t>
  </si>
  <si>
    <t>Responsible for the technological direction in the company, I supervise all projects that involve technology</t>
  </si>
  <si>
    <t>Energy</t>
  </si>
  <si>
    <t>Project Team Lead</t>
  </si>
  <si>
    <t>Team Lead of Developers &amp; Dev Ops who reports to a supervisor and manager, where we work with and Develop CRM Software.</t>
  </si>
  <si>
    <t>Traditional (Waterfall),Agile - Scrum,Agile - XP</t>
  </si>
  <si>
    <t>Cybersecurity</t>
  </si>
  <si>
    <t>Monitoring networks and my staff.</t>
  </si>
  <si>
    <t>Agile - XP</t>
  </si>
  <si>
    <t>Human Resource Management</t>
  </si>
  <si>
    <t>Chile</t>
  </si>
  <si>
    <t>SOFTWARE DEVELOPER</t>
  </si>
  <si>
    <t>DEVELOPMENT</t>
  </si>
  <si>
    <t>IT Systems Engineer</t>
  </si>
  <si>
    <t>Maintaining and Fixing anything related to IT Systems (MSP)</t>
  </si>
  <si>
    <t>DevOps</t>
  </si>
  <si>
    <t>Between 15-20 years</t>
  </si>
  <si>
    <t>It systems manager</t>
  </si>
  <si>
    <t>All software development and support</t>
  </si>
  <si>
    <t>Traditional (Waterfall),Agile - Kanban,Agile - Scrum,Agile - XP</t>
  </si>
  <si>
    <t>Field Service Management</t>
  </si>
  <si>
    <t>Software Engineering</t>
  </si>
  <si>
    <t>Translating the needs of our clients into software requirements and ensuring our guidelines is well-defined</t>
  </si>
  <si>
    <t>Traditional (Waterfall),Agile - XP</t>
  </si>
  <si>
    <t>Programmer analyst</t>
  </si>
  <si>
    <t>I analyze requirements, design, develop, test, and implement software, ensuring effective solutions that meet business needs</t>
  </si>
  <si>
    <t>Ireland</t>
  </si>
  <si>
    <t>Senior Technical Systems Analyst</t>
  </si>
  <si>
    <t>I am responsible for eliciting requirements, creating stories for the technical team, participating in code reviews, Business Acceptance Testing etc</t>
  </si>
  <si>
    <t>Graphic Designer, Game Designer, Developer, Content Editor</t>
  </si>
  <si>
    <t>Graphic contents, gaming contents developer, programming, content editing</t>
  </si>
  <si>
    <t>Gaming Industry</t>
  </si>
  <si>
    <t>Startup (5-10 employees)</t>
  </si>
  <si>
    <t>Digital Creative And Media Director</t>
  </si>
  <si>
    <t>I am the creative director and digital media creator for a renewable energy consulting firm.</t>
  </si>
  <si>
    <t>software manager</t>
  </si>
  <si>
    <t>My role is to define product strategies, make technical decisions, manage projects, evaluate team performance, and deliver high-quality software that meets customer needs.</t>
  </si>
  <si>
    <t>Greece</t>
  </si>
  <si>
    <t>Data Protection and Security Consultant</t>
  </si>
  <si>
    <t>Ensure the compliance of the organization with security matters and data protection regulations</t>
  </si>
  <si>
    <t>Software Engineer</t>
  </si>
  <si>
    <t>Coding. Project manager.</t>
  </si>
  <si>
    <t>QA Engineer</t>
  </si>
  <si>
    <t>My main responsibilities would be developing test strategies, creating test cases, performing testing (manual and automated), identifying bugs and reporting them, verifying fixes and updates.</t>
  </si>
  <si>
    <t>Telecommunication,Sales and Manufacturing,Human Resource Management</t>
  </si>
  <si>
    <t>Data Analyst</t>
  </si>
  <si>
    <t>My job responsibilities include collecting data from various sources, such as databases, spreadsheets, and external APIs. I am responsible for cleaning and preprocessing the data to identify and correct any errors or inconsistencies, ensuring that the data is accurate and reliable. I analyze the data using statistical methods and tools like Excel, SQL, Python, and R to uncover trends, patterns, and insights. I also create reports, dashboards, and visualizations using tools like Tableau or Power BI to present my findings to stakeholders in a clear and understandable manner. Collaboration is key in my role, as I work closely with business teams and other departments to understand their data needs and provide actionable insights. Additionally, I manage and maintain databases to ensure they are structured properly and can be accessed easily. In some cases, I develop predictive models to forecast trends or behaviors based on historical data. Finally, I document my data processes, methodologies, and code to ensure transparency and facilitate future reference.</t>
  </si>
  <si>
    <t>Agile - Kanban,Agile - Scrum, DevOps</t>
  </si>
  <si>
    <t>Project manager</t>
  </si>
  <si>
    <t>Oversee a team of developers. Facilitate their progress, cooperate with other managers and supervisors, host daily meetings, ensure goals are on track. Report to upper management. Other odds and ends</t>
  </si>
  <si>
    <t>Field Service Management,Human Resource Management</t>
  </si>
  <si>
    <t>Software Developer</t>
  </si>
  <si>
    <t>As a Software Developer, my responsibilities include writing and testing code, collaborating with team members and clients, debugging software, and optimizing performance. I also handle software updates, document code, and provide user instructions. Additionally, I stay current with new technologies and trends to continuously improve my skills and adapt to changes in the field.</t>
  </si>
  <si>
    <t>Traditional (Waterfall),Agile - Kanban,Agile - Scrum,DevOps</t>
  </si>
  <si>
    <t>Information Technology</t>
  </si>
  <si>
    <t>France</t>
  </si>
  <si>
    <t>UX/Ui designer and full stack web developper</t>
  </si>
  <si>
    <t>full stack web developper, UX/UI designer, commercial</t>
  </si>
  <si>
    <t>Self-Employed</t>
  </si>
  <si>
    <t>System Analyst</t>
  </si>
  <si>
    <t>design systems</t>
  </si>
  <si>
    <t>Telecommunication,Healthcare,Finance</t>
  </si>
  <si>
    <t>making sure that my team delivers the deliverables in time, keeping in touch with stakeholders, etc</t>
  </si>
  <si>
    <t>Security Team Leader</t>
  </si>
  <si>
    <t>Data Protection Mostly</t>
  </si>
  <si>
    <t>service desk analyst</t>
  </si>
  <si>
    <t>answering calls, creating software packages, beta testng and more</t>
  </si>
  <si>
    <t>Quality Assurance Tester</t>
  </si>
  <si>
    <t>I navigate through our clients' webpages and applications, and look for any kind of bug.</t>
  </si>
  <si>
    <t>Internet</t>
  </si>
  <si>
    <t>IT manager</t>
  </si>
  <si>
    <t>consolidating and managing my tech team</t>
  </si>
  <si>
    <t>supervisor IT</t>
  </si>
  <si>
    <t>IT security team responsibilities</t>
  </si>
  <si>
    <t>Software Testing Manual and Automation</t>
  </si>
  <si>
    <t>Design and development of software applications. Debugging and troubleshooting. Collaborating with cross-functional teams. Requirement analysis. Code review. Version control management. Documentation. Software updates. Continuous learning and adapting. Support and maintenance of applications.</t>
  </si>
  <si>
    <t>CEP of a sector of an IT firm</t>
  </si>
  <si>
    <t>Supervising the firm and programming.</t>
  </si>
  <si>
    <t>Agile - Kanban,Agile - XP</t>
  </si>
  <si>
    <t>IT Developer</t>
  </si>
  <si>
    <t>Maintaining and updating existing software</t>
  </si>
  <si>
    <t>Sales and Manufacturing,Human Resource Management</t>
  </si>
  <si>
    <t>Director</t>
  </si>
  <si>
    <t>Oversee IT dept. of 9</t>
  </si>
  <si>
    <t>Germany</t>
  </si>
  <si>
    <t>IT Product Manager</t>
  </si>
  <si>
    <t>Articulate the product vision, conducting competitive analysis, market research, product backlog management</t>
  </si>
  <si>
    <t>Sales and Manufacturing,Human Resource Management,Transport, Travel &amp; Tourism</t>
  </si>
  <si>
    <t>IT Manager</t>
  </si>
  <si>
    <t>As an IT Manager, I oversee IT strategy, infrastructure, and security, ensuring alignment with business goals. I lead and mentor the IT team, manage budgets, projects, vendor relationships, and ensure compliance with regulatory standards.</t>
  </si>
  <si>
    <t>Telecommunication,Healthcare</t>
  </si>
  <si>
    <t>manager</t>
  </si>
  <si>
    <t>intel gathering</t>
  </si>
  <si>
    <t>Finance,Energy</t>
  </si>
  <si>
    <t>developer</t>
  </si>
  <si>
    <t>i do my work duties and responsibilities</t>
  </si>
  <si>
    <t>Between 1-2 years</t>
  </si>
  <si>
    <t>Account Coordinator</t>
  </si>
  <si>
    <t>Making sure my client is happy</t>
  </si>
  <si>
    <t>Information</t>
  </si>
  <si>
    <t>Software Consultant Support</t>
  </si>
  <si>
    <t>As a Software Consultant Support professional, I specialize in training, installation, and customization of software solutions. My role involves analyzing client requirements, configuring software to meet specific needs, and providing comprehensive training to ensure effective use. I am committed to delivering high-quality support and ensuring seamless software integration that enhances client efficiency and satisfaction.</t>
  </si>
  <si>
    <t>Sales and Manufacturing,Field Service Management</t>
  </si>
  <si>
    <t>Developing product code</t>
  </si>
  <si>
    <t>Full-Stack Developer</t>
  </si>
  <si>
    <t>As a Full-Stack Developer, I design, develop, and maintain both the frontend and backend of applications, ensuring smooth functionality, scalability, and a seamless user experience across all components.</t>
  </si>
  <si>
    <t>Austria</t>
  </si>
  <si>
    <t>Keeping the given software from the firm intact, fix bugs.</t>
  </si>
  <si>
    <t>Between 30-40 years</t>
  </si>
  <si>
    <t>Web designer</t>
  </si>
  <si>
    <t>Manage my own business to develop websites</t>
  </si>
  <si>
    <t>Healthcare,Sales and Manufacturing,Insurance,Finance</t>
  </si>
  <si>
    <t>UX/UI Designer</t>
  </si>
  <si>
    <t>Do UX design, research, user testing etc, as well as, take care of UI aspects of the interfaces of the products I work with.</t>
  </si>
  <si>
    <t>Business Analyst</t>
  </si>
  <si>
    <t>analyze areas of improvement and identify trends</t>
  </si>
  <si>
    <t>Telecommunication,Sales and Manufacturing,Finance,Transport, Travel &amp; Tourism</t>
  </si>
  <si>
    <t>project planning, team management, risk management, overseeing the testing assessment and evaluation of project quality.</t>
  </si>
  <si>
    <t>Telecommunication,Sales and Manufacturing,Field Service Management,Finance,Human Resource Management</t>
  </si>
  <si>
    <t>South Africa</t>
  </si>
  <si>
    <t>DBAs</t>
  </si>
  <si>
    <t>Maintenance</t>
  </si>
  <si>
    <t>Data engineer &amp; analyst</t>
  </si>
  <si>
    <t>ETL, data visualization</t>
  </si>
  <si>
    <t>Data Scientist</t>
  </si>
  <si>
    <t>Technology</t>
  </si>
  <si>
    <t>Frontend developer</t>
  </si>
  <si>
    <t>design and build websites, web applications, and other computer related programs</t>
  </si>
  <si>
    <t>I am a Division manager in a software development organisation</t>
  </si>
  <si>
    <t>I head a software development division, I head development projects, monitor their progress, I assign engineers on different projects, I am also in charge of other things like training etc</t>
  </si>
  <si>
    <t>Healthcare,Finance,Human Resource Management,Energy</t>
  </si>
  <si>
    <t>Australia</t>
  </si>
  <si>
    <t>Solutions Architect</t>
  </si>
  <si>
    <t>Software deployment</t>
  </si>
  <si>
    <t>Technological Project Manager</t>
  </si>
  <si>
    <t>Project manager for different accounts</t>
  </si>
  <si>
    <t>Technological implementation</t>
  </si>
  <si>
    <t>Senior Analyst</t>
  </si>
  <si>
    <t>I am a software practitoner and data analyst also a team lead.</t>
  </si>
  <si>
    <t>Ensure all resources are available to define and deliver software products</t>
  </si>
  <si>
    <t>Telecommunication,Insurance,Finance</t>
  </si>
  <si>
    <t>Project Manager</t>
  </si>
  <si>
    <t>I manage a team working on a new software for medical professionnals, i translate the needs of the public in solutions in the tool</t>
  </si>
  <si>
    <t>Spain</t>
  </si>
  <si>
    <t>Product Owner</t>
  </si>
  <si>
    <t>User stories scrumming, Key Decision Documents creating and presenting for approval, FS review and sign off, SIT, post-MTP support</t>
  </si>
  <si>
    <t>Coding and experimenting</t>
  </si>
  <si>
    <t>Software Design and Development, System Architecture.</t>
  </si>
  <si>
    <t>Telecommunication,Field Service Management,Transport, Travel &amp; Tourism</t>
  </si>
  <si>
    <t>Mid Level Software Engineer</t>
  </si>
  <si>
    <t>Writing and maintaining code, reviewing PR requests, completing product requested features</t>
  </si>
  <si>
    <t>Epic Credentialed Trainer</t>
  </si>
  <si>
    <t>Train healthcare providers how to use Epic (electronic medical record software)</t>
  </si>
  <si>
    <t>Analysis</t>
  </si>
  <si>
    <t>software engineer</t>
  </si>
  <si>
    <t>create software and fix bugs</t>
  </si>
  <si>
    <t>Software Dveloper</t>
  </si>
  <si>
    <t>Design and Develop software, web applications, Removing bugs, manage team</t>
  </si>
  <si>
    <t>Telecommunication,Healthcare,Human Resource Management,Energy</t>
  </si>
  <si>
    <t>Above 70</t>
  </si>
  <si>
    <t>Programming, Coding, Hardware and Software design for robots</t>
  </si>
  <si>
    <t>Software Architect</t>
  </si>
  <si>
    <t>Supervising and recruiting for our software development team.</t>
  </si>
  <si>
    <t>Logistics</t>
  </si>
  <si>
    <t>It .Director</t>
  </si>
  <si>
    <t>project manager, IT buyer, IT architect</t>
  </si>
  <si>
    <t>IT Specialist</t>
  </si>
  <si>
    <t>Helpdesk, customer service, troubleshooting computers and mobile devices.</t>
  </si>
  <si>
    <t>Agile - Scrum,Agile - XP</t>
  </si>
  <si>
    <t>Telecommunication,Field Service Management</t>
  </si>
  <si>
    <t>Software Analyst</t>
  </si>
  <si>
    <t>Software Analyst Responsibilities: Requirements Gathering: Collaborate with stakeholders to identify and document business needs. System Evaluation: Analyze and improve existing systems, design new solutions. Collaboration: Bridge communication between business and technical teams. Testing: Develop test plans, ensure system quality, and support user acceptance testing. Documentation: Create system documentation and reports for stakeholders. Support: Troubleshoot issues, maintain systems, and assist with upgrades. Optimization: Identify inefficiencies and recommend workflow improvements.</t>
  </si>
  <si>
    <t>Field Service Management,Finance</t>
  </si>
  <si>
    <t>Software Development Engineer III (SDE III)</t>
  </si>
  <si>
    <t>Software Design and Development: Design, develop, and maintain scalable, efficient, and secure software systems. Write clean, maintainable, and well-documented code. Technical Leadership: Mentor junior engineers and provide technical guidance to the team. Lead code reviews, ensuring adherence to best practices.</t>
  </si>
  <si>
    <t>System Administrator</t>
  </si>
  <si>
    <t>Atlassian tools manutention in premise setups</t>
  </si>
  <si>
    <t>Healthcare,Human Resource Management,Transport, Travel &amp; Tourism</t>
  </si>
  <si>
    <t>Manager Professional Services</t>
  </si>
  <si>
    <t>People manager in IT managing s/w development projects for clients.</t>
  </si>
  <si>
    <t>Software Engineer.</t>
  </si>
  <si>
    <t>As a Software Engineer, my primary responsibilities include designing, developing, and testing software applications to meet user and business needs. I write clean, efficient, and maintainable code while collaborating with cross-functional teams to gather requirements and deliver effective solutions. Debugging and resolving software issues is a key part of my role, ensuring the applications function smoothly. I also participate in code reviews and continuous improvement initiatives to maintain high-quality standards. Additionally, I stay updated on the latest technologies and industry best practices to enhance my skills and contribute to innovative projects.</t>
  </si>
  <si>
    <t>Finance,Software Engineering</t>
  </si>
  <si>
    <t>Lead application support analyst</t>
  </si>
  <si>
    <t>Technical support and System admin</t>
  </si>
  <si>
    <t>machine learning engineer</t>
  </si>
  <si>
    <t>developing software related to machine learning features</t>
  </si>
  <si>
    <t>social media</t>
  </si>
  <si>
    <t>Product Manager</t>
  </si>
  <si>
    <t>Leading the software product development through its lifetime, starting from the idea to the release and after that.</t>
  </si>
  <si>
    <t>Games development</t>
  </si>
  <si>
    <t>Solving Problems</t>
  </si>
  <si>
    <t>Callcenter Manager</t>
  </si>
  <si>
    <t>I manage a helpdesk team (provide training and manage our intranet platform and app).</t>
  </si>
  <si>
    <t>Senior Developer</t>
  </si>
  <si>
    <t>I manage other developers and ensure they do their job correctly. I also act as a mentor to them</t>
  </si>
  <si>
    <t>Sales and Manufacturing,Field Service Management,Finance,Transport, Travel &amp; Tourism</t>
  </si>
  <si>
    <t>Information technology</t>
  </si>
  <si>
    <t>Web developer, research</t>
  </si>
  <si>
    <t>System analyst</t>
  </si>
  <si>
    <t>I lead a team in charge of system design, implementation and testing of software</t>
  </si>
  <si>
    <t>IT Project Manager</t>
  </si>
  <si>
    <t>Digitalization and software tasks, also leading a group of employees into projects.</t>
  </si>
  <si>
    <t>IT Consultant</t>
  </si>
  <si>
    <t>system design and implementation, cyber security consulting, software development, data analytics, IT support and maintenance,</t>
  </si>
  <si>
    <t>Data Analytics</t>
  </si>
  <si>
    <t>Automate manual tasks using Bash shell scripting and Python while doing systems administration, maintenance updates and network configurations via the Linux command line in support of service enhancements within SLAs.</t>
  </si>
  <si>
    <t>overseeing a team of 20 people on a research project</t>
  </si>
  <si>
    <t>junior software practitioner</t>
  </si>
  <si>
    <t>software testing, gather user feedback, writing and testing code, designing and maintaining the new software, fixing and improving software with QA team.</t>
  </si>
  <si>
    <t>Telecommunication,software tech</t>
  </si>
  <si>
    <t>manage a team that specify on carrying out certain tasks</t>
  </si>
  <si>
    <t>Age Group</t>
  </si>
  <si>
    <t>Below 20</t>
  </si>
  <si>
    <t>Prefer not to answer</t>
  </si>
  <si>
    <t>Country</t>
  </si>
  <si>
    <t>Years of Experience</t>
  </si>
  <si>
    <t>Between 40-50 years</t>
  </si>
  <si>
    <t>More than 50 years</t>
  </si>
  <si>
    <t>Nature of the organisation</t>
  </si>
  <si>
    <t>Nature of the team</t>
  </si>
  <si>
    <t>No members</t>
  </si>
  <si>
    <t>Software development methodologies</t>
  </si>
  <si>
    <t>Primary domain</t>
  </si>
  <si>
    <t>Insurance</t>
  </si>
  <si>
    <t>IT/ Information Technology/ Internet/ Information/ Technology/ Technological implementation/ Information Tech</t>
  </si>
  <si>
    <t>Fast Moving Consumer Goods in Supermarket retail</t>
  </si>
  <si>
    <t>Homeware</t>
  </si>
  <si>
    <t>Agriculture</t>
  </si>
  <si>
    <t>Consulting</t>
  </si>
  <si>
    <t>Gaming/ Games development</t>
  </si>
  <si>
    <t>15 - Based on your experience as a software practitioner, how important do you think our proposed guidelines are for implementation in real-world industry settings?</t>
  </si>
  <si>
    <t>16 - Based on your experience as a software practitioner, how practical and easy are our proposed guidelines to implement in real industry settings?</t>
  </si>
  <si>
    <t>17 - Would you consider using our proposed guidelines to enhance empathy in your software engineering practice?</t>
  </si>
  <si>
    <t>18 - Select the top 5 guidelines from above 17 guidelines listed above that you would apply in your work. Explain how you plan to incorporate these guidelines into your daily work and practices, and outline any specific steps or approaches you plan to take.</t>
  </si>
  <si>
    <t>19 - Do you see any limitations in the proposed guidelines for fostering empathy, or any challenges in adopting them within software engineering? What improvements would you suggest to address these limitations?</t>
  </si>
  <si>
    <t>G1 - Fostering strong relationships among stakeholders</t>
  </si>
  <si>
    <t>G2 - Bridging the technical and non-technical gap</t>
  </si>
  <si>
    <t>G3 - Reducing friction among different stakeholder groups</t>
  </si>
  <si>
    <t>G4 - Encouraging bi-directional communication</t>
  </si>
  <si>
    <t>G5 - Ensuring transparency about business goals</t>
  </si>
  <si>
    <t>G6 - Use an empathetic approach to improve RE processes</t>
  </si>
  <si>
    <t>G7 - Collaborative problem solving</t>
  </si>
  <si>
    <t>G8 - Empathy during agile ceremonies</t>
  </si>
  <si>
    <t>G9 - Empathetic feedback process</t>
  </si>
  <si>
    <t>G10 - Creating a safe space</t>
  </si>
  <si>
    <t>G11 - Backup plans to manage unexpected outcomes</t>
  </si>
  <si>
    <t>G12 - Flexibility in handling human issues</t>
  </si>
  <si>
    <t>G13 - Emphasising the real-world impact of developers’ work</t>
  </si>
  <si>
    <t>G14 - Building an empathetic team and company culture</t>
  </si>
  <si>
    <t>G15 - Empathy education and training</t>
  </si>
  <si>
    <t>G16 - DEI policies</t>
  </si>
  <si>
    <t>G17 - Managing empathy fatigue</t>
  </si>
  <si>
    <t xml:space="preserve">15.1 - Please explain the reason for your rating above in question 15.
</t>
  </si>
  <si>
    <t>16.1 - Please explain the reason for your rating above in question 16.</t>
  </si>
  <si>
    <t>17.1 - Please explain the reason for your selection above in question 17.
 You must provide a detailed and meaningful answer to this question to qualify for payment.</t>
  </si>
  <si>
    <t>Critical to Have</t>
  </si>
  <si>
    <t>Very Important to Have</t>
  </si>
  <si>
    <t>I think is critical for companies to create a safe workspace for all the team involved, it is proved that doing this will make the employees feel happier, motivated to work, and less stress. I work in a great company that is always looking for their workers well being, inside and even outside of the work office.</t>
  </si>
  <si>
    <t>Difficult</t>
  </si>
  <si>
    <t>Very Difficult</t>
  </si>
  <si>
    <t>Easy</t>
  </si>
  <si>
    <t>Very Easy</t>
  </si>
  <si>
    <t>My company always makes us work as an empathic group, this doesn't only apply to work, I learned this a student and in my house, I bring this to the work, and most of my coworkers are really empathic and try to build a great work culture.</t>
  </si>
  <si>
    <t>I am likely to regularly use it</t>
  </si>
  <si>
    <t>I am currently using it</t>
  </si>
  <si>
    <t>I will definitely use it</t>
  </si>
  <si>
    <t>Most of these presented guidelines are key for a safe workspace, I currently use most of them, but there are some regarding empathy between different teams that I will very likely use at my work.</t>
  </si>
  <si>
    <t>G4, G9, G10, G11 and G14, these are all guidelines that I currently apply at my job and I will definitely keep using, as bi directional communication and problem solving is key at my job, bi directional communication applies both with my coworkers from development team, and with the client, so we can understand each other. Part of applying this, is also using transparency, empathy and clear communication.</t>
  </si>
  <si>
    <t>I don't see any clear limitations in the proposed guidelines. Maybe the challenge of working from home is to feel really part of the group in a company, so I would suggest having weekly meetings just to chat and know each others better in the company, this would help creating empathy between coworkers.</t>
  </si>
  <si>
    <t>Somewhat Important to Have</t>
  </si>
  <si>
    <t>Nice to Have</t>
  </si>
  <si>
    <t>I try to think about what I feel would contribute best to my squad and company culture when ranking each criteria and feel that communcation is extremely important in making sure you get the details right to make the build and release stage run smoother for requirements which is why I rated those most critical</t>
  </si>
  <si>
    <t>I feel that these are relevant to my experiences throughout my career</t>
  </si>
  <si>
    <t>I am unlikely to use it</t>
  </si>
  <si>
    <t>I might occasionally use it</t>
  </si>
  <si>
    <t>I feel these answers are relevant to my experiences across my career</t>
  </si>
  <si>
    <t>I think that the following 5 are the most vital to implement - g1, g2, g4, g7, g11</t>
  </si>
  <si>
    <t>Nothing stands out to me</t>
  </si>
  <si>
    <t>Empathy during agile ceremonies and feedback processes is highly valued because it helps build trust, improve communication, and create a safe environment where team members feel supported. These practices encourage open discussions and constructive feedback, which are key to solving problems and working well together. In contrast, things like backup plans or creating safe spaces are still important but are seen as less urgent. They add value by supporting the team and handling unexpected challenges, but they don’t have as direct an impact on achieving project goals or aligning stakeholders.</t>
  </si>
  <si>
    <t>Neither difficult nor easy</t>
  </si>
  <si>
    <t>Some factors are easy to implement as they does not reqiuire invovling too many different groups of people. It is always hard to establish relationships with people outside a team or company.</t>
  </si>
  <si>
    <t>Many factors depends on corporate culture, something is already implemented, and something is unlikely to be implemented. In my company we are open to changes, but in reality some things are hard to implement. I chose points that I likely and definitely use based on my personal feelings, not company's policies, and those points I believe we should implement.</t>
  </si>
  <si>
    <t>I’ll focus on building an empathetic team (G14) by fostering open communication and collaboration, creating a safe space (G10) for sharing ideas without judgment, and maintaining flexibility (G12) to adapt to team needs. I’ll also emphasize the real-world impact of work (G13) by sharing success stories and user feedback, and promote empathy education (G15) through workshops and training to enhance understanding and teamwork.</t>
  </si>
  <si>
    <t>The proposed guidelines are valuable but face challenges like cultural differences in creating safe spaces (G10), time constraints for empathy training (G15), and varying interest in real-world impacts (G13). To improve, empathy initiatives should align with team workflows, training should connect to practical scenarios, and metrics can highlight the impact of work to engage analytical team members. Balancing empathy with technical priorities might be a key for successful adoption.</t>
  </si>
  <si>
    <t>Not Necessary to Have</t>
  </si>
  <si>
    <t>For G17? Managing empathy fatigue is critical to have because it allows your team to decompress and focus down on the critical pathways for the project. Not every issue needs to have empathy applied and even the smallest issue can be 'over empathised' which leads to fatigue - this can lower morale and attitudes for other critical components.</t>
  </si>
  <si>
    <t>Have to assume this is just for the last question in each stack (ie, G17). As long as empathy isn't treated as the most critical aspect of the practice, then managing fatigue from it becomes easy. If the team had to prioritise empathy - then the managing part of that becomes exponentially more difficult.</t>
  </si>
  <si>
    <t>It's described in simple terms. Policies that are overly detailed become cumbersome to implement and remain vigilant of when the detail is too minute. When a policy is simple, it can be interpreted in a way that best suits the team employing it.</t>
  </si>
  <si>
    <t>G16: DEI policies: when you employ DEI policies correctly, it can be very simple to follow. We employ techniques to this which include not hiring ANYONE based on any gender, race, political affiliations or ideologies - we hire based on skill and personality. Any other method of hiring is discriminatory. G12: Once a year we offer training for empathy as we encourage the practical mindset of the team members and the respect that they've been taught and have learned how to employ empathy as regular adults. G10: Creating a safe space is as simple as checking in with team mates often - we do this by offering help, or asking if help is needed in a friendly way that doesn't make the person feel as though they may be incompetent. G7: We regularly have practical problem solving sessions with just about every client problem we face - meaning we are always working as a team to develop solutions with hands-on approaches. G8: We often have set sessions in agile retrospectives that allow the team to (if they feel comfortable) express grievances within the project and look for ways to move forward with them.</t>
  </si>
  <si>
    <t>Sometimes empathy is diffcult to allow for, when projects don't call for human interaction often. When we have hard software development challenges, we do offer empathy to anyone on the the team who're finding the challenges extra difficult.</t>
  </si>
  <si>
    <t>I think some of those are really important for a succesful software development strategy because it helps to creat3e bonds between all involved teams thus improving a lot of aspects of the software like : quality, time developing etc.</t>
  </si>
  <si>
    <t>Most of the points are really easy to implement in our work environment without major hassle, some are a bit more hard or challenging to adapt but with some persistance and teamwork it would come feasible and easy to embrace in the workforce of our company</t>
  </si>
  <si>
    <t>As i mentioned in the answer some of those im actually using them in the processes im assigned some not but i will try to put them to use because it hink they could be useful in some cases</t>
  </si>
  <si>
    <t>1 would be transparency in bussines model , i was victim of a project where i was involved where i think i was a bit naive but i didnt know which was the econonic goal so i think they kind me of scammed me for that project,2 would be collaborative problem solving i think its very important to have this kind of approach because that way you can ensure an almost bulletproff product,3 empathetic fedback process sometimes it bit rough when people make mistakes but its no use to be angry or agressive to be more human when giving feeedback,4 empathetic in human issues sometimes people has personal issues which need attention but that should not be a problem for the project at all , talk to stakeholders and hold them down a bit to get back on track after those issues are solved, and finally 5 dei policies its very important to be tolerant open and respectful to any other working partner in our team to have a healthy and happy workforce</t>
  </si>
  <si>
    <t>The limitations i think more would the different branches of different teams i mean their education because for what a team mean something in ahnothe could mean something completely diferent.The approach i would use would be to teach a bit of each specific jargon to each team to ensure theer are the less of those problems</t>
  </si>
  <si>
    <t>Which rating? All of the above are helpful, some more so than others. Why is NOT necessary in middle of scale??</t>
  </si>
  <si>
    <t>Again, which rating? To me, a lengthy list of 17 items is likely to be a barrier and just get lip service. Some of the items such as DEI and Empathy are foreign to some company cultures even in 2024.</t>
  </si>
  <si>
    <t>Again which selection? Some of the above might not be a good fit in some cultures even if I see as useful. And why, guys, does the matric of answers not fit in available screen width and need a scroll bar?</t>
  </si>
  <si>
    <t>G1 - Fostering strong relationships G2 - Bridging the technical and non-technical gap G7 - Collaborative problem solving: G11 - Backup plans to manage unexpected outcomes: G13 - Emphasising the real-world impact of developers’ work I'd see the above as the most important, but would still be overruled if your product manager is Elon Musk or Steve Jobs! Development is an adventure with uncertain outcomes.</t>
  </si>
  <si>
    <t>Accepting / prompting empathy depends on the overall manager's style and might not always be possible.</t>
  </si>
  <si>
    <t>The guidelines I flagged as critical are the ones that are most important for a successful software engineering team.Non-compliance to these guidelines will prevent our team to deliver a software that is both effective and efficient. For example, during requirements gathering and analysis, all technical and non-technical stakeholders must be on the same page in order to design and develop an excellent software and collaborate effectively to solve issues. To achieve this, we must foster open and clear communication and there should be harmony in the team. Those that I have flagged as very important to have are indeed very important, but they are not really showstoppers. There can be some workaround or other alternatives for them. The attention check question on Gt - Select correct answer for this. What does this mean? I selected critical to have as I consider to be the most correct answer.</t>
  </si>
  <si>
    <t>The easy ones to implement are anyways the must haves and what are expected from a software team. Any skilled/senior member of the team can easily implement these and resolve any issues. It is already a given that in our daily standups or requirements gathering sessions - we must bridge the gap between technical and non-technical or business functional solutions , we must always have backup plans or rollback plans in case of emergency or unexpected outcomes, and it must be innate in us that we must have empathy - or putting ourselves in others' shoes so that we can explain to someone non-technical , very complex technical designs and solutions. However, formalizing an empathy training would be quite challenging because the upper management might not put enough emphasis on this , education and training programs tend to be more technical and more on skills development because it would have a more direct impact to the company's bottom-line. However, it is not impossible to get the management buy-in for this as long as you can show some statistics on the effectiveness and benefits of such empathy trainings.</t>
  </si>
  <si>
    <t>most of the guidelines above are already embedded in both our written and unwritten rules and SOP within our dev team. I will be very keen though to convince our upper management to formalize empathy training to improve further our communications across all stakeholders and if we can find a way to project our company as a company who is more inclusive with the best industry practices through this empathy trainings, I think it will benefit the company's bottomline as such companies are given tax reduction benefits by the New Zealand government.</t>
  </si>
  <si>
    <t>G9, G15, G17, G14, G16 - we can implement this through formal empathy trainings to start with or to initiate this, and then later on , there can be feedback loop sessions to check whether the training is effective and being put into practice and the benefits are experienced.</t>
  </si>
  <si>
    <t>time. we are so busy delivering multiple projects with limited resources including people, the only way to address this is for the management to sacrifice a few days in a month to have these trainings and feedback loop sessions in order to implement these.</t>
  </si>
  <si>
    <t>Managerial and Technical aspects do require primary focus in order to succeed. DEI and others are really lessor importance. Fostering an effective and positive environment aid in productivity and so shoul dbe given credence.</t>
  </si>
  <si>
    <t>N/A</t>
  </si>
  <si>
    <t>Managerial and Technical aspects will be more difficult to implement in practice. DEI and others while likely easy should be weighted against benefit...</t>
  </si>
  <si>
    <t>I will never use it</t>
  </si>
  <si>
    <t>DEI and Empathy have not played a significant role and are unlikely to do so in an environment that values productivity and effeciency</t>
  </si>
  <si>
    <t>G1, G2, G3, G5, G7 - these will have a meaningul impact on the material outcomes of the team.</t>
  </si>
  <si>
    <t>Yes, resistance in uptake by the team in general. It is a hard sell and will need to be justified as anythign other than a distraction from pimary objectives of the teams.</t>
  </si>
  <si>
    <t>I really consider as much important as the technical knowledge the communication between the different teams involved on the processes as well as the trainings are fundamental for a successful outcome.</t>
  </si>
  <si>
    <t>I focus mainly on the human interaction in whcih if you're nice to most of your colleagues and stakeholders can have a positive result on the product that you're offering.</t>
  </si>
  <si>
    <t>Absolutelly because for mee mpathy is a crucial component in software engineering, as it helps developers understand and address the needs of users, stakeholders, and even their team's colleagues</t>
  </si>
  <si>
    <t>G3 When these groups are not aligned, friction can arise, leading to miscommunication, delays, and inefficiencies. Reducing friction among these groups requires clear communication, empathy, shared goals, and an understanding of each group's priorities. G7 Collaborative problem solving is crucial in software development, as it helps teams leverage diverse perspectives and expertise to find innovative solutions to complex challenges.G10 In a safe environment, developers feel empowered to share ideas, express concerns, experiment, and learn without fear of judgment or negative consequences. G15 Empathy in education and training, especially within the context of software engineering or technical fields, can significantly improve learning outcomes, enhance collaboration, and foster a more inclusive and supportive environment. G12Flexibility in handling human issues is essential for creating a responsive and empathetic environment, particularly in workplace settings, or any collaborative project. Adapting to these situations with understanding and openness helps foster trust, inclusion, and well-being</t>
  </si>
  <si>
    <t>I do not see limitations at all, I'd say is more a challenge due to the different personalities and egos that you can find between the different parties is more like resistance to change and cultural shift</t>
  </si>
  <si>
    <t>Your proposed guidelines are highly important for real-world industry settings, as they provide a structured framework for addressing common challenges in software development. By offering clear standards, they help teams align on best practices, improve collaboration, and mitigate risks associated with inconsistencies. Moreover, such guidelines ensure scalability and maintainability, which are critical for long-term success in dynamic industry environments.</t>
  </si>
  <si>
    <t>From a practitioner’s perspective, the practicality and ease of implementing your proposed guidelines depend on their clarity, adaptability, and alignment with existing industry workflows. If the guidelines are concise and provide actionable steps, they are more likely to be embraced by teams. Additionally, flexibility to accommodate diverse tools and processes is essential for seamless integration. Ensuring stakeholder buy-in through pilot testing and iterative feedback can further enhance their real-world applicability.</t>
  </si>
  <si>
    <t>Absolutely, incorporating guidelines to enhance empathy in software engineering can be highly beneficial. Empathy fosters better collaboration, improves user-centered design, and strengthens communication within teams. By considering diverse perspectives, both within the team and from end users, these guidelines can lead to more inclusive and effective solutions. If the guidelines provide actionable strategies to embed empathy into workflows, I would certainly consider using them to enrich my practice.</t>
  </si>
  <si>
    <t>Ensuring Transparency About Business Goals I plan to incorporate this by clearly communicating objectives in all meetings and documentation. This includes aligning team tasks with broader goals to ensure everyone understands their role in the bigger picture. Regular updates and feedback sessions will reinforce clarity and shared purpose. Creating a Safe Space I will prioritize open communication by encouraging team members to share ideas and concerns without fear of judgment. Establishing ground rules for respectful interaction and providing channels for anonymous feedback will help build trust. Regular check-ins will ensure everyone feels heard and valued. Diversity, Equity, and Inclusion (DEI) Policies I intend to integrate DEI by promoting diverse hiring practices and ensuring equitable opportunities for growth within the team. Workshops and training on unconscious bias will foster a more inclusive culture. Additionally, I will actively seek input from underrepresented voices to ensure diverse perspectives are reflected in decisions. Reducing Friction Among Different Stakeholder Groups I will focus on understanding stakeholder priorities and addressing conflicts early through mediation. Regular alignment meetings and transparent communication of constraints and expectations will minimize misunderstandings. Using collaborative tools can also help streamline information sharing. Fostering Strong Relationships Among Stakeholders I will build relationships by scheduling regular touchpoints and informal discussions to establish rapport. Actively listening to stakeholder needs and demonstrating follow-through on commitments will strengthen trust. Celebrating shared successes will also reinforce positive collaboration.</t>
  </si>
  <si>
    <t>One potential limitation of the proposed guidelines is that fostering empathy often requires cultural and behavioral shifts, which can be challenging in high-pressure or results-driven environments. Resistance to change, lack of time for training, or difficulty in quantifying the impact of empathy practices might hinder adoption. To address these challenges, I would suggest integrating empathy-focused practices into existing workflows rather than treating them as separate initiatives. Providing measurable outcomes, such as improved user satisfaction or team productivity, can make the benefits clearer. Additionally, offering practical tools, such as personas or empathy maps, along with hands-on workshops, can make adoption easier and more actionable for teams.</t>
  </si>
  <si>
    <t>As long as a professional environment is maintained with clear communication and transparency is maintained the need for empathy is not required. however the need for a safe space to voice concerns when it is not maintained is needed.</t>
  </si>
  <si>
    <t>depends on the people you are working with. their is no universal rules. the aim of maintaining professionalism is key.</t>
  </si>
  <si>
    <t>most of this is organisationalal management level direct and drive. alot would be nice to implement but unlikely in my team</t>
  </si>
  <si>
    <t>the key would be to get buy in from senior management for a top down approach. G2 ,G5 and G10 once these are implemented we could introduce G14 and G15 to emphasis and maintain the environment</t>
  </si>
  <si>
    <t>Buy in. the environment I work in is focused on results and professional as to not have to deal with empathy.</t>
  </si>
  <si>
    <t>I believe that individuals should independently handle personal challenges without significantly impacting work, emphasizing self-management over external support.</t>
  </si>
  <si>
    <t>In some organisations, there might be a strong division between teams; translating abstract technical work into concrete, relatable outcomes may involve storytelling skills, data collection, and contextualization, all of which can be resource-intensive and complex; developers may already be stretched thin with existing tasks and deadlines, leaving little room to focus on understanding or connecting with end-user impact; if the tangible benefits of emphasizing real-world impact are not immediately obvious or measurable, it may be harder to justify the effort required to implement this guideline effectively.</t>
  </si>
  <si>
    <t>I recognize the importance of fostering an empathetic culture but I also see its practical application as situational rather than an absolute priority in every interaction. Also this is a shared responsibility, and while I contribute, it also depends heavily on leadership and organizational policies, making it less of an individual commitment.</t>
  </si>
  <si>
    <t>G2: Communicating technical aspects effectively to non-technical stakeholders is crucial for aligning expectations and achieving project goals. Use visuals, analogies, and simplified language when explaining technical concepts. G5: Transparency helps align individual efforts with organizational objectives, fostering a shared sense of purpose. Explain how team tasks contribute to larger organizational goals during project meetings and keep team members informed about shifts in priorities or business strategies. G11: Unexpected events can disrupt workflows, and having backup plans ensures continuity and reduces stress for team members. Ensure critical tasks are documented so backups can step in if needed. G13: Helping developers connect with the end-users’ experiences increases empathy and improves the quality of deliverables. Use examples of how technical solutions have positively impacted users. G17: Balancing empathy with self-care is essential to prevent burnout and maintain productivity over time. Normalize taking breaks or stepping back during emotionally draining periods and encourage team members to prioritize their well-being and communicate their limits when overwhelmed.</t>
  </si>
  <si>
    <t>Empathy may be interpreted or valued differently across cultural or regional contexts, potentially leading to misunderstandings or misalignment in its implementation. Many guidelines, such as team-building activities, empathy training, or fostering real-world impact awareness, require time, financial investment, and managerial support. In fast-paced environments focused on deadlines and deliverables, these initiatives might take a backseat. While valuable, explaining technical concepts to non-technical stakeholders requires strong communication skills, which not all practitioners may possess or have the opportunity to develop.</t>
  </si>
  <si>
    <t>Because every human is a unique individual that's going to think and see the world in differetn ways. Thus, the way you motivate them and help them out is going to be different. If you treat everyone the same then more likely than not it's not the best approach for every person.</t>
  </si>
  <si>
    <t>Perhaps it's not the same at all for everyone. I think the project one if working on is the most defining here. If the person can imagine the challenge and the impact the project will have it's easier to motivate. If it's just same old same old then it's easy to lose motivation</t>
  </si>
  <si>
    <t>It's important to prevent various problems. From demotivation to lawsuits everything is possible if this isn't a standard. It's not eay to implement though because it will depend a lot of the people themselves and the culture of the place.</t>
  </si>
  <si>
    <t>11 - Bugs and issues is the everyday's standard. You need backup incase a fix is actually a problem. 12 - All issues are going to be different and thus you need to be flexible. Not all are going to have the same fix. 7 - More heads working together and in synergy will result in a better outcome. 4 - You have to communicate to kow where everyone is, the overall state of progress and to solve the bigger issues. 15 - I literally train interns. If I'm too hard on them, they'll give up and learn nothing.</t>
  </si>
  <si>
    <t>Stress and tight scheule can make people too self-focused and thus harder to feel emphaty for someone else when your own life is in a bad state. If everyone feels better and is motivated, it's easier to lookout for everyone.</t>
  </si>
  <si>
    <t>The proposed guidelines are crucial for promoting collaboration, trust, and understanding among diverse teams in the software industry. By bridging gaps between technical and non-technical stakeholders, reducing friction, encouraging open communication, and fostering empathy, these guidelines help create a supportive and productive work environment. They not only ensure transparency and alignment with business goals but also address the human aspects of teamwork, enabling teams to navigate challenges effectively, maintain resilience, and deliver meaningful results.</t>
  </si>
  <si>
    <t>Some guidelines, like fostering relationships, open communication, and using empathy in processes, are easier to implement as they align with existing practices. However, more complex changes, such as bridging technical gaps, reducing stakeholder friction, and creating safe spaces, require deeper cultural shifts and ongoing effort. Managing challenges like unexpected outcomes and empathy fatigue is harder but achievable with consistent commitment. Overall, the ease of implementation depends on how well the guideline fits into existing workflows and organizational culture.</t>
  </si>
  <si>
    <t>I chose these guidelines because they address key challenges in software engineering, like building trust, improving communication, and aligning diverse perspectives. While some, like fostering relationships and transparency, are already part of my practice, others, like bridging gaps and reducing friction, offer valuable ways to overcome common struggles. Guidelines focused on creating safe spaces and managing empathy fatigue are especially important for promoting long-term team well-being and motivation. Together, they help create a more empathetic, collaborative, and effective work environment.</t>
  </si>
  <si>
    <t>G1 Plan: I will prioritize regular communication through meetings and one-on-ones to build trust and align stakeholder concerns with project goals. G4 Plan: I will create a safe environment for team members to share feedback, using tools like anonymous surveys and regular feedback loops. G14 Plan: I will demonstrate empathy in daily interactions and promote team-building activities to foster a sense of belonging. G16 Plan: I will advocate for diverse perspectives in discussions and support DEI initiatives to ensure all voices are respected. G17 Plan: I will practice self-care by setting boundaries and encouraging open discussions about workload while providing mental health resources and flexible work arrangements.</t>
  </si>
  <si>
    <t>While the guidelines provide a solid foundation, they must be adapted to the unique demands of software engineering environments. By embedding empathy into existing workflows, focusing on leadership modeling, and addressing challenges like empathy fatigue, organizations can foster empathy more effectively and sustainably.</t>
  </si>
  <si>
    <t>it is important not to neglect your own professional fatigue</t>
  </si>
  <si>
    <t>People who take care of themselves are much less susceptible to stress</t>
  </si>
  <si>
    <t>there is no need to explain</t>
  </si>
  <si>
    <t>G2, G3, G4, G5, G6</t>
  </si>
  <si>
    <t>no</t>
  </si>
  <si>
    <t>My reasoning for my rating above in question 12 is that I personally think most of these guidelines are important to have a steady real-world industry. Though some of my picks are nice to have, why? Its not necessary but it can improve everyone mental health.</t>
  </si>
  <si>
    <t>My reasoning for most of my picks above in question 13 is that some of the guidelines is neither difficult or easy to implement and most of them are pretty easy. But none of the guidelines would be hard to implement as if youre know what youre doing and have great communication skills, you can get a group of people to implement a guideline into their industry work life.</t>
  </si>
  <si>
    <t>My reasioning for my picks above in question 14 is that some guidelines , I already use. But most of them, I am likely to use them as it can benefit me well. I can make great use out of these guidelines if I know how to implement them properly.</t>
  </si>
  <si>
    <t>The top 5 guidelines I would apply in my work is , G15 - Empathy education and training , G9 - Empathetic feedback process, G7 - Collaborative problem solving, G1 - fostering strong connections with skateholders, and G14 - Building an empathetic team and company culture. I would incorporate these guidelines in my daily work and practices by encouraging everyone in my workplace to work together. I want to build a place for people who help others to improve, not afriad to ask questions, and to build strong connections with eachother and other skateholders.</t>
  </si>
  <si>
    <t>No, I dont see any limitations in the proposed guidelines for fostering empathy. Me and my co workers already know eachother pretty well and is able to collaborate and communicate with no problem. Even if its coworkers you dont know, you can still foster empathy as software engineering is mainly about social interaction.</t>
  </si>
  <si>
    <t>Flexibility in handling human issues may be important in roles where standardized policies cover most cases, and adaptability is only needed occasionally. In structured or technical environments, moderate flexibility maintains fairness and efficiency. This balance helps avoid decision fatigue while addressing uniques situations when necessary.</t>
  </si>
  <si>
    <t>There is a challenge that developers face in balancing flexibility with consistency during the software cycle. Emphasizing real-world impact requires adaptability to user needs, but this demands time, judgement, and emotion effort, which aren't always feasible within tight development schedules.</t>
  </si>
  <si>
    <t>Usually in my teams, I hadn't focused on this guideline, and I consider this not a priority giving our scale and demands.</t>
  </si>
  <si>
    <t>- G1 – Fostering Strong Relationships: Build trust through open communication and regular team bonding activities (e.g., virtual coffee breaks). - G2 – Bridging Technical and Non-Technical Gaps: Simplify technical explanations for non-technical stakeholders and promote direct user interactions. - G5 – Transparency About Business Goals: Regularly clarify how tasks align with business objectives during stand-ups or sprint planning. - G10 – Creating a Safe Space: Encourage open dialogue and foster a judgment-free environment to build trust and support. - G11 – Backup Plans for Emergencies: Develop contingency plans, cross-train team members, and accommodate personal emergencies empathetically.</t>
  </si>
  <si>
    <t>A key challenge in fostering empathy within software engineering is balancing it with tight deadlines and productivity demands. Empathy practices, like team bonding and open communication, can seem secondary to delivering features on time. To address this, these practices should be integrated into existing workflows, such as stand-ups and retrospectives, making empathy a seamless part of the development process rather than an added burden.</t>
  </si>
  <si>
    <t>At some point, everyone has had or will have a personal emergency. It is very important to react as a team to these situations and make it very clear that what happens to someone today can happen to you tomorrow, and this should not derail the team's objective.</t>
  </si>
  <si>
    <t>Sensitizing the team to the effect of their work in the real world requires time and true commitment from the members, and the truth is, first of all it is difficult to have the entire team well committed and it is very difficult to make the time required for this type of exercises. I think they are valuable but difficult to implement</t>
  </si>
  <si>
    <t>This point is a must, working in a team in which empathy does not exist is hell, if the necessary time is invested in creating a work culture with empathy in the company, when new members join, the learning curve will be minor</t>
  </si>
  <si>
    <t>G5,G6,G7,G11,G14 I believe that we will implement these guidelines only with the most experienced team we have, once they have been adopted, we will choose leaders from this group to implement them in the other groups</t>
  </si>
  <si>
    <t>I see time limitation, the teams always are just in time, but we have to try.</t>
  </si>
  <si>
    <t>The reason for question 12 (Flexibility in handling Human issues) is critical to have is because it is something that is prone to happen due to human error. So having Flexibility accounts for it to happen and to not be surprised and a project is thrown off course.</t>
  </si>
  <si>
    <t>The reason for question 13 (Emphasising the real world impact of developers work) is marked as easy because it is not difficult to show the projected outcome of the software development and management by using models and predicted outcomes. With the models we can showcase real world applications best and worst case scenarios to give an idea of what to expect.</t>
  </si>
  <si>
    <t>The reason i marked question 14 (Building an Empathetic Team and Company Culture) as currently using it as i currently always strive to build upon my team and provide empathy as needed making a show that company culture has an open door policy.</t>
  </si>
  <si>
    <t>The first would Collaborative Problem solving as it is something that is needed to make sure problems are sought out and a quick solution is found. Second is Managing Empathy Fatigue is making sure that while we do show empathy to the stakeholders , Coworkers and everyone else we work with i want to ensure that no one becomes burned out or suffers for it. Third would be Backup plans to manage unexpected outcomes for the simple fact is that things happen and its not something you can be in control of so having emergency plans is ideal. The fourth would compound on that with Flexibility in handling human issues as we are all human therefore prone to error and mistakes and something we should account for the Fifth and last one would be Emphasising the real world impact of developers as we need to make sure we can show through either models or other means to show how our software will provide real world applications.</t>
  </si>
  <si>
    <t>The limitation would be that some of them may need some trial and error as for each guideline may be less effective for different individuals therefore making sure to maximize all bullet points does serve a purpose to make sure each person is able to maximize their ability to foster empathy.</t>
  </si>
  <si>
    <t>Humans are hard to deal with sometimes, so we need to have lenient but good policy.</t>
  </si>
  <si>
    <t>We have to see the view from the outside and keep ourselves looking strong.</t>
  </si>
  <si>
    <t>We must have a strong team built with people doing their roles properly.</t>
  </si>
  <si>
    <t>Empathy training - to be more considerate of our team and others around us. Flexibility in handling human issues - people have issues at home and we have to help them through them. Creating a safe space - people should be comfortable at work and feel in a great space to do their work. Collaborating - our team needs to be better at working together across different sectors of the company to get things done. DEI hiring - it's great but sometimes I feel it gets in the way of just hiring the best talent no matter their race or gender.</t>
  </si>
  <si>
    <t>It's never easy when dealing with human emotion. It has to be a team effort and the group should be bonded so when there is issues they're easily resolved.</t>
  </si>
  <si>
    <t>n my experience as a software practitioner, clear and well-structured guidelines can significantly improve both the efficiency and quality of software development processes</t>
  </si>
  <si>
    <t>In my experience, the practicality and ease of implementing the proposed guidelines largely depend on the complexity of the organization and its existing processes.</t>
  </si>
  <si>
    <t>Yes, I would consider using the proposed guidelines to enhance empathy in my software engineering practice. Empathy is a crucial aspect of software development, as it helps foster better communication, collaboration, and understanding between team members and stakeholders.</t>
  </si>
  <si>
    <t>User-Centered Design: I will prioritize understanding the needs and pain points of users by incorporating user feedback into every stage of development. To incorporate this, I plan to regularly engage with users, conduct usability testing, and utilize tools like user stories and personas to guide design decisions. This will help ensure the solutions I build are intuitive and meet user expectations. Clear and Open Communication: Communication is key in any project, so I will actively promote open channels of communication within my team and with stakeholders. I plan to hold regular check-ins, encourage feedback, and use collaborative tools such as Slack or Jira to keep everyone on the same page. This approach will help ensure that any issues are quickly addressed, and everyone is aligned on project goals. Continuous Improvement: I believe in the value of ongoing learning and improvement. To incorporate this, I will participate in regular code reviews, seek constructive feedback, and stay updated with the latest tools and best practices. I will also make time for retrospectives to reflect on what went well and what could be improved in our processes. Collaboration and Teamwork: Software development is rarely a solo effort, and I want to foster a collaborative environment. I plan to support my colleagues by offering help when needed, sharing knowledge, and working closely with other departments, such as QA and operations. I will ensure that our goals and tasks are aligned and that we’re working together efficiently as a team. Sustainable Code Practices: Writing maintainable, clean code is essential for long-term project success. To implement this, I will adopt best practices such as writing clear documentation, following coding standards, and using version control systems like Git. I will also focus on writing tests and using automated testing frameworks to ensure the quality and sustainability of the codebase over time.</t>
  </si>
  <si>
    <t>While the proposed guidelines for fostering empathy are valuable, I do see a few potential limitations and challenges in adopting them within software engineering: Time Constraints and Prioritization: In fast-paced environments, there can be pressure to prioritize deadlines and deliverables, which might make it difficult to consistently apply empathy-driven practices. For example, taking extra time to understand users’ needs, conducting user interviews, or engaging in deeper communication may sometimes be seen as time-consuming. Improvement Suggestion: To address this, it would be beneficial to integrate empathy practices into the daily workflow in a way that doesn’t slow down progress. This could involve setting aside specific times for user research or incorporating empathy-focused exercises into regular team meetings to make empathy a habit, not an additional task. Resistance to Change: Some team members or stakeholders may be resistant to adopting empathy-based practices, particularly in environments that have historically prioritized efficiency over user experience or collaboration. Improvement Suggestion: A more structured approach to change management, such as training workshops or incremental integration of empathy practices, could help overcome this resistance. Additionally, demonstrating tangible benefits, like improved product quality or user satisfaction, could make these practices more appealing. Diverse Perspectives and Communication Barriers: Empathy can be challenging to implement when teams are culturally diverse or when there are communication barriers. Differences in language, work culture, and expectations can sometimes hinder empathetic interactions. Improvement Suggestion: Providing cross-cultural communication training and encouraging the use of inclusive language can help bridge these gaps. Additionally, fostering a culture of active listening and creating safe spaces for open dialogue can help ensure that all team members’ perspectives are heard and respected. Balancing Empathy with Technical Constraints: While fostering empathy for users is important, there may be technical limitations or business constraints that prevent the ideal solution from being implemented. Striking the right balance between empathy-driven design and practical feasibility can be challenging. Improvement Suggestion: It would be helpful to incorporate more clear guidelines on how to handle such trade-offs. This could involve educating stakeholders on how to balance user needs with technical constraints, and ensuring that empathy doesn’t compromise the feasibility or sustainability of the solution. By addressing these challenges, the guidelines could be more easily adopted and lead to a greater emphasis on empathy in software engineering, resulting in better user experiences and more effective collaboration.</t>
  </si>
  <si>
    <t>I will just summarize my overall thoughts on your proposed guidelines. Many of them I would consider critical to running an organization well and it being a prosperous one. I personally haven't thought much about incorporating empathy training and this particular mindset, I am not completely sold on the idea - however I do see perhaps it could be useful for some particular employees.</t>
  </si>
  <si>
    <t>I don't work for an organization that focuses on empathy as such there is no training or education around this topic. I can see however how it could be helpful. I would assume that most employers would already look for these qualities in an individual</t>
  </si>
  <si>
    <t>Currently I am using many of the real-world practicies in my organization but we do not really have empathy as a core focus. Many of our team already naturally posses this quality and so I don't think it's really thought about</t>
  </si>
  <si>
    <t>G2 - Bridging the technical and non-technical gap ,G1 - Fostering strong relationships among stakeholders: , ​​G4 - Encouraging bi-directional communication , G7 - Collaborative problem solving: , G11 - Backup plans to manage unexpected outcomes - exteremly important to bridge the gap between technical and non-technical users , this is something I focus on regularly. As well as ensuring team members are communicating and collaborating effectively on a daily basis.</t>
  </si>
  <si>
    <t>I think there would probably be some push back from staff around introducing specific guidelines towards fostering empathy. Some may view this as redundant or unnecessary. Perhaps if there are perceived benefits over time, the tone will change on this subject.</t>
  </si>
  <si>
    <t>I think that's a very important option to have when dealing specifically with human issues.</t>
  </si>
  <si>
    <t>I sit in the middle on this. It is sometimes difficult to measure the effect of real world situations on the developers.</t>
  </si>
  <si>
    <t>That's an ongoing process to develop empathy and company culture within the team. It</t>
  </si>
  <si>
    <t>Top five guidelines I would select is G1 through G5. Our team practices these guidelines already as part of daily processes and procedures</t>
  </si>
  <si>
    <t>We are using these guidelines already as soon as the onboarding process starts with new employees.</t>
  </si>
  <si>
    <t>It is very important to be flexible in handling issues as it goes with scalibity. If you are not able to adapt to what is needed then you won't be able to grow. It is imperative to listen to the concerns of others and then work out to find a beneficial solution.</t>
  </si>
  <si>
    <t>It is important to show the impact and the results of the hard work and decication of the developers. It gives insight on their thought processes and and it will affect the future. By having an understanding, it is easier to collaborate and find a common goal.</t>
  </si>
  <si>
    <t>By forming strong team bonds not only does it make the job easier it helps foster a health work culture which in turns improves the company. By listening and understand each other, we are able to progress as a cohesive unit.</t>
  </si>
  <si>
    <t>G1, 3, 6, 7, 10, 11 are the guidelines that I would apply to my work. I would first make concise list of the guidelines so they are easily accessible. I would print it out and attach it to my workstation so when there are times I am unsure, I can refer to it. By having these easily available, I can be confident in my work.</t>
  </si>
  <si>
    <t>Some challenges would be communicating guidlines in a way that everyone can understand. People have different interperations and at times may not think the way it is perceived. What I would suggest would to be holding a meeting for everyone to experess their concerns and then combine all the ideas into a document. From there, it is a good reference people can rely on.</t>
  </si>
  <si>
    <t>Empathy and flexibility during crises strengthen team loyalty and improve well-being. Policies like flexible work help project success and reduce turnover.</t>
  </si>
  <si>
    <t>I rated this guideline as 'difficult' because connecting developers with end users is challenging in large environments. Additionally, changing the organizational culture to help everyone understand the real impact of their work is a logistical challenge.</t>
  </si>
  <si>
    <t>I selected 'I am currently using it' because I already promote an empathetic culture within my team, fostering a supportive and collaborative environment. I believe empathetic leadership enhances communication and team well-being, which benefits the work dynamic.</t>
  </si>
  <si>
    <t>1. G7 - Collaborative problem solving: I will facilitate collaborative sessions between technical and non-technical stakeholders to improve solution quality and foster empathy. 2. G10 - Creating a safe space: I will encourage an environment where everyone feels comfortable sharing concerns without fear of judgment, promoting openness and mutual support. 3. G11 - Backup plans to manage unexpected outcomes: I will implement backup plans for personal emergencies, ensuring flexibility and support for the team. 4. G14 - Building an empathetic team and company culture: I will promote empathetic leadership and a company culture that values well-being and mutual respect. 5. G17 - Managing empathy fatigue: I will prioritize self-care and set clear boundaries to avoid empathy fatigue within the team.</t>
  </si>
  <si>
    <t>Resistance to change and pressure from deadlines are challenges for implementing the empathy guidelines. To overcome these, I suggest integrating them into agile processes and providing ongoing training, ensuring they are consistently applied in daily work.</t>
  </si>
  <si>
    <t>Frustrations at work leads to low morale and damages work relationships. It is therefore crucial to have a good approach when addressing these issues to avoid employees from leaving. Downtime is also crucial as it allows employees to re energise.</t>
  </si>
  <si>
    <t>Giving developers feedback from clients also helps them understand the impact of the work they are doing. This motivates them to do more and better and to become creative with their solutions</t>
  </si>
  <si>
    <t>An empathetic culture is crucial to any organisation. It reduces stress and leads to more productivity. Creating a culture that is safe and stress free is therefore crucial in any team and in the organisation. Employees will thrive and will not suffer from mental health problems that will inturn affect the team</t>
  </si>
  <si>
    <t>1.bridging the technical and non technical role- i already do this. I schedule meetings with the business analyst and technical team when there are challenges on the proposed solution or feature. 2.empathetic feedback, i will ensure that my feedback about my co workers is empathetic and respectful 3.Dei, will ensure that everyone on the team can express themselves nomatter the title of their role, their background, their race etc. 4. Empathy during agile ceremonies- i will respect the team members when they express any dissatisfaction about anything that happened during the sprint including any stories i might have written. I will also respect the decision on how much work they can take in each sprint. 5.back up plans, i am the only systems analyst on the team.I need to train one of the senior QE’s on the team on some of the work I do to avoid single point sensitivity. I am also going to encourage the team lead to do the same</t>
  </si>
  <si>
    <t>I think lack of trust between team members is the biggest huddle. If i have no trust that my co workers are empathetic towards me, i may not do the same. Also, naturally people seem to respect the views of more experienced and people with senior title roles. I have seen this demotivating others from contributing as they just assume that they won’t be listened to. Another challenge is once one project finishes, another one will be already in progress with another tight deadline. Because of this, giving the team feedback about the impact of their work is often overlooked</t>
  </si>
  <si>
    <t>It is important to create a work environment where the team is free from sources of stress and can unlock its full potential in an environment where its skills, personal characteristics and idiosyncrasies are not criticized, suppressed or altered by external views or arbitrary and vexatious guidelines.</t>
  </si>
  <si>
    <t>the difficulty in applying these guidelines is relatively easy if the will of the company and the team is present. In a company where the mentality of its employees is similar, there should be no difficulty in applying these guidelines. The difficulty could only occur if there were management realities that consider these issues irrelevant or compromising.</t>
  </si>
  <si>
    <t>some guidelines are already currently active, while those not yet operational I consider them of great weight and can certainly contribute to an improvement of the team's performance, its cohesion and above all in creating a working environment in which employees can express their potential in the best possible way.</t>
  </si>
  <si>
    <t>1) Reducing friction among different stakeholder groups: I intend to apply this guideline by suggesting a critical but constructive approach among team members and proposing discussion sessions in the most conflictual cases. 2) Use an empathetic approach to improve requirements engineering (RE) processes: here too, my intention is to apply a more communicative and impersonal approach, in order to create a bond and a sharing strategy that has an empathetic fabric and can allow the parties to express and share specific emotions and information, without limits. 3) Empathetic feedback process: an extremely critical and important guideline that I intend to implement as soon as possible, encouraging company members to apply it in any feedback process. It will be important to stimulate employees and educate them on how to express their observations and criticisms in the most polite, factual and respectful way possible, taking into account that mistakes are a natural phenomenon of growth and development, and that all parties involved have the right to express their opinion, exposing their points of view that all have the same value. 4) Flexibility in handling human issues: I will apply this guideline by exercising greater sensitivity towards personnel who inevitably suffer from life events, accidents and unforeseen events. We all periodically face events outside of our control and causes of force majeure can certainly affect the efficiency of an employee. I will use greater understanding, solidarity and empathy towards these situations, considering that it can happen to any of us, and greater emotional assistance can only help a person overcome a difficult moment more quickly. 5) Empathy education and training: the ability to put yourself in someone else's shoes is always important, especially when you want to teach something to a new member of a group. I will apply this philosophy in every training and education system and operation, providing an empathic and moral approach before any technical notion, in order to communicate that any education process is not efficient and capable of unlocking potential without a moral and empathic structure behind it.</t>
  </si>
  <si>
    <t>in my opinion the guidelines are quite well structured and do not lack any content. In a software engineering environment they would have no problem being applied because more than the type of work it is the personal availability of the company members that is important. Each guideline present is perfectly applicable and indeed, I believe they are more easily applicable in a software engineering environment due to the non-obtuse and dynamic mentality of its members.</t>
  </si>
  <si>
    <t>I think it's pretty self explanatory, but I think in general in life empathy should be encouraged and practiced and be more accepted on a much wider and greater scale. In this context I thought these all were at worst really good ideas and at best absolutely necessary in order to get projects finished at all. I think that empathy in the development process can help most with interaction and collaboration between tech and non tech departments and can eliminate bottlenecks and pain points in development and administrative and the more pragmatically focused departments.</t>
  </si>
  <si>
    <t>I'm not really sure how to explain the reasoning for these except that these are mostly not that difficult to implement in my opinion. Perhaps keeping these things in practice can be more of a challenge, but I truly believe that empathy is generally human nature and its not that hard to be reasonably understanding and give people the benefit of the doubt and understand things from anothers perspective. I think that the human race wouldn't still be around if empathy wasn't ingrained into the fabric of our beings. I think that as a species our survival has been dependent upon it. I don't think any of this should be difficult to achieve, the most difficult part would be to help people challenge and rethink their unconscious bias towards certain groups or situations, or getting them to recognize that. A lot of this could be rectified in the hiring process if it is something that an organization aspires to. It's not too difficult to find out how empathetic and accepting someone likely is through the hiring process.</t>
  </si>
  <si>
    <t>Again, I am not sure how to explain my reasoning for the above question beyond I am currently using some, I would regularly use some of them if I'm not already, but I think that much of this is already in practice in my organization.</t>
  </si>
  <si>
    <t>DEI Policies - This is the most important and I would say foundational aspect for fostering empathy in the workplace. Without a diverse workforce, that are accepting of, or willing to accept those different than them empathy will not be able to be fostered when you have a homogenized workforce echoing each others opinions. Building an empathetic culture - again, none of the guidelines wil work without having an empathetic culture throughout the organization. You can't expect to have an organization that promotes empathy in the development process but doesn't promote it elsewhere. Flexibility in handling human isssues- Unpredictable things happen in life to everybody, if people can't deal with the unknown, or unpredictable without feeling like they're being slighted or its unfair that they have to pick up the slack for someone then they can't expect the same in return and are only self interested and selfish and wouldn't be a good fit in this field.</t>
  </si>
  <si>
    <t>The biggest limitation I see and perhaps its a bit too general is that it could be hard to get certain types of people to buy in. There are a lot of very insecure and self interested people in the tech space and theyve been led to believe that empathy equals weakness rather than being admirable, strong, and healthy.</t>
  </si>
  <si>
    <t>The guidelines are important for software development. They help people work together better, improve communication, and create a positive work environment. This leads to better software and happier employees. Some specific guidelines, like building strong relationships, bridging the gap between technical and non-technical people, and encouraging open communication, are really important for teamwork and project success. Other guidelines, like being empathetic during meetings and giving feedback, help create a positive and supportive work environment.</t>
  </si>
  <si>
    <t>G1-9 These guidelines primarily involve interpersonal skills and communication, which can be improved through training and awareness-building and easy to implement; G10-G17 these guidelines involve broader cultural and organizational changes. Creating a safe space, fostering an empathetic team culture, and implementing DEI policies requires significant effort and commitment from leadership. Empathy education and training also require investment in time and resources. Those are difficult to implement.</t>
  </si>
  <si>
    <t>I think all of the guidelines are useful and I am using some of them in my work and I'll try to use all of them in my work. Building good relationships, communicating clearly, and being understanding are important for teamwork. Creating a positive and supportive work environment is also crucial. While some guidelines might need more effort from the organization, they are still valuable for creating a better workplace.</t>
  </si>
  <si>
    <t>Here are the top 5 guidelines I would prioritize and how I plan to implement them: 1. Fostering Strong Relationships: I will actively seek opportunities to connect with my colleagues, both within my team and across different departments. 2. Bridging the Technical and Non-Technical Gap: I will strive to explain technical concepts in clear and concise terms. I will also actively listen to non-technical persons and ensure mutual understanding. 3. Encouraging Bi-directional Communication: I will actively listen to others, and provide constructive feedback. I will also be mindful to be clear, concise, and respectful. 4. Empathy during Agile Ceremonies: During agile ceremonies like sprint planning, daily stand-ups, I will actively listen to my team members and create a positive and supportive environment where everyone feels valued and heard. 5. Creating a Safe Space: I will contribute to creating a safe and inclusive work environment and avoid making negative comments.</t>
  </si>
  <si>
    <t>The limitation I can see is empathy can be expressed and understood differently across cultures. It's important to be mindful of cultural nuances and adapt communication styles accordingly.</t>
  </si>
  <si>
    <t>People is the most important aspect in SE and should feel prioritized as professionals and as human too</t>
  </si>
  <si>
    <t>Developers usually lack of interest in the real world impact and prefer to focus on their part of the implementation</t>
  </si>
  <si>
    <t>It is difficult to take action from a small team for overall company culture</t>
  </si>
  <si>
    <t>The top 5 guidelines I intent to incorporate in my work would be G.1, G.3, G.6, G.7, G.9. For 1 and 3 I am willing to make more transparent the communication of different stakeholders and create a dedicated space (software tools and physical meetings) to make the team work as one and not as different parties. For 6, 7 and 9 first of all I would lead by example showing how you can work as an empathetic peer and secondly point out behaviours of feedbacks and communication that could have been given in a more collaborative manner (one to one meetings and feedback)</t>
  </si>
  <si>
    <t>In a big organization like the one I work for, its difficult to impact the company culture in general, so any action taken within the team is challenging because the team is constantly influenced by many different stakeholders. These limitations can be improved with suggestions to the higher management with empathy trainings and for the hole company.</t>
  </si>
  <si>
    <t>The proposed guidelines are highly relevant and essential for creating an empathetic, collaborative, and productive work environment. Most of the guidelines are rated as critical to have. This reflects their importance in fostering a healthy, effective, and supportive culture in real-world industry settings.</t>
  </si>
  <si>
    <t>Most of the proposed guidelines are practical to implement. The success of these guidelines depends on the leadership commitment and the team's willingness to embrace a more empathetic approach.</t>
  </si>
  <si>
    <t>The guidelines are highly relevant and actionable for enhancing empathy. If implemented thoughtfully, they could improve collaboration, team dynamics, developer satisfaction, and ultimately, the quality of the software developed. While there are challenges in implementation, the long-term benefits of fostering an empathetic culture in software engineering outweigh these obstacles. I would definitely consider adopting these guidelines in practice, especially as they align well with the growing focus on mental well-being and creating supportive work environments in the tech industry.</t>
  </si>
  <si>
    <t>1. G4 - Encouraging bi-directional communication. 2. G10 - Creating a safe space. 3. G8 - Empathy during agile ceremonies. 4. G5 - Ensuring transparency about business goals. 5. G6 - Use an empathetic approach to improve requirements engineering (RE) processes. How I plan to implement them: Encourage bi-directional communication: I will focus on active listening, clear sharing of progress, and ensuring that feedback flows freely in all directions. Create a safe space: I will build trust by being approachable, sharing my own experiences, and fostering a supportive culture where mistakes are viewed as learning opportunities. Incorporate empathy during agile ceremonies: In sprint planning, daily stand-ups, and retrospectives, I will prioritize empathy to ensure all team members feel understood and supported in their work. Ensure transparency about business goals: I will actively seek updates on business goals and ensure that they are communicated clearly to the team to foster alignment and engagement. Use empathy in requirements engineering: I will engage stakeholders with empathy to clarify requirements, ensure alignment with user needs, and improve the quality of the end product.</t>
  </si>
  <si>
    <t>Cultural and Organizational Resistance. Suggested Improvement: Senior Leadership Buy-in: It's essential to have strong support from leadership to make empathy a core part of the company’s culture. This could be achieved by educating leadership on the tangible benefits of empathy for team performance, retention, and innovation. Empathy as a Performance Metric: Integrating empathy into performance reviews or success metrics (such as team collaboration or feedback from peers) can incentivize its practice and make it more visible as a valuable skill.</t>
  </si>
  <si>
    <t>I think all the guidelines are very compelling and potentially useful. However, I find reducing friction among stakeholder groups particularly important because it ensures smooth collaboration and prevents delays. I also think ensuring transparency and fostering collaborative problem-solving is quite relevant because they help align everyone toward shared goals and lead to better outcomes. Another point that I believe is especially important is having backup plans for managing unexpected events and keeping projects on track. On the other hand, while DEI policies can be valuable, I don’t see them as having an immediate impact on my daily work compared to these other factors.</t>
  </si>
  <si>
    <t>I rated factors like encouraging bi-directional communication, ensuring transparency, and emphasizing the real-world impact of the work as easier because they feel more achievable as they can be incorporated into daily practices. Building an empathetic company culture feels like quite the challenge, on the other hand. It would involve too many elements, it would need for very different people to come together with shared understandings and it would definitely be very hard. Another difficult one would be fostering strong relationships between stakeholders, because it requires long-term commitment and consistent effort from multiple parties.</t>
  </si>
  <si>
    <t>I’m already using backup plans to handle emergencies, and ensuring transparency is already very important in my (our) work. We also already make an effort to reduce friction among stakeholder groups. We're unlikely to implement DEI policies specifically, because I don't think they are necessary to create a safe space where everyone is respected. I think it can be done without speific DEI policies. Some things I feel more inclined to invest in are definitely handling human issues more flexibly (I think it can have huge long term value) and bridging the technical and non-technical gap, because I definitely feel like a shared understanding of the technical aspect can make the relationships with stakeholders more meaningful and the overall work more productive.</t>
  </si>
  <si>
    <t>The top five guidelines for me, all considered, would be ensuring transparency, reducing friction among stakeholder groups, bridging the technical and non-technical gap, collaborative problem solving, and flexibility in handling human issues. Clear communication with my team would be the of the utmost importance to start incorporating them in our work. When it comes to the friction reduction, I feel like having regular check-ins and feedback sharing would be crucial and simplifying some of the technical concepts would ease the bridging of the technical/non-technical gap. In regards to collaboration, maybe we can try to encourage the gathering of different perspectives, in order to come up with more comprehensive solutions. I also plan on doing my best to stay flexible and empathetic toward team members facing personal challenges. If and when needed, I could offer adjustments to workloads or schedules.</t>
  </si>
  <si>
    <t>One thing that comes to mind is that fostering strong relationships among stakeholders (while valuable and useful), may be too time-consuming for large team and organizations. The same could be said about bridging the technical and non-technical gap. Every group may have different levels of understanding, so especially in big companies it could be a goal too hard too achieve. Generally speaking I believe the guidelines are great, but that there's a huge variability of their potential of application, in particular when it comes to the size of organizations/companies.</t>
  </si>
  <si>
    <t>I rated it critical to have because it plays a crucial role in motivating developers by connecting their tasks to a larger purpose. When developers understand how their work affects real-world outcomes, it can increase job satisfaction, improve decision-making, and ensure that their contributions align with both organizational and user needs. It encourages developers to prioritize quality and innovation, fosters empathy for users, and helps create user-centered solutions. Additionally, it attracts and retains talent who seek purpose-driven work and enhances a company’s reputation. Ultimately, understanding the real-world impact drives higher engagement, better results, and a sense of ownership over one’s contributions.</t>
  </si>
  <si>
    <t>First, it requires a strong connection between the development team's work and the end-users or societal impact. In some cases, the real-world effects of a developer's work might be clear and immediate, making it easier to emphasize. For example, in projects that directly impact user experience, like mobile apps or customer-facing software, it is relatively straightforward to show how their contributions improve lives or meet user needs. However, in other situations, like backend systems or infrastructure development, the connection to real-world impact may not be as obvious. This makes it harder to emphasize the tangible effects of their work. Additionally, larger teams or companies may face communication barriers that make it challenging to convey how each individual’s contribution fits into a larger context. To effectively highlight the real-world impact, companies need to focus on strong internal communication, storytelling, and aligning the work of developers with larger company or societal goals. While this is possible and important, it’s not always straightforward.</t>
  </si>
  <si>
    <t>Building an empathetic team and company culture is important in software engineering because it leads to better collaboration, improved communication, and higher team morale. When team members understand each other’s perspectives and challenges, they are more likely to work well together and share ideas openly, which leads to more effective problem-solving. Empathy also promotes psychological safety, where team members feel comfortable making mistakes and taking risks, essential for innovation. Moreover, an empathetic culture helps with conflict resolution and creates a supportive work environment, increasing employee satisfaction and retention. This culture ultimately results in better software, as empathetic teams are more in tune with the needs of users and can adapt more quickly to changes.</t>
  </si>
  <si>
    <t>Fostering strong relationships among stakeholders: I will regularly engage with team members and stakeholders to build trust and collaboration. I will also facilitate informal team-building activities to strengthen these relationships. Bridging the technical and non-technical gap: I will tailor technical explanations to non-technical stakeholders in meetings and presentations, ensuring that everyone is aligned. Empathy during agile ceremonies: I will ensure that all team members have the opportunity to voice their opinions during sprint planning and retrospectives, promoting empathy and collaboration. Collaborative problem solving: I will work cross-functionally to solve issues, ensuring that both technical and business perspectives are considered. Creating a safe space: I will foster an open environment where team members feel comfortable sharing their concerns and suggestions, ensuring that everyone’s voice is heard.</t>
  </si>
  <si>
    <t>Some guidelines, such as creating a safe space and encouraging bi-directional communication, may be difficult to implement in hierarchical or rigid corporate cultures. My suggestion to improvement would be to provide more specific strategies for overcoming cultural barriers and resistance from senior leadership when introducing these guidelines.</t>
  </si>
  <si>
    <t>Flexibility in handling human issues is important because you cant always solve human issues with policy alone. It requires a humans attentiveness and compassion in order for there to be any connection and for everyone to feel heard and seen. Otherwise you may alienate the person bringing up their concerns.</t>
  </si>
  <si>
    <t>It is easy to report on the progress and achievements your team has accomplished if you are an attentive manager/supervisor.</t>
  </si>
  <si>
    <t>I am currently fostering an empathetic culture as to make sure everyone is comfortable coming to work and allowing themselves to not suppress their personality.</t>
  </si>
  <si>
    <t>G1, and G3 are important to implement because it affects our ability to generate investments into our companys growth. I can make this happen by simply speaking to stakeholders in a group setting and adding informal discussions to the mix and fostering discussions amognst themselves. G8. G9, and g17 are also very important to implement because the company culture should be an empathetic one. I can make this happen successfully by holding meetings specifically to address empathy and respect amongst employees. Having one on one talks with employees for their progress reports can be slightly rehearsed to focus on each employees comfortability in the office. Also having team building exercises can do wonders regarding employees ability to empathize, and learn about eachother which will cause less grudges and with less intensity.</t>
  </si>
  <si>
    <t>The challenge would come from employees ability to get along with eachother. Sometimes two people just arent compatible and may backfire. An improvement would be to hold company outings so that employees can mingle outside the office environment which can have better results in empathy development.</t>
  </si>
  <si>
    <t>I believe the proposed guidelines are extremely important for implementation in real-world industry settings. In my experience, fostering empathy among developers and stakeholders improves communication, reduces misunderstandings, and enhances overall productivity. By aligning technical work with business needs and creating a supportive environment, teams are better equipped to collaborate effectively. These guidelines promote a healthy workplace culture, which directly contributes to more successful and sustainable projects.</t>
  </si>
  <si>
    <t>The practical challenge in implementing these guidelines lies in organizational culture and team dynamics. Some companies may not prioritize empathy, and it may take time to shift attitudes and behaviors. In larger organizations, getting buy-in from all levels of the company can be challenging. However, by starting with small, concrete actions like improving communication in team meetings or ensuring transparent business goals, companies can gradually integrate these principles into their workflow.</t>
  </si>
  <si>
    <t>I would consider using the proposed guidelines to enhance empathy in my software engineering practice. I believe that empathy plays a key role in effective communication and collaboration, which are essential to the success of any project. Adopting these guidelines would not only improve the work environment but also contribute to better outcomes in software development, as understanding the needs of stakeholders leads to higher-quality solutions.I believe empathy is a crucial skill in software development. As a software practitioner, fostering understanding between team members, stakeholders, and users enhances the development process. By using these guidelines, I could create a more inclusive and open environment, which would ultimately lead to better teamwork, less conflict, and more user-centered products. Empathy also helps improve job satisfaction, which leads to higher retention and productivity.</t>
  </si>
  <si>
    <t>G1 - Fostering strong relationships among stakeholders: I would actively engage with team members and stakeholders, encouraging open communication and mutual understanding. Regular informal interactions like lunch meetings or team bonding activities can help build trust. G4 - Encouraging bi-directional communication: I plan to foster clear, two-way communication in all meetings and daily interactions, ensuring all voices are heard. I’ll also use non-verbal cues and active listening techniques to improve understanding. G9 - Empathetic feedback process: I would strive to provide respectful and constructive feedback during code reviews and team discussions. I’ll aim to highlight the positives and offer suggestions for improvement without being overly critical. G10 - Creating a safe space: I will ensure that my team feels comfortable sharing concerns and ideas by creating a non-judgmental environment. This includes encouraging transparency and offering support during difficult times. G13 - Emphasising the real-world impact of developers’ work: I will actively share stories and examples of how our work impacts users. This can be done by connecting team members with end-users or sharing success stories within the organization.</t>
  </si>
  <si>
    <t>One limitation is the potential resistance from some team members or leadership who may see these guidelines as non-essential. In highly technical teams, focusing on empathy might be seen as secondary to technical expertise. To address this, I suggest making empathy a core value in the organization, with training and reinforcement from the leadership. Also, emphasizing the tangible benefits of empathy (improved productivity, better outcomes, and happier teams) could help with buy-in.</t>
  </si>
  <si>
    <t>It is nice to have this ability because we are all human beings and we can have personal problems affecting our professional life so it is better to be able to take them into account.</t>
  </si>
  <si>
    <t>It is important to work for something valuable, when your work has a meaning you work better, more motivated. So it is important to empathise this aspect.</t>
  </si>
  <si>
    <t>This will help the team to be more unified and to understand each other. Definitely will help to work better.</t>
  </si>
  <si>
    <t>G2, because I'm working with clients that don't have technical background so I should learn to dress better to them. G11, in a business there are lots of problems that came unexpectedly it is important to learn how to manage them. G10 a safe place allows the team to work it is really important to provide it to have effectif developers. G5 it is better to ensure this transparency but sometimes it doesn't depend on us because maybe we don't know it, it is at a high manager's scale. If it is possible it is better to always be transparent because everybody will work better if we know the purpose of our work. G3 encouraging unidirectional work in the company it is very important, all the company should work in the same direction with the same purpose so let's try to work all together without battles between different teams.</t>
  </si>
  <si>
    <t>The proposed guidelines are a strong foundation, but their effectiveness depends on addressing practical implementation challenges. By integrating empathy into daily workflows and aligning activities with team dynamics, these guidelines can have a deeper and more lasting impact.</t>
  </si>
  <si>
    <t>The guidelines are crucial for improving collaboration, product quality, and team well-being so that's why I choose "Very Important to Have" and "Critical to Have" as my options.</t>
  </si>
  <si>
    <t>Practices like fostering safe spaces, creating safe space and empathy in feedback processes are relatively easy to implement at the team level. Dealing with humans are relatively hard so that makes managing empathy and other human resource tasks a bit difficult.</t>
  </si>
  <si>
    <t>I would use these guidelines to address interpersonal friction, align team goals, and enhance the user focus of our deliverables. This will impact how effective we can work as a team.</t>
  </si>
  <si>
    <t>G1 - Fostering strong relationships among stakeholders G2 - Bridging the technical and non-technical gap G8 - Empathy during agile ceremonies G9 - Empathetic feedback process G13 - Emphasising the real-world impact of developers’ work</t>
  </si>
  <si>
    <t>Empathy fatigue could arise if practitioners are overburdened with emotional demands. Resistance to change in rigid or results-driven organizations may hinder adoption. Some guidelines, such as DEI initiatives, require substantial organizational investment and time to show results.Provide empathy training with a focus on managing boundaries and self-care. Incorporate empathy metrics into team evaluations to track improvements. Use small pilot programs to demonstrate the effectiveness of these guidelines before scaling up.</t>
  </si>
  <si>
    <t>I thought about how things work at my workplace and what are the characteristics of a successful team. I think the human factor is very important and the more satisfied the employees are with how humanely they are handled, the better quality work they can produce.</t>
  </si>
  <si>
    <t>When I think about it, implementing guidelines similar to these are easier when we only talk about the company / team level, but it becomes increasingly hard the more stakeholders are included. All groups hold their goals and reasons the most important and it can be quite hard to find the proper communication ways and empathy among them.</t>
  </si>
  <si>
    <t>I think the human factor is very important in the whole work process, so creating and maintaining a safe, empathetic space for them is very beneficial on the long term, as it fosters creativity, innovation, pro activity. As a project manager, it is important in my role to try my best to foster these circumstances.</t>
  </si>
  <si>
    <t>G14 - making sure that the team has opportunity for team buildings, bonding, they have the opportunity to talk about issues in a meaningful way. G11 - having backups for important roles and processes is crucial to make sure that the work goes smoothly even if there are unexpected issues. This can happen through training and handovers. G9 - providing meaningful and empathetic feedback during 1o1 sessions, giving constructive feedback both on the positive and the negative. G7 - making sure that the team members have the opportunity to work together on solving different tasks, that they can bring up their ideas, solutions. G5 - providing background information on managerial / company level decisions, explaining why such decisions were made, answering questions about the reasons.</t>
  </si>
  <si>
    <t>Limitations could be many, lack of time or resources to properly implement them among the daily grind is probably the biggest. I think it would be good to have dedicated time / resource (personnel, finances) to be able to work on creating a more empathetic work space.</t>
  </si>
  <si>
    <t>I think the balancing from home / work its one of most important think</t>
  </si>
  <si>
    <t>Usually the development word its a kind of 24 / 7. Try to be "kind" with client its really really hard</t>
  </si>
  <si>
    <t>Building an emphatic team its one of my goal in my current team. Try to "listen" other team member its a really nice to have</t>
  </si>
  <si>
    <t>G.11 / G.10 / G.14 / G.2 / G.1 7 I think that incorporation of these guideline its a hard plan to archieve it. But, my firm (a big4 consulting firm) its working on it</t>
  </si>
  <si>
    <t>Nope, my firm working on it</t>
  </si>
  <si>
    <t>Flexibility in handling human issues involves showing empathy and adaptability when team members face personal crises, such as health or family emergencies. Managers and organizations can support this by offering flexible work arrangements, additional leave options, and fostering a compassionate culture to enhance loyalty and well-being.</t>
  </si>
  <si>
    <t>the concept of connecting developers with the real-world impact of their work through relatable stories and i find this quite easy to undertake is straightforward and intuitive.</t>
  </si>
  <si>
    <t>I selected "definitely will use it" for G14 because fostering an empathetic team and company culture is essential for creating a supportive and collaborative environment. When empathy is prioritized by leadership and incorporated into team-building activities, it naturally promotes a positive work culture that benefits everyone.</t>
  </si>
  <si>
    <t>would apply guidelines such as fostering strong relationships (G1), encouraging bi-directional communication (G4), and improving requirements engineering with empathy (G6) by focusing on open communication, active listening, and understanding stakeholder needs. Additionally, I will create a safe space (G10) and emphasize the real-world impact of developers’ work (G13) to foster a supportive environment and align my work with user outcomes.</t>
  </si>
  <si>
    <t>A limitation of the proposed guidelines is that they may be challenging to implement in fast-paced or resource-constrained environments, particularly with distributed teams. To address this, I suggest introducing incremental steps, leveraging technology for communication, and providing leadership training to model empathy effectively.</t>
  </si>
  <si>
    <t>I gave the highest rating to the points that regard the collaboration within the work team and the positive feeling that comes from using empathy in all the processes that directly involve people. The remaining points all look important to me, but slightly less.</t>
  </si>
  <si>
    <t>I think collaborating when there is friction is the most difficult thing to do. Otherwise, the remaining points seem quite easy or not too hard to implement.</t>
  </si>
  <si>
    <t>I'm already using some of the options. I'm open to any other option, except maybe one or two of them, which I don't see applicable to my Company.</t>
  </si>
  <si>
    <t>My top 5 is: G2-4-7-9-12. I think it's crucial to have a safe and collaborative workspace, where everyone can participate without feeling put down or ignored. I would talk to my boss and explain the importance of implementing those. I would also collaborate as much as I can in order to achieve the results they would expect from me.</t>
  </si>
  <si>
    <t>I only see one limitation: time. Perhaps some companies wouldn't be able to find enough time to implement the above points. Otherwise, I see no other issue.</t>
  </si>
  <si>
    <t>It is very critical to have such a policy because we are human and inevitable times pass by and we need a proper leeway to be excused to sort ourselves out withut having to worry about the tighr schedules</t>
  </si>
  <si>
    <t>Achieving this would not be easy nor be extremely diffucult, It will take some time but it will be worth it</t>
  </si>
  <si>
    <t>Company culture and empathy from the top of the hierachy to the bottom definitely supercedes work ethic. Having a particular culture in the company fosters closeness and a sense of belonging at the workplace which brings about high perfomance and a healthy working environment .</t>
  </si>
  <si>
    <t>G11 - Backup plans to manage unexpected outcomes. I would reinforce this by adding double shifts to everyones day so that we are covered 24/7 and not having to worry about missed shifts .G15 - Empathy education and training. I would start this training and a course book to ensure everyone is well-versed with all that they need to know about incorporating empathy at the work place.G16 - Diversity, Equity, and Inclusion (DEI) policies: I would enforce the need to be able to consolidate diversity at the workplace so that everyone feels safe and can work properly.G17 - Managing empathy fatigue-I will ensure to let my team know that it s ok decline extra work if need be.G2 - Bridging the technical and non-technical gap-This would decrease the chasm of knowledge and people will understand the root meaning of tech</t>
  </si>
  <si>
    <t>I would try to drive away from the word empathy and use a different word because it is a sympathy word. I would use a different but objective word .</t>
  </si>
  <si>
    <t>It is also important to adapt to the different personalities present in the project, taking into account the human aspect is very important</t>
  </si>
  <si>
    <t>Make it clear that the work done is very important and can also be important on a personal level and can give a positive turn to things.</t>
  </si>
  <si>
    <t>Dealing with people who have a common goal, whether personal or corporate, is essential for the success of the project.</t>
  </si>
  <si>
    <t>These are the principles that I would adopt in my daily life, Using an empathetic approach to improve requirements engineering (RE) processes, Collaborative problem solving, Creating a safe space, Flexibility in managing human issues, Building an empathetic team and a company culture. I would choose these because in my opinion they are all fundamental points for good teamwork, having a common path, a single goal to achieve creates unity and makes everyone go in the same direction. What I usually do is to treat the different members of the group in a personal way, everyone has a different character and sensitivity and you have to adapt to these characteristics.</t>
  </si>
  <si>
    <t>I don't think there are any clear limits, every culture and every group is different, you have to adapt based on your experiences.</t>
  </si>
  <si>
    <t>Coordination among stakeholders is crucial for effective task execution. Addressing communication and coordination issues should be a top priority, while personal matters, empathy, education, and training, although important, should take secondary precedence.</t>
  </si>
  <si>
    <t>Some factors require support from multiple people (like bridging the gap, bidirectional communication), making them harder to manage. On the other hand, issues like DEI policies and addressing individual concerns usually involve fewer people, making them easier to implement.</t>
  </si>
  <si>
    <t>We’re already working with agile methods, so two-way communication is a regular thing. I’ll also make sure to pass along any guidelines to the right person when needed.</t>
  </si>
  <si>
    <t>Here are the top five guidelines I would focus on in my work: empathetic feedback, flexibility in handling human issues, DEI policies, creating a safe space, and showing empathy during agile ceremonies. Some of these policies may fall under the HR team's responsibilities, so my role would primarily involve raising awareness and informing the appropriate members. Others can be implemented on an individual level.</t>
  </si>
  <si>
    <t>Yes, It’s tough because people don’t usually have time to talk about personal stuff or feelings. Since most work is remote now, virtual meetings tend to be all about the technical side of things.</t>
  </si>
  <si>
    <t>I believe the proposed guidelines are extremely important for implementation in real-world industry settings. Empathy plays a crucial role in fostering collaboration, reducing conflicts, and improving the overall well-being of team members. In my experience, strong relationships among stakeholders (G1) and bi-directional communication (G4) directly contribute to project success, as they enable better understanding of individual challenges and goals. Transparency about business goals (G5) is another critical element, as it aligns the team's efforts with organizational objectives, leading to more meaningful contributions and higher-quality deliverables. Additionally, creating a safe space (G10) for team members to share concerns without fear enhances trust and promotes innovation. Lastly, addressing empathy fatigue (G17) ensures long-term sustainability in cultivating empathy within teams.</t>
  </si>
  <si>
    <t>The guidelines are practical and moderately easy to implement in real-world industry settings, depending on the organization’s culture and resources. For example, fostering strong relationships (G1) can be implemented through informal activities, which are relatively easy to organize. Similarly, encouraging bi-directional communication (G4) and ensuring transparency (G5) require commitment from leadership but do not demand significant resources. However, guidelines like managing empathy fatigue (G17) and implementing DEI policies (G16) may require more substantial organizational changes and investment. The practicality of these guidelines varies depending on the size, structure, and culture of the organization. For instance, in smaller teams, implementing empathy during agile ceremonies (G8) or providing flexible work arrangements (G12) can be relatively straightforward. However, larger organizations may face challenges in aligning all departments with these practices, especially when introducing policies like DEI or empathy education (G15).</t>
  </si>
  <si>
    <t>These guidelines address several critical areas that I have struggled with or observed in team settings, such as misaligned goals, unclear requirements, and lack of flexibility during emergencies. Incorporating empathy into these processes would lead to better communication, reduced friction among team members, and improved outcomes for both the team and the product. Additionally, fostering empathy would enhance job satisfaction and create a more positive work environment, making it a valuable addition to my professional practices.</t>
  </si>
  <si>
    <t>G1 - Fostering strong relationships among stakeholders Plan: I will initiate informal team-building activities, such as lunch outings or collaborative brainstorming sessions, to strengthen interpersonal relationships and build trust. I will also encourage friendly and supportive daily interactions within the team. G4 - Encouraging bi-directional communication Plan: I will adopt open communication practices during meetings, actively listen to team members' concerns, and provide constructive feedback. I will also ensure that communication flows effectively between leadership and team members. G5 - Ensuring transparency about business goals Plan: I will work with my managers to ensure that business goals are communicated clearly during team meetings and that team members understand how their work contributes to the larger organizational objectives. G10 - Creating a safe space Plan: I will foster a non-judgmental environment where team members feel comfortable sharing their concerns. This can be achieved by setting clear expectations during meetings and leading by example through empathetic behavior. G17 - Managing empathy fatigue Plan: I will prioritize self-care by recognizing my own emotional limits and encourage team members to do the same. I will also advocate for mental health resources within the organization to support practitioners experiencing empathy fatigue.</t>
  </si>
  <si>
    <t>One limitation of these guidelines is that they require a cultural shift within organizations, which can be challenging to achieve, especially in hierarchical or rigid environments. For instance, guidelines like G15 (empathy education) and G16 (DEI policies) may face resistance due to lack of awareness or competing priorities. Another challenge is the potential for empathy fatigue, where practitioners may feel overwhelmed by constantly addressing others' needs. To address these limitations, organizations should: Provide regular training sessions to raise awareness about the benefits of empathy. Encourage leadership to model empathetic behavior. Allocate resources for mental health support to manage empathy fatigue effectively.</t>
  </si>
  <si>
    <t>Empathy is a very crucial part of staff care. You'll tend to loose you employee tryst of you dont show any empathy at all.</t>
  </si>
  <si>
    <t>When a staff understands the impact of his role to the productivity of the company, he/she will feel more sense of responsibility.</t>
  </si>
  <si>
    <t>This particular guideline will bring about a strong bond and closer relationship between staff.</t>
  </si>
  <si>
    <t>1,5,7,11,14. I intend to achieve this by incorporating them in the company's standard and norms for everyone to work with from the leading staff down to the list staff i. e after having a discussion with the team to inform them of the changes.</t>
  </si>
  <si>
    <t>I dont see any limitations.</t>
  </si>
  <si>
    <t>The reason for rating "somewhat important" for flexibility in handling human issues is because it allows for empathy and adaptability while maintaining fairness and consistency. Too much flexibility can lead to unnecessary complications, while too little can overlook individual needs.</t>
  </si>
  <si>
    <t>The reason for rating "very difficult" is that the real-world impact of developers' work involves complex, high-stakes challenges. Mistakes or oversights can lead to costly failures, security vulnerabilities, or operational downtime</t>
  </si>
  <si>
    <t>he reason for selecting "currently using it" for building an empathetic and team culture is that fostering strong relationships and open communication has become an essential part of my approach. By actively listening to team members' perspectives, acknowledging their concerns, and showing understanding, I can create a positive and collaborative environment.</t>
  </si>
  <si>
    <t>I would prioritize fostering strong relationships among stakeholders by promoting trust and open communication through team-building activities. Encouraging bi-directional communication would involve establishing clear feedback channels and stand-ups to ensure mutual understanding. Collaborative problem-solving would be implemented by involving both technical and non-technical perspectives in team discussions to find diverse solutions. Creating a safe space would focus on fostering psychological safety by leading with empathy and supporting team members. Lastly, emphasizing the real-world impact of developers’ work would involve sharing success stories and user feedback during retrospectives and one-on-one meetings to connect team efforts to tangible outcomes.</t>
  </si>
  <si>
    <t>The guidelines may face challenges like inconsistent implementation, reliance on managerial support, time constraints, and misinterpretation of empathy as leniency. To address this, I suggest integrating empathy training into onboarding, setting measurable goals, using technology to support communication, and tailoring guidelines to specific team needs.</t>
  </si>
  <si>
    <t>Employees must be happy to be productive so be flexible with requests from them</t>
  </si>
  <si>
    <t>Reality is most important. We cannot pretend to be realistic and not be.</t>
  </si>
  <si>
    <t>Need to have this culture to prosper</t>
  </si>
  <si>
    <t>1) Safe space 2) Reducing friction among stakeholder groups 3) Backup plans 4) Ensuring transparency 5) Collaborative problem solving......If we do not create a safe space to work in no one will want to work for us. It must be safe for everyone. We must be transparent and honest in our dealings. We must also trust other shareholders, We can share luncheons and foster trust and understanding among different departments in this manner.We also need to involve technicall as well as non technical people on the team. Everyone must feel they are part of the team even if their technical skills are less than others.Additionally; we must have a plan for unexpected setbacks or issues or we will not survive as a company.We must also monitor and control empathetic fatigue and guard the well being of our staff.</t>
  </si>
  <si>
    <t>Only limitations for empathy could be time constraints. This is always a possibility; but can be managed with proper planning.I will sit down with my team and discuss empathy parameters in detail individually with each team member. We wil plan our intentions at the start of the business year.</t>
  </si>
  <si>
    <t>I’ve seen a lack of empathy lead to conflict, project delays, and employee burnout. At the same time, teams with high empathy have demonstrated higher productivity, better communication, and higher job satisfaction. Critical recommendations are those without which it’s nearly impossible for a team to function effectively. Very important recommendations have a significant impact on a team’s productivity and well-being. Important recommendations contribute to better performance, but their absence is not critical</t>
  </si>
  <si>
    <t>Some recommendations are relatively easy to implement at the team level, while others require changes at the organization level, which is much more difficult. The difficulty in implementing DEI training and policies is due to the need to change the culture and mindset</t>
  </si>
  <si>
    <t>I try to implement recommendations that directly impact my work and the work of my team. Some recommendations, such as G15 and G16, require changes at the organizational level, and I have no direct influence on their implementation.</t>
  </si>
  <si>
    <t>G1 - Strengthen relationships with colleagues through informal conversations, shared lunches, and team building activities. G2 - Use simple analogies and visualizations to explain technical details to non-technical people. G4 - Actively listen during meetings and discussions. Ask questions to clarify information and express your point of view clearly and concisely. G9 - Provide feedback that is sensitive to colleagues' feelings, focusing on specific actions, and offering solutions. G10 - Support colleagues who are facing difficulties.</t>
  </si>
  <si>
    <t>Limitation: Difficulty measuring empathy. Improvement: Develop tools to assess empathy in a team. Limitation: Resistance to change from some employees. Improvement: Educate and inform about the benefits of empathy for team work. Limitation: Cultural differences in understanding and showing empathy. Improvement: Adapt recommendations to the cultural characteristics of the team.</t>
  </si>
  <si>
    <t>Flexibility is crucial in addressing human issues as it allows for a more personalized and empathetic approach, considering the diverse needs and emotions of individuals involved.</t>
  </si>
  <si>
    <t>Highlighting the real-world impact of developers' work is easy because it directly connects their efforts to tangible outcomes that affect users, businesses, and society</t>
  </si>
  <si>
    <t>Building an empathetic team and company culture fosters collaboration, trust, and a supportive work environment, which enhances both productivity and employee well-being</t>
  </si>
  <si>
    <t>I’ll build trust with stakeholders through regular check-ins and team bonding, promote open communication by actively listening and encouraging feedback, clarify requirements with stakeholders to align expectations, offer flexibility during personal emergencies, and lead by example in fostering an empathetic team culture through open communication and inclusive activities.</t>
  </si>
  <si>
    <t>The limitations include time constraints, inconsistency across teams, resistance to change, and the risk of empathy fatigue, so I suggest formalizing empathy practices with dedicated time, leadership training, clear mental health support, and policies for flexibility to ensure sustainability and consistency.</t>
  </si>
  <si>
    <t>You work with different individuals who have unique personalities, working styles, and communication preferences.There will be challenges related to collaboration,conflict resolution,and varying perspectives.</t>
  </si>
  <si>
    <t>Challenge of translating technical tasks into tangible outcomes for non-technical stakeholders.</t>
  </si>
  <si>
    <t>I prioritize understanding and supporting my colleagues' needs,challenges, and perspectives. This means fostering open communication,actively listening to tohers,and offering help when needed.</t>
  </si>
  <si>
    <t>Together, these principles create a robust foundation for a productive, supportive, and resilient software engineering environment that not only leads to technical success but also fosters personal growth, inclusivity, and long-term sustainability.Set clear expectations around project goals, timelines, and deliverables. Ensure that stakeholders have a shared understanding of requirements and potential challenges. Encourage collaboration across different teams (engineering, QA, design, operations, etc.) to bring diverse perspectives to problem-solving. Foster an environment where team members feel comfortable expressing their ideas, admitting mistakes, and proposing solutions without fear of judgment or retribution. This can be achieved by encouraging constructive feedback and promoting an open-door policy.Prepare for major failures by designing recovery strategies, ensuring that critical systems can be restored promptly with minimal impact on users.rioritize diverse talent by using fair hiring practices, ensuring that people from underrepresented groups have equal opportunities in the recruitment process.</t>
  </si>
  <si>
    <t>No,I don't see any.</t>
  </si>
  <si>
    <t>flexible work arrangements and flexible work policies</t>
  </si>
  <si>
    <t>work fosters empathy towards user needs resulting in better product quality.</t>
  </si>
  <si>
    <t>promote it through team building activities and empathetic leadership.</t>
  </si>
  <si>
    <t>G2- Bridging the technical and non technical gap,G-4 Encouraging bi-directional communication.G8-Empathy during agile ceremonies.G10-Creating a safe spare. G12-Flexibility in handling human issues.-</t>
  </si>
  <si>
    <t>my suggestion is providing employees with feedback based on their overall performance and growth can help them improve their productivity.pers</t>
  </si>
  <si>
    <t>Although you should keep your emotions out of business, having slight empathy can help guide you in the correct directions.</t>
  </si>
  <si>
    <t>Again, you can bring the people together, but they have to do the work. Because of this, I find many of these tasks as very difficult.</t>
  </si>
  <si>
    <t>I can only bring so much to my organization as I'm a "low man on the totem pole".</t>
  </si>
  <si>
    <t>All 5 answers with Empathy are important to me as I am a very empathetic person and I truly believe that guides me in the decisions that I make.</t>
  </si>
  <si>
    <t>I truly believe that you cannot teach empathy - so the classes would be very difficult to foster.</t>
  </si>
  <si>
    <t>Flexibility to handle human issues is crucial because it allows us to adapt to unexpected challenges, build stronger relationships, and maintain trust.</t>
  </si>
  <si>
    <t>rated it as neither difficult nor easy because emphasizing the real-world impact of developers' work depends on the context and communication skills.</t>
  </si>
  <si>
    <t>I believe building an empathetic team and company culture is likely to be regularly used because fostering understanding and collaboration is essential for creating a positive work environment.</t>
  </si>
  <si>
    <t>Bridging the Technical and Non-Technical Gap I will explain technical ideas in simple terms so everyone can understand. This helps the team work better together. Encouraging Bi-Directional Communication I already do this by speaking openly and listening to others. I will keep creating space for discussion and sharing ideas. Collaborative Problem Solving I believe solutions are better when we work together. I will involve the team to find ideas and solve problems as a group. Empathy During Agile Ceremonies I will make sure everyone feels heard and supported during meetings. Showing understanding helps the team stay positive and productive. Creating a Safe Space I focus on making people feel comfortable to share their thoughts. I will continue to respect everyone’s opinions and encourage open communication.</t>
  </si>
  <si>
    <t>One limitation is that fostering empathy takes time, and in software engineering, teams may prioritize tasks over people. Also, not everyone may naturally practice empathy. To improve this, I suggest having quick check-ins during meetings and doing team-building activities to help everyone understand and practice empathy more easily</t>
  </si>
  <si>
    <t>Forcing people to work and not leaving any room for mistakes puts people under stress and will have a negative impact on their performance</t>
  </si>
  <si>
    <t>It is easy because it can be done by regular meetings between developers and sale people</t>
  </si>
  <si>
    <t>Empathic culture is a prerequisite for many other guidelines like collaboration</t>
  </si>
  <si>
    <t>G14, G2, G4, G7, G11-These guidelines should be communicated to first level managers and at the end of the year, quantitative measures should be used to evaluate them</t>
  </si>
  <si>
    <t>One limitation could be when there is tight deadlines or when there is shortage of staff. In these situations, applying these guidelines would become much more difficultI thin</t>
  </si>
  <si>
    <t>I rated these priorities based on what I’ve experienced working as a Full-Stack Developer. Building strong relationships and having clear communication are super important because, without them, things can easily fall apart. Bridging the gap between technical and non-technical stakeholders is crucial since we’re often the ones translating between the two worlds. Collaboration and transparency about goals keep everyone on the same page, and problem-solving together always leads to better results. Honestly, these are the things that make projects less stressful and more successful.</t>
  </si>
  <si>
    <t>I chose these answers based on the practical realities of working as a Full-Stack Developer. Building relationships and fostering communication are generally manageable, as they rely on consistency and tools that facilitate collaboration, while bridging the technical and non-technical gap becomes easier with experience. However, reducing friction among stakeholders and emphasizing the broader impact of developers’ work can be quite challenging due to conflicting priorities and fast-paced environments. Empathy and flexibility are important but can be difficult to sustain, especially during high-pressure situations or when managing complex initiatives like DEI policies or addressing empathy fatigue. On the other hand, tasks like encouraging bi-directional communication, implementing backup plans, or providing empathy training are easier because they are often integrated into standard workflows or supported by organizational culture. Overall, the level of difficulty varies depending on the situation, team dynamics, and the company's processes.</t>
  </si>
  <si>
    <t>I chose these responses because many of these practices, like fostering relationships, bridging technical gaps, and encouraging communication, are things I already do regularly as part of my work. Some, like collaborative problem-solving and ensuring transparency, are habits I use consistently because they’re essential for successful teamwork. Others, like empathy during agile processes or creating safe spaces, are things I might use occasionally depending on the situation. Managing empathy fatigue and emphasizing the real-world impact of work are ongoing challenges that I’m currently addressing.</t>
  </si>
  <si>
    <t>Fostering strong relationships among stakeholders: Relationships are everything. I’d make sure to keep communication flowing with quick check-ins, honest feedback, and being approachable so everyone feels like they’re part of the same team. Bridging the technical and non-technical gap: Not everyone speaks “tech,” so I’d break things down into simple terms and use visuals like flowcharts or quick demos to make sure everyone’s on the same page. Encouraging bi-directional communication: Communication goes both ways, so I’d create spaces where people feel comfortable sharing their thoughts—whether that’s in meetings, chats, or casual convos—so we can all collaborate better. Collaborative problem-solving: Two heads (or more) are better than one. I’d encourage brainstorming, involve the team when troubleshooting, and use tools like shared boards or pair coding to get things done together. Managing empathy fatigue: Let’s be real, burnout sucks. I’d make time for breaks, support mental health, and remind myself and my team that it’s okay to step back and recharge when needed.</t>
  </si>
  <si>
    <t>One big limitation of these guidelines is that they can feel too idealistic in fast-paced environments where deadlines rule everything. For example, fostering empathy and collaboration takes time, but when everyone’s rushing to deliver, it’s easy to fall back into just “getting things done.” Another challenge is that not everyone naturally values empathy or soft skills, so some team members might not take these guidelines seriously, especially in tech-heavy roles.</t>
  </si>
  <si>
    <t>The fact of the matter is that, if a person is not feeling stable, whether that is mentally or physically the work that is being done will not be efficient, therefore we need to care not only for the work we do but for ourselves.</t>
  </si>
  <si>
    <t>As stated not everything should can be done easily but we need to atleast TRY to do our best in keeping everything in order, especially our mental health, I wouldn't say everything is easy as most of my awnser say, but the reason most of my awnser are that is due to being a communicative person nad having the patience to talk it out with people for the better, in this world to make things easy you gotta be mroe social. I hope this makes sense in a way.</t>
  </si>
  <si>
    <t>Most of the things you guys have said, we already use, the few things we do not, are some really good suggestions we are going to use.</t>
  </si>
  <si>
    <t>G5, G14, G10, G7 and G1: These are the ones that stuck with me due to the fact that often we do not think about them as much as we should. Implementing it should not be difficult depending on the people you are working with and if they are willing to change, talking to them abotu the things you want to change and how you want to do it, and them understanding is the best approach.</t>
  </si>
  <si>
    <t>I feel like the previous awnser sums this one as well but I will awnser it, it should not be difficult to implement, depends on the people, but I'm certain that it will definitely improve the working enviorment</t>
  </si>
  <si>
    <t>In critical personal events is unavoidable for people to prioritze them, it is a natural emergency reaction, if it is not respected and trated with empathy , one feels disregarded and loses respect. Leads to low productivity, low motivation, and low effort.</t>
  </si>
  <si>
    <t>I think it is hard for a developer to put himself in someone shoes, someone who doesn't have the his level of knowlege. Nevertheless, with a little direction it not difficult to enact situations to help understand real life usage and its feedback. so It depends on each person sensibility, but not so hard to at least make some reality checks.</t>
  </si>
  <si>
    <t>I don't really believe forced team interactions with activities "randomly" chosen are that benefic. It can even cause friction because people feel forced and for some very much out of their confort zone. So I think it is good to encourage team activities, but natural flowing ones. Also my team is very small, we naturally do activities toguether, no need to inforce it.</t>
  </si>
  <si>
    <t>G2 - Bridging the technical and non-technical gap - Just by meeting and explain situation points using non technical language, or explaining some so everyone understands , giving comparisons and pratical examples. G5 - Ensuring transparency about business goals. first of all those goals must be set. Then just explayn to the working team, wite it down on a board as , Keep in mind. Use it as a development step. G7 - Collaborative problem solving - - Brainstorming and exchanging ideas once the problems are detected, sometimes the solutions come from unexpected places, someone not techinical can have the solution and not know how to make it work, and the tecnician can know how to make it but not have the insight. G9 - Empathetic feedback process - this is essential for people to be creative, people who give feedback have to understand that harsh feedback can limit and restrain the productivity, and the will to work. the only one to enforce it is to talk and explain pros and con of the different approaches, and let the results speak for themselfs... wich leads to .. G10 - Creating a safe space. Good comunication is essential, and good communication is also empathetic. see the other point of view. Give examples , reverse the situations and show how benefitioal is for people to express theyr thoughts or be themselves withou prejudice can be. Like that one can focus on work and progress, and not worry about criticism and so on.</t>
  </si>
  <si>
    <t>Each company is very difference, so huge companies have to have a different approach than a small one. This adaptation can be challenging. Some workers are so far from eachother, never talking directly that it can be difficult. Also overwork can prevent people to have time to interact.</t>
  </si>
  <si>
    <t>In my opinion if an employee is facing personal issues they will be more susceptible to being hurt by actions or words of other colleagues even if their intent wasn't to hurt. The distressed employee will probably be more tired and on edge, due to their personal circumstances. So I feel it is very important to have flexibility policies in place that make the employees feel safe when they face their own personal circumstances. It is definitely important to know that having a personal crisis is not seen badly by the team nor the company, and that they can find support, empathy and encouragement in their teams.</t>
  </si>
  <si>
    <t>I think if communication is clear and a well established relation is maintained with the developers, they will be more than willing to explain the real impact that the choices, made by different stakeholders, will have in their own work.</t>
  </si>
  <si>
    <t>In my company we strive to maintain a culture that makes us proud. We keep communication channels open. We know how to handle ourselves and what is seen as proper behaviour when interacting with other people in work contexts. We have access to the company culture's book anytime, any day.</t>
  </si>
  <si>
    <t>I would apply the following 5 guidelines: G2 - Bridging the technical and non-technical gap; G4 - Encouraging bi-directional communication; G6 - Using an empathetic approach to improve requirements engineering (RE) processes; G9 - Empathetic feedback process; G7 - Collaborative problem solving. I would apply them by bridging gaps via simplification of shareable concepts, fostering open communication, aligning on user needs, giving constructive feedback, and involving diverse stakeholders to create inclusive, user-centered solutions.</t>
  </si>
  <si>
    <t>I would like to focus on the over emphasis on empathy, although I feel it is detrimental to a good working environment, these guidelines mention it a lot and they do not always do so in an practical, actionable way. While the guidelines advocate for empathy, they sometimes lack actionable, measurable steps to ensure consistent application, especially in technical environments where time and resource constraints are significant. So I would definitely try to bypass this limitation by finding actionable ways to promote and encourage an enhancement of empathy throughout the teams.</t>
  </si>
  <si>
    <t>Because by embracing flexibility the members of the team would create a productive and harmonious work environment where there is understanding and respect</t>
  </si>
  <si>
    <t>because effective communication of real world impact of developers will boost motivation and it is quite easy to do via the use of story telling which is not such a difficult task</t>
  </si>
  <si>
    <t>Empathy in a work place would help to create a productive, positive and sustainable environment</t>
  </si>
  <si>
    <t>G1 - Fostering strong relationships among stakeholders, G16 - Diversity, Equity, and Inclusion (DEI) policies, G10 - Creating a safe space, G17 - Managing empathy fatigue, G11 - Backup plans to manage unexpected outcomes. This would be done by making a proper plan to introduce this in several high level meetings with management to ensure people are supported at the workplace which will significantly improve the moral of the work force</t>
  </si>
  <si>
    <t>some limitations may come from personal experiences and general lack of emotional intelligence. I suggest proper staff training to resolve this</t>
  </si>
  <si>
    <t>Fostering strong realtionships amongst stakeholders forsters and improves trust and openness and also a mutual relationship amongst practitioners and by doing this, it creates a shared sense of purpose and goal in an organisation that is willing to thrive. Bridging the tyechnical and non technical gap amongst practitioners also is a very critical in the real world industry settings, building an empathetic team and company culture contributes immensely to the growth of a company that wants to thrive, as a companies culture greatly influences the ability of practitioners to express empathy which is influenced by leadership which is crucial for maintaining mental health and well-being /</t>
  </si>
  <si>
    <t>The reason for my ratings above is because having experienced how an organization is run, i tell you for a fact that it is difficult to build a successful company , it is very difficult and challenging to implement a lot of these guidelines, great things are difficult to build as well as a company, these guidelines are solid and if implemented, a company will thrive and reach it'speakbut at the same time it is difficult to achieve all of these. please note that it is very much possible to achieve all of these , with a lot of discipline and hard work it can be achieved.for example, back up plans to manage unexpected outcomes.</t>
  </si>
  <si>
    <t>The reason for the selection above is that the guidelines given above are certainly critical in software engineering practice and so, i agree to in fact embrace a lot of the guidelines if not all in my software engineering practice . these guidelines are great , constructive and reasonable in ensuring a thriving software practice.</t>
  </si>
  <si>
    <t>Bridging the technical and non technical gap, Fostering strong relationship amongst stakeholders, Building an empathetic team and company culture, encouraging bidirectional communication, Diversity, equity and inclusion policies.</t>
  </si>
  <si>
    <t>Empathy is in fact a great factor in software engineering and as such there can be limitations for fostering empathy, I'd suggest that managers and organisation should take responsibility in promoting empathy trainings to enhance more interactive skills amongst students to prepare them ahead for the industry as empathetic professionals.</t>
  </si>
  <si>
    <t>very importantto have a supporting system that colleagues facing personal challenges, while managers can offer flexible work arrangements</t>
  </si>
  <si>
    <t>During assessments, one-on-ones, and retrospectives, managers can draw attention to this influence, and practitioners who have direct access to end users can convey it.</t>
  </si>
  <si>
    <t>whereas empathic leadership and team-building exercises are ways that managers and organizations can encourage it. For empathy to be effective, it must be exhibited consistently from the top down, by all members of the organization, and not only when it is advantageous or convenient.</t>
  </si>
  <si>
    <t>Fostering strong relationships among stakeholders,Ensuring transparency about business goals,Collaborative problem solving,Backup plans to manage unexpected outcomes and Building an empathetic team and company culture</t>
  </si>
  <si>
    <t>Leadership that demonstrates empathy is crucial to creating a culture of empathy.</t>
  </si>
  <si>
    <t>I think it's very important because we are humans, and life is often hard with unexpected events happening to us or our families. Additionally, I believe tech people (developers, designers, PMs, etc.) work in a stressful environment every day. Even with emotional tools, it can be hard to manage, and we don’t plan for when we get burnou</t>
  </si>
  <si>
    <t>I think it's very important because we are humans, and we need to feel that we work to make an impact on end users and their lives. Working without meaning and just for money feels empty. We need to grow in environments where leaders clearly communicate goals and acknowledge the good things we do. For me, this is very important because it motivates us as a consequence. I think it's easy to implement, but many leaders don't share the same perspective.</t>
  </si>
  <si>
    <t>I believe any company should promote it, but even more so in the tech industry, where, as I’ve mentioned, daily challenges are often complex and demand not only intellectual resources but also emotional ones.</t>
  </si>
  <si>
    <t>I'm not a leader, nor do I have people under my supervision. Sometimes it’s hard for my suggestions to be heard, but I believe I could apply the guidelines G6, G10, G11, G12, and G13 as much as possible by suggesting them to my leader, and in turn, to their leader</t>
  </si>
  <si>
    <t>Yes, some the leaders. I think more awareness about these topics is important.</t>
  </si>
  <si>
    <t>Flexibility in handling human issues is very critical to have because it makes you become a better person and also influence others to be better</t>
  </si>
  <si>
    <t>Emphasizing the real world impact of developers work, It create awareness of of developers impact</t>
  </si>
  <si>
    <t>Building an empathetic means is a great way to bond, share values and get to know each other well</t>
  </si>
  <si>
    <t>I plan to use what the guideline to do better, i expect to schedule weekly meeting and use tools to enhance collaborative problem solving</t>
  </si>
  <si>
    <t>Empathy fatigue and time constraints might be a limitation</t>
  </si>
  <si>
    <t>I read the descriptions and to me some looked more important and vital for a company than others so I rated them</t>
  </si>
  <si>
    <t>I was asked to rate these proposed guidelines as to how practical they are according to my experience</t>
  </si>
  <si>
    <t>I answered how likely I am to use these guidelines</t>
  </si>
  <si>
    <t>G1, G2, G4, G14, G9 and I will implement each guideline accordingly</t>
  </si>
  <si>
    <t>Empathy Fatigue: Excessive emphasis on empathy might lead to burnout or fatigue among team members. Lack of Training: Not all practitioners have the skills or knowledge to incorporate empathy effectively.</t>
  </si>
  <si>
    <t>After reading the findings, they have really given me a. broader and wider perspective, I can really relate to what has been researched and my responses are based how I understand and relate to the above findings.</t>
  </si>
  <si>
    <t>I have tried and put myself in the above situations while answering each and also imaging it in the real world</t>
  </si>
  <si>
    <t>These findings are so great and it will be my pleasure to apply them in our organisation</t>
  </si>
  <si>
    <t>G15, G16, G12, G10, G2. To implement them very well, I have to first educate the entire team on the benefits of each then this will make teaching them and implementing them easier.</t>
  </si>
  <si>
    <t>I think the findings are very great and the only thing to do is to make them accessible to developers and teaching them the benefits of the findings, this will result in a positive response and efficient implementation</t>
  </si>
  <si>
    <t>Without flexibility and understanding interactions between the developers and stakeholders will be a key risk for the project success</t>
  </si>
  <si>
    <t>It’s sometimes difficult for developers to put themselves in the position of a user to fully understand what drives a user and how to satisfy their requirements on occasions</t>
  </si>
  <si>
    <t>To facilitate a successful team culture</t>
  </si>
  <si>
    <t>I select G1,G2,G3,G7,G13 and G13. I feel that all of these it’s weave into a great mix as my top five guidelines helping any team and project have a more human touch for the development team and the users who are going to be working with the end product. I’ve found focusing on the areas while not in isolation certainly have helped the teams and projects achieve successful outcomes in a positive workplace for all parties</t>
  </si>
  <si>
    <t>If h you’re starting this with a new team or business there will be resistance to change, I’ve found implementation of these changes gradually will encourage people to change joining the share journey as the benefits quickly become apparent and understood. It’s very important to get people to change gradually so it feels like a small step and not a difficult huge leap.</t>
  </si>
  <si>
    <t>Where I work, flexibility in managing human issues is essential since the work teams serve multiple clients and the workload is very high.</t>
  </si>
  <si>
    <t>Emphasizing the real-world impact of developers' work helps them connect with customer needs. They understand the why and impact of their work. They are not mere executors</t>
  </si>
  <si>
    <t>Because an empathetic culture is crucial to maintaining the mental health and well-being of employees, especially due to the nature of their work. I answer this thinking about my company.</t>
  </si>
  <si>
    <t>G12, G11, G9, G7, G14 They are the ones that I have seen give the best results to build a committed, united and participatory team.</t>
  </si>
  <si>
    <t>Some are basic to creating a coherent and well-rounded work team. Others are more beautiful words and depend a lot on the people, their way of being, ego and desire to stand out.</t>
  </si>
  <si>
    <t>My reasoning for my selections in Question 12 are that the concepts encompassed in the empathy guidelines are important in understanding and valuing the experiences, emotions and perspectives on the end-users. Moreover through incorporating the aforementioned guidelines into the software development process, developers are able to create a product that will be more intuitive and user-friendly, which will in turn lead to a high user satisfaction and trust.</t>
  </si>
  <si>
    <t>Many of the guidelines are relatively easy to implement in a real industry setting, however their ease of implementation will ultimately depend on the specific context of each setting. Moreover Companies that prioritize a culture of empathy, collaboration and continuous improvement are likely to be able to implement these guidelines easier and more effectively. In saying this however I do believe that these guidelines are relatively straightforward and easy to implement and most if not all companies should be able to follow/implement them in most scenarios.</t>
  </si>
  <si>
    <t>I feel that implementation of the guidelines would be relatively easy to do so, and that in many cases I am already currently using them. In saying this I believe that applying these guidelines will allow me to create a better user-end experience that will create higher consumer satisfaction and trust.</t>
  </si>
  <si>
    <t>My top 5 guidelines would be G13, G9, G7,G5 and G3. I feel like they are the most important as they prioritize, transparency, collaboration and Consumer Trust. In saying this I feel like the best way to implement these guidelines is to prioritize transparency and engage in active collaboration in the workplace, in a manner that prioritizes empathy in our software engineering.</t>
  </si>
  <si>
    <t>Yes I do see some limitations in the guidelines, however this largely revolves around overemphasis on User feedback and resource constraints. However these challenges can be addressed through thoughtful strategy and active promotion of cultural change in specific through providing necessary training. As such I do not thin the guidelines necessary need to be improved but rather given time.</t>
  </si>
  <si>
    <t>It is important to be flexible with developers to ensure their work/life balance is optimized. This helps with the well-being of the group.</t>
  </si>
  <si>
    <t>This ensure developers can "see" the results of their work, highlighting the value of their contribution.</t>
  </si>
  <si>
    <t>It is important to foster an empathetic culture by leading by example. A company culture showing empathy will ensure all members of a team will give and expect empathetic behavior from everyone.</t>
  </si>
  <si>
    <t>G1 Fostering strong relationships among stakeholders ensures that everyone is on the same page and all have a common goal: a successful project implementation. G2 Bridging the technical and non-technical gap is achieved by forming cross-disciplinary groups, favoring an exchange of both technical and non-technical knowledge. G4 Encouraging bi-directional communication is also a result forming cross-disciplinary groups, creating strong relationships between all members. G7 Collaborative problem solving is fostered once more by ensuring strong bonds are built by cross-disciplinary teams who have been empowered to find innovative solutions to real world problems. G11 Backup plans to manage unexpected outcomes are essential and are implemented by having a "buddy system" where members always have another staff member shadowing them.</t>
  </si>
  <si>
    <t>The challenges I see daily are changing the existing culture. To foster a more empathetic workplace, management must act in measured steps, with emphasis on goals which have been identified as achievable in a reasonably short period and with plainly visible results by all those concerned. By demonstrating these early gains to all, it will show everyone that management is serious about everyone well being, and this is not just another DEI compliance policy that is "just talk". Actions speak louder than words.</t>
  </si>
  <si>
    <t>I think the crucial point is communication, feeling sage, being able to talk and listen knowing that we all have the same goal, that it's always to be more efficient and even critics can be dealt with kindness and care. I think the guidlines about safe place, community and communication are the most important, some guidelines about policies or training are good too, but seems more theoretical to me</t>
  </si>
  <si>
    <t>I feel like it's hard to answer because some guidelines can be easy to implement in some teams or compagny and hard in others, so i based my rating on my actual situation.</t>
  </si>
  <si>
    <t>a lot of the guidelines are already things i try to apply in my team. Some are more difficult because i don't always have the time, or other managers in the compagny don't have the same goals and mentality, some are more "old school"</t>
  </si>
  <si>
    <t>G9 - Empathetic feedback process : it's a very critical one, because feedback can be tricky, it's critical, some teammate can take it personally. So i like to remind every one that it's not about tearing down the work of someone, but about searching way to improve, that it's an uplifting process. G1 - Fostering strong relationships among stakeholders : it's always easier to show empathy and support when you actually care about someone, so i try to create conviviality moments, we have lunch together every day, and often take times outside of work, for a nice restaurant, a christmas market, and we plan on an escape game. G2 - Bridging the technical and non-technical gap : it's not easy to understand each others, but we need to create a commun language. It's often my role to translate the needs of the non technical public, to the devs, and same the other way. But it supposes to undestand the basis of the technical and of the domain of expertise of the public, so i try to train myself or the team. G5 - Ensuring transparency about business goals : when we have clear and honest goal, we are more determined to reach them. I always try to be as transparent as possible with my team, but often the difficulty is with higher hierarchy, who want to retain some informations, and doesnt always trust the employes with details. So i essentially try to convince my n+1 to be more open, and show them example of how beneficial it is. G11 - Backup plans to manage unexpected outcomes : it seems so important to me but also hard to implement. We often have difficulties due to unexpected problems, like employees health, someone leaving, either in or team or in the client structure, change of interlocutor, and we always loose a lot of time and it's stressful. We'd have a lot to win if we planed for the unexpected, implemented time for problems, but we always have short plannings and the hierarchy doesn't understand that sometimes more time is needed</t>
  </si>
  <si>
    <t>I think it can be difficult due to lack of time or ressources. Training and policies are good but you need to make the time to create them and apply. Hierarchy can also be tricky, some manager or executive don't see the value in empathy, they want result and fast, and don't think long term, how safe space can lead to better work in the long run, with employees more willing to stay in the compagny for many years for example</t>
  </si>
  <si>
    <t>Employees who do not feel heard and understood by their superiors and/or peers are more likely to have the quality of their performance and their commitment decrease exponentially, as the personal frustration, fatigue, etc. build up. I find it more efficient and effective, in the long run, to allow people personal time and space, when needed, even if this means "endangering" the progress of work and pushing deadlines; employees who feel seen and heard, as people and not as just another "employee ID", will likely be grateful for this and give back to the company, not to mention that they are less likely to end up in a burnout. And if employees abuse of this kind of flexibility and empathy, they are not desirable to have around, due to their questionable moral standards, no matter how good they may be at their work.</t>
  </si>
  <si>
    <t>Developers are technical, system-oriented people, and putting themselves in the users' shoes might not come naturally. In my experience, as someone who bridges between developers and users, it is important to channel the development from a user experience perspective, but this is very difficult to do if you don't have hands on experience with the processes, deadlines erc. that the users have to follow and strong acumen regarding those users' cultural background. You need to know how those users think and operate, the level of complexity that they can handle, based on the maturity of the organization, the likelihood of human error, etc. and you need to convey this to the developers, which is not an easy task given the different backgrounds and focus.</t>
  </si>
  <si>
    <t>I think this is important to achieve. My answer is based on my position in the company and the extent to which I can influence company policies and culture, which is almost zero given the size of the organization. What I can do and am doing is provide regular feedback to people who are in positions where they can influence this.</t>
  </si>
  <si>
    <t>G4, G5, G7, G11, G12. These are already part of my daily practices. I regularly check in on my team members' wellbeing (sometimes just being asked how you are helps) anf I organize regular meetings with them to discuss status, challenges, next steps, backup plans, etc.</t>
  </si>
  <si>
    <t>I think empathy is something you either have or don't have. It may not be so difficult to teach, but my experience working with all sorts of people shows that people who had to "learn" empathy rationally are quite unlikely to use it, because it does not come naturally to them. I would rather take a "reactive" approach and not so much s "proactive" one; instead of trying to teach empathy, I prefer to focus on pointing out non-empathetic behaviour and explaining how an empath would have handled the situation.</t>
  </si>
  <si>
    <t>Lack of empathy from stakeholders during crisis situations lead to negative outcomes, including resignations. In contrast, empathetic support allows team members to handle emergencies and return with renewed loyalty. Demonstrating empathy and flexibility in these situations fosters team loyalty and contributes to project success. Practitioners can apply this guideline by showing empathy towards colleagues facing personal emergencies. Managers can offer flexible work arrangements, and organisations can formalise this through new leave schemes or flexible work policies.</t>
  </si>
  <si>
    <t>Emphasising the real-world impact of developers’ work: Developers' disconnection from end-users makes it harder for them to recognise the impact of their work. Helping developers see the tangible effects of their work fosters empathy towards user needs, resulting in better product quality. Using storytelling frameworks such as the hero's journey or three-act structure can make the real-world impact more relatable. At practitioner level, those with direct access to end-users can communicate this impact, helping others see its value. At managerial and organisational levels, this can be highlighted during evaluations, one-on-one meetings, and sprint retrospectives</t>
  </si>
  <si>
    <t>Company and team culture influences the ability of practitioners to express empathy. Empathy is influenced by leadership, with team members more likely to express empathy when leadership models it. Given the substantial time individuals spend at work, fostering an empathetic culture is crucial for maintaining mental health and well-being. This can be adopted at all levels: practitioners can contribute by fostering an empathetic team environment in daily interactions, while managers and organisations can promote it through team-building activities and empathetic leadership. To be effective, empathy needs to be consistently demonstrated from the top down, with everyone in the chain embodying it, not just when it is convenient or beneficial.</t>
  </si>
  <si>
    <t>Fostering Strong Relationships Among Stakeholders How to Incorporate: Daily Interactions: I will actively practice empathy by being friendly, supportive, and attentive to colleagues' needs and concerns. This involves listening actively, offering help, and showing genuine interest in their well-being. Team Bonding Activities: Organize informal activities such as team lunches, virtual coffee breaks, or team-building exercises to strengthen relationships. Company-Wide Events: Advocate for company-wide events that encourage inter-departmental interaction, such as town halls or social gatherings, to foster a sense of community. 2. Bridging the Technical and Non-Technical Gap How to Incorporate: Tailored Explanations: When explaining technical concepts, I will adjust my language to match the audience's understanding, using analogies and scenarios to illustrate points clearly. Cross-Functional Collaboration: Encourage regular meetings between technical and non-technical teams to discuss projects, gather feedback, and ensure alignment. Documentation: Create clear, user-friendly documentation that explains technical processes in a way that non-technical stakeholders can easily grasp. 3. Empathy During Agile Ceremonies How to Incorporate: Sprint Planning: During sprint planning, I will ensure that tasks are realistically allocated, considering each team member's workload and strengths. Daily Stand-Ups: Use daily stand-ups to address challenges, offer support, and celebrate achievements, fostering a positive and collaborative atmosphere. Retrospectives: In retrospectives, I will focus on constructive feedback and empathetic problem-solving to improve processes and team dynamics. 4. Creating a Safe Space How to Incorporate: Open Communication: Encourage open communication by being approachable and non-judgmental, ensuring team members feel comfortable sharing their concerns. Empathetic Leadership: Lead by example, demonstrating empathy in my interactions and decision-making. Formal Policies: Advocate for formal policies that promote psychological safety, such as anonymous feedback channels and regular mental health check-ins. 5. Managing Empathy Fatigue How to Incorporate: Setting Boundaries: Clearly define boundaries to ensure a healthy work-life balance, encouraging team members to do the same. Self-Care Practices: Promote self-care practices such as regular breaks, mindfulness exercises, and mental health days. Support Systems: Establish support systems within the team, such as peer support groups or access to professional counseling services, to help manage stress and prevent burnout. Specific Steps: Implement Regular Check-Ins: Schedule regular one-on-one check-ins with team members to discuss their workload, address any issues, and offer support. Facilitate Cross-Functional Workshops: Organize workshops where technical and non-technical teams can collaborate, share knowledge, and build mutual understanding. Encourage Feedback: Create a culture where feedback is regularly sought and given, ensuring it is always constructive and empathetic. Promote Team Activities: Arrange team-building activities that promote interaction and bonding among team members. Advocate for Mental Health: Push for organizational initiatives that support mental health, such as flexible working hours and access to mental health resources. By incorporating these guidelines, I aim to create a more empathetic, collaborative, and supportive work environment, ultimately leading to better outcomes for both the team and the organization:Daily Interactions: I will actively practice empathy by being friendly, supportive, and attentive to colleagues' needs and concerns. This involves listening actively, offering help, and showing genuine interest in their well-being. Team Bonding Activities: Organize informal activities such as team lunches, virtual coffee breaks, or team-building exercises to strengthen relationships. 2.Bridging the Technical and Non-Technical Gap:Tailored Explanations: When explaining technical concepts, I will adjust my language to match the audience's understanding, using analogies and scenarios to illustrate points clearly. Cross-Functional Collaboration: Encourage regular meetings between technical and non-technical teams to discuss projects, gather feedback, and ensure alignment. 3.Empathy During Agile Ceremonies:Sprint Planning: During sprint planning, I will ensure that tasks are realistically allocated, considering each team member's workload and strengths. Daily Stand-Ups: Use daily stand-ups to address challenges, offer support, and celebrate achievements, fostering a positive and collaborative atmosphere. 4.Creating a Safe Space:Open Communication: Encourage open communication by being approachable and non-judgmental, ensuring team members feel comfortable sharing their concerns. Empathetic Leadership: Lead by example, demonstrating empathy in my interactions and decision-making. 5.Managing Empathy Fatigue:Setting Boundaries: Clearly define boundaries to ensure a healthy work-life balance, encouraging team members to do the same. Self-Care Practices: Promote self-care practices such as regular breaks, mindfulness exercises, and mental health days.</t>
  </si>
  <si>
    <t>There are certainly a few limitations and challenges to consider when implementing the proposed guidelines for fostering empathy in software engineering. Here’s a detailed analysis along with suggested improvements:Time Constraints: Challenge: The fast-paced nature of software development often leaves little time for extensive empathy-building activities. Improvement: Integrate empathy practices into existing workflows. For example, incorporate short empathy exercises into daily stand-ups or allocate time during sprint retrospectives for team bonding and empathy discussions. Resistance to Change: Challenge: Some team members may resist new empathy-focused initiatives, viewing them as unnecessary or distracting from their technical work. Improvement: Demonstrate the tangible benefits of empathy on productivity and team dynamics through case studies or pilot programs. Engaging influential team members as empathy champions can help shift the culture.</t>
  </si>
  <si>
    <t>Flexibility in handling human issues is vital in real-world industry settings, as it fosters employee loyalty, enhances productivity, builds trust, attracts talent, and ensures effective crisis management, ultimately aligning employee well-being with business success.</t>
  </si>
  <si>
    <t>The work of developers has a profound real-world impact, driving innovation, improving daily life through technology, solving complex problems, and shaping industries, making their contributions essential to societal and economic progress.</t>
  </si>
  <si>
    <t>Building an empathetic team and company culture fosters trust, enhances collaboration, improves employee satisfaction, and creates a supportive environment where individuals feel valued, leading to greater loyalty, productivity, and long-term success.</t>
  </si>
  <si>
    <t>1. G1 - Fostering Strong Relationships Among Stakeholders Why: Strong relationships promote trust and collaboration, essential for successful teamwork and project outcomes. How: Daily Practice: Be approachable, supportive, and empathetic in every interaction, ensuring open communication with colleagues and stakeholders. Managerial Level: Organize informal team bonding activities like lunch outings or collaborative brainstorming sessions. Organizational Level: Advocate for empathy to be included in the company’s values and participate in cross-departmental team-building events. 2. G2 - Bridging the Technical and Non-Technical Gap Why: Miscommunication between technical and non-technical stakeholders often leads to misunderstandings and delays. How: Daily Practice: Simplify technical explanations using analogies and visual aids tailored to the audience's understanding. Managerial Level: Facilitate workshops where developers and non-technical stakeholders collaborate on shared goals, encouraging direct communication. Organizational Level: Advocate for mixed-team collaborations to bridge this gap consistently. 3. G5 - Ensuring Transparency About Business Goals Why: Transparency aligns individual contributions with organizational objectives, fostering a sense of purpose and empathy toward broader business needs. How: Daily Practice: Seek clarity about how my work impacts business objectives and communicate this understanding to peers. Managerial Level: Advocate for regular updates on business goals during team meetings and ensure alignment with tasks. Organizational Level: Push for transparency to be formalized through dashboards or open forums for all employees. 4. G10 - Creating a Safe Space Why: A safe environment encourages openness, promotes mental well-being, and strengthens trust within teams. How: Daily Practice: Actively listen to team members' concerns and avoid judgment during discussions. Managerial Level: Promote a culture where constructive feedback is the norm and personal concerns are respected. Organizational Level: Advocate for anonymous feedback channels and policies that ensure confidentiality and safety. 5. G13 - Emphasising the Real-World Impact of Developers’ Work Why: Connecting developers to the tangible outcomes of their efforts fosters empathy for users and enhances motivation. How: Daily Practice: Share insights about how our work positively impacts end-users during stand-ups or retrospectives. Managerial Level: Incorporate user feedback sessions where developers can hear directly from end-users. Organizational Level: Celebrate success stories that highlight the broader impact of completed projects through newsletters or team meetings. Implementation Summary: Incorporating these guidelines requires deliberate daily actions (e.g., empathy in communication, simplifying technical details) supported by managerial initiatives (e.g., organizing team bonding and bridging gaps) and organizational policies (e.g., transparency, fostering a safe space). Consistent application at all levels ensures these practices are deeply integrated into the workplace culture.</t>
  </si>
  <si>
    <t>Limitations in the Guidelines 1. Lack of Metrics: Many guidelines lack clear measures to evaluate success, making progress difficult to track. 2. Resource Constraints: Activities like empathy training or team bonding may conflict with deadlines and budgets. 3. Cultural Differences: Diverse teams may interpret and practice empathy differently, complicating uniform adoption. 4. Empathy Fatigue: Overemphasis on empathy without boundaries can lead to burnout. 5. Resistance to Change: Task-focused professionals may see empathy initiatives as unnecessary or disruptive. Challenges in Adoption 1. Balancing Empathy and Productivity: Empathy practices may be deprioritized under tight deadlines. 2. Leadership Support: Without senior leadership advocating for these practices, implementation may be inconsistent. 3. Skill Gaps: Many practitioners need training to effectively integrate empathy into their roles. 4. Team Dynamics: Differences in roles and personalities can create friction when applying uniform empathetic practices. Suggestions for Improvement 1. Introduce Metrics: Use KPIs like employee satisfaction, retention rates, and feedback to track success. 2. Embed in Workflow: Incorporate empathy into existing agile ceremonies, such as retrospectives and daily stand-ups. 3. Tailored Training: Offer role-specific empathy training to address diverse team needs. 4. Leadership Advocacy: Ensure leaders model and prioritize empathy-focused initiatives. 5. Cultural Sensitivity: Train teams to adapt empathy practices to diverse cultural norms. 6. Manage Empathy Fatigue: Establish clear boundaries and provide mental health support to prevent burnout. 7. Feedback Loops: Collect regular feedback from teams to refine initiatives and address challenges. Conclusion These refinements ensure the guidelines are actionable, measurable, and sustainable while addressing practical challenges, enabling organizations to foster empathy without disrupting productivity.</t>
  </si>
  <si>
    <t>It is extremely important to look at the company from the perspective of the employees. At the end of the day, they're trying to earn a paycheck, and only care about the company if you help them. Things like DEI, empathy in the team and company, handling human issues are all extremely important. Beyond that, to help with the company's success, you have to have the policies on open communication, impact, transparency, and working together.</t>
  </si>
  <si>
    <t>There's a good mix of easy to implement and hard to implement things here. I've felt most frustrated at companies when they simply don't take the time to care. Furthermore, having open communication isn't hard, in fact, I feel like it should be strived for as employees usually have really good ideas. In terms of difficulty, including stakeholders and making business plans require deliverate, extensive effort that can be hard to find the time for.</t>
  </si>
  <si>
    <t>I follow a lot of these principles already, but things like backup plans, safe spaces,and helping with stakeholders is certainly very helpful from a policy perspective. Those things are hard, like I mentioned earlier, and having it all laid out succinctly, makes it a lot easier.</t>
  </si>
  <si>
    <t>G1, G2, G3, G10, and G11. I plan to include stakeholders in more of our internal meetings, whether they're internal or not. Perhaps even sending out some sort of feedback form for them to review internally. G2, bridging the gap is hard, but again, more open communication and also having more direct interactions with end users, through feedback forms, user feedback zoom calls, and helping to collaborate that way. G3, having more open communication internally between not just engineering but also product. We also implement the golden rule of not blaming anyone. G10, I do believe I already create a safe space but allowing the team to garner their own rules for safe spaces, as I haven't asked that question. I plan to implement an anonymous functionality of team feedback, during pointing and in general. For G11, I'd like to discuss with the team our plans for PTO and what that may look like. Obviously, PTO is okay, but we do need backup plans. Furthermore, we could do less siloing, allowing pairing more and cross team collaboration to ensure that there is no siloing problem, where only one engineer knows how something works.</t>
  </si>
  <si>
    <t>Time and resources is the biggest thing. We don't have an unlimited amount of time, and productivity must be considered. If we focus too much on the procedures, we lose out on valuable focus time. No engineer likes too many meetings either. I think this could be solved through asynchronous communication when possible, and leading the solutions to these problems by example, rather than just detailing them in a lengthy conversation or message. Alignment, as well. Engineers and product must be open to this kind of thing. Devoting the time, devoting the energy and including others on more things, which many people may not be up for. If it's broken down into small actionable steps, that could prove to be helpful.</t>
  </si>
  <si>
    <t>Empathy applied to different strategies/modalities is sure to make a positive, meaningful impact on the well-being of the employees directly, the employee-employee relationship, the relationships with stakeholders, and the quality of the work they complete. That is why I marked most of them as either "critical to have" or "very important to have."</t>
  </si>
  <si>
    <t>Some things such as "empathy education and training" and "DEI policies" are not difficult to implement, and good very well be included on onboarding training for new employees. Other things like "reducing friction among stakeholder groups" is always going to be more difficult. Some stakeholder groups will always naturally collide (such as testers and developers, as mentioned in the guidelines).</t>
  </si>
  <si>
    <t>Empathy education and training is not something I think we really accentuate in our company, but I see how it could be useful. I am not currently in the position to implement this type of training for my organization, but if someone does implement this, I am likely to regularly use it. Other policies like for DEI, my organization currently uses. Overall, all of these empathy guidelines are desirable to implement, and if I had the power to do so, I would.</t>
  </si>
  <si>
    <t>G5, G10, G15, G16, G4. These are all simple guidelines that can be implemented as training during onboarding of new employees. They have high impact and in my opinion would lead to higher employee retention.</t>
  </si>
  <si>
    <t>Reducing friction between some stakeholder groups may be the opposite of what's needed for some groups. I think testers and developers are bound to have friction, and I think that's good. That's what leads to intense discussions and advancement in the work they are performing. Critiquing a developer's work is necessary as a tester so they can improve the software. Reducing that friction might lead to testers holding back.</t>
  </si>
  <si>
    <t>Flexibility is a crucial asset for businesses aiming to stay competitive, agile, and sustainable in today’s fast-paced market. It allows companies to adjust to market shifts, foster innovation, improve customer satisfaction, and handle risks more efficiently. Organizations that prioritize flexibility are better equipped to overcome challenges, seize new opportunities, and achieve long-term success. Therefore, flexibility is not merely an advantage—it is an essential strategy for thriving in modern business.</t>
  </si>
  <si>
    <t>Emphasizing the real-world impact of developers' work is challenging because technical results are often abstract and not immediately visible to end-users. However, it's not impossible—by improving communication between developers and stakeholders and aligning technical work with business outcomes, companies can effectively highlight the impact of developers' contributions. It requires consistent effort but can be achieved with the right approach.</t>
  </si>
  <si>
    <t>Building an empathetic team culture boosts collaboration, communication, and support, leading to better teamwork and software outcomes. Prioritizing empathy helps team members understand each other and users, resulting in more effective problem-solving, higher job satisfaction, and user-focused products.</t>
  </si>
  <si>
    <t>To integrate DEI policies, manage empathy fatigue, provide empathy training, maintain flexibility, and create a safe space, I plan to: 1. **DEI Policies:** Promote diversity in hiring, collaboration, and project management, ensuring all voices are valued. 2. **Empathy Fatigue:** Recognize signs of burnout, set up team check-ins, and rotate emotionally taxing tasks to prevent fatigue. 3. **Empathy Education:** Offer ongoing empathy training, encourage active listening, and share resources to enhance emotional intelligence. 4. **Flexibility:** Be adaptable in handling personal issues, offering flexible work hours or adjusted deadlines when needed. 5. **Safe Space:** Create an open, inclusive environment for honest communication, using anonymous feedback or regular team check-ins. These practices will foster a supportive, collaborative work culture, improving both team dynamics and software outcomes.</t>
  </si>
  <si>
    <t>Time Constraints: Tight deadlines may make empathy-building activities feel like distractions. Improvement: Integrate empathy into daily tasks like code reviews and team meetings to make it part of the workflow. Cultural Resistance: Some teams may resist empathy efforts, seeing them as unimportant. Improvement: Link empathy directly to team collaboration and product quality, showing its tangible benefits. Scalability: Maintaining empathy in larger teams can be challenging. Improvement: Assign empathy champions and use anonymous feedback tools to maintain the culture as teams grow. Empathy Fatigue: Focusing too much on others' needs may lead to burnout. Improvement: Regularly check in on team well-being and ensure a healthy work-life balance. Balancing Empathy with Accountability: Too much empathy can lead to leniency and undermine performance. Improvement: Balance empathy with clear, compassionate accountability processes. Diverse Needs in Training: One-size-fits-all empathy training may not be effective. Improvement: Tailor training to different roles and learning styles for greater impact. By addressing these challenges, empathy can be successfully integrated into the software engineering environment, improving collaboration and team well-being.</t>
  </si>
  <si>
    <t>It is important to be flexible but at the end of the day, a company will always prioritize the work that needs to be done. Many of these topics sound good to Human Resources but don't actually change worker's experience. Things like empathy training become a short online tutorial that creates extra work for employees. Meanwhile bad bosses will still get promoted if they squeeze more output from their employees.</t>
  </si>
  <si>
    <t>A lot of superficial things like empathy training is very easy. The company just needs to make some small changes. Changes for lower-level employees is also easier. They are more obedient and replaceable. Changing company culture or top level management is very difficult.</t>
  </si>
  <si>
    <t>These topics need to be weighed against the time and resources I have to spend. Since I am not involved in company policy, I cannot change DEI or empathy training. I can only implement things on a personal level. I can do things like improve communication and personal empathy.</t>
  </si>
  <si>
    <t>G1 - Fostering strong relationships among stakeholders: I will meet more often with other stakeholders and be supportive when they struggle. G3 - Reducing friction among different stakeholder groups: I will be more considerate of quality assurance testers and plan more time for them. G6 - Use an empathetic approach to improve requirements engineering (RE) processes: I will be more considerate and patient when requirements change. G8 - Empathy during agile ceremonies: I will be more supportive during standup. G9 - Empathetic feedback process: I will be more diplomatic when giving critical feedback and try to give more positive feedback.</t>
  </si>
  <si>
    <t>Yes, there needs to be more diversity at all levels in software industry. We should encourage more women to study computer science. Also company executives should have more minorities and women.</t>
  </si>
  <si>
    <t>I rate these on the basis of strategy and critical requirement of the corresponding actions regarding to achieve high level in Industry.</t>
  </si>
  <si>
    <t>It depended on the nature of the scenario how mush the effort need to implement like tranpency in business goals are difficult. As in industry its not easy to compete the market without any hidden aims.</t>
  </si>
  <si>
    <t>I am not involved in all the Empathy guidelines. However, I am involve or keep track on guidelines according to my task and enhance my capability to perform in a well manner.</t>
  </si>
  <si>
    <t>As my field is related to technical so often I take my part to design software and share the aspect to clients. Also training process keep me to involve in modern technologies. I establish working relationship with other to make a space and implement these guidelines.</t>
  </si>
  <si>
    <t>Certainly some limitations are there, as the mindset is different among the people to think about the matter. So to overcome these everyone should open their minds to implement the algorithms.</t>
  </si>
  <si>
    <t>We must be flexible in handling human issues. We need to keep our employees happy as a happy employee. ployee is a produc</t>
  </si>
  <si>
    <t>The real world impact of developers work needsto be empahsized assuming the results are positive. I design and manufacture robots for seniors. For me this is a tremedous positive and something I am very proud of so I like when my results are emphasized in the real world.</t>
  </si>
  <si>
    <t>Building an empathetic company culture is high on my list of priorities. From this all further positive outcomes will evolve. When we can understand and share the feelings of another; we will create a much better environment to do our work. comes will evolve. When we can will evolve. When we are able to share and</t>
  </si>
  <si>
    <t>1) Creating a safe einvironment - already have done this by eliminating any hazards or risks in the manufacturing plant we have.Policies are in place to prevent fire or explosions or other safety concerns such as tripping or falling; etc.2) We have a backup plan in place to deal with unexpected issues such as an emergency situation or unexpected issues. Everyone takes a mandated refresher course annually for this. 30 We are building an empathetic culture as we respect and share ideas with each other often. this harbors a feeling of relaxation from stress and we are more productive. 4) The company offers trainingand education in all areas of the manufacturing process we do so anyone can take advantage of this. 5) We will use collaborative problem solving with everone contributing to brainstorming sessions.</t>
  </si>
  <si>
    <t>I do not see any limitations or any other major challenges in adopting empathetic guidelines for our software engineering. The respect in our company for one another is commendable.</t>
  </si>
  <si>
    <t>Empathy education and training are vital because they equip software practitioners with the tools to better understand and respond to the perspectives, emotions, and needs of others. This is especially important in an industry where technical communication often leads to misunderstandings between stakeholders with varying levels of expertise. By promoting empathy through education and training, organisations can foster better collaboration, reduce conflicts, and improve overall team dynamics. Empathetic professionals are more likely to engage effectively with users, colleagues, and clients, leading to better outcomes in both development processes and the final products.</t>
  </si>
  <si>
    <t>Empathy education and DEI policies are easy to implement in software companies because many are already recognising their value and are actively investing in soft skills and inclusivity. There are numerous affordable training resources available, and these initiatives can easily be integrated into existing programs, making them practical and low cost to adopt. Additionally, companies often see immediate benefits in improved team dynamics, communication, and overall performance, which makes these guidelines not only feasible but also highly impactful.</t>
  </si>
  <si>
    <t>I believe empathy is key to effective teamwork and project success, which is why I already apply many of the proposed guidelines, such as fostering strong relationships and encouraging open communication. While I’m committed to continuing and improving these practices, I also see areas where I can be more proactive, like using empathy more intentionally during agile ceremonies and feedback sessions. Overall, I plan to keep enhancing my empathetic approach to create a supportive, collaborative, and transparent work environment.</t>
  </si>
  <si>
    <t>Fostering strong relationships among stakeholders - Building rapport with stakeholders through regular, transparent conversations strengthens trust and enhances collaboration. This helps reduce communication barriers, leading to smoother project execution.Bridging the technical and non-technical gap - Technical concepts are communicated in a way that simplifies complex details for non-technical stakeholders, ensuring clarity and alignment. Cross-departmental workshops further promote a shared understanding of both technical and business perspectives. Empathy during agile ceremonies - Agile ceremonies become more inclusive when active listening and mutual respect are prioritised, making team members feel heard. This encourages open dialogue, fostering a collaborative atmosphere where challenges and successes can be openly discussed. Empathetic feedback process - Constructive and encouraging feedback focuses on growth, helping individuals understand their strengths and areas for improvement. Encouraging a two-way feedback loop ensures that team members feel comfortable sharing their thoughts and contributing to continuous improvement. Creating a safe space - A non-judgemental environment is fostered where team members can freely voice concerns, knowing they will be heard. Informal sessions, like "office hours," provide opportunities for individuals to seek support and discuss issues in a relaxed, supportive setting.</t>
  </si>
  <si>
    <t>The proposed guidelines for fostering empathy in software engineering may face challenges such as time constraints, organisational resistance, and difficulties in measuring empathy effectively. Additionally, excessive emotional demands on team members can lead to burnout or empathy fatigue. To address these, the guidelines should be integrated into existing processes to save time, with leadership playing a key role in promoting cultural change. Clear metrics, self-care strategies, and training on managing empathy fatigue would help ensure the guidelines are sustainable and beneficial for all involved.</t>
  </si>
  <si>
    <t>a united group of specialists participating in an IT project works better if strong and sincere personal relationships are built, where all are appreciable people, not just colleagues</t>
  </si>
  <si>
    <t>It is not always easy to involve people with the right degree of involvement, because some colleagues are closed or introverted, but I like to try to make them participate in the right climate of collaboration within the team</t>
  </si>
  <si>
    <t>I like to constantly monitor the climate that is perceived among colleagues, also with the use of irony to ease possible tensions or reduce worries. No one should feel left out, everyone must be valued and treated with the respect they deserve</t>
  </si>
  <si>
    <t>G1, G5, G16,G12, G4 are my preferred points. I apply them regularly and I am convinced that they are very useful for the effective implementation of projects</t>
  </si>
  <si>
    <t>I am aware that these efforts are sometimes complex, but I believe the time dedicated to them is well rewarded</t>
  </si>
  <si>
    <t>I went through and determined what’s critical down to what’s not necessary. DEI has been proven to be detrimental to a company so that is not important to have. What’s really important is that the team members get along and work well together to achieve the goals of the project. It’s important for the team members to be valued. It’s also equally important that the stakeholders also feel their input has value and they are being listened to. It is nice to have empathy training but then how much is that costing your company and is it working? Is it possible for the management to incorporate empathy training into normal work tasks?</t>
  </si>
  <si>
    <t>Fostering stakeholder relationships is easy, have meetings and make them feel valued. Bridging the technical and non-technical can be easy as long as you explain it in a way that you confirm the non technical person is understanding and have them explain it back to you. It can be difficult to reduce friction among groups, in our society most people only care about their goals rather than the groups goals, it would take strong leadership to reduce the friction. Bi-directional communication is difficult, at just about every organization communication is terrible, there would need to be a reduced number of ways to communicate such as limiting it to chat group on Teams, or email or in person meetings. Handling human issues is always difficult because all humans are different and have different lives and issues. DEI doesn’t work and never leads to anything good. Creating a safe space is difficult because each person has a different view on what’s a safe place.</t>
  </si>
  <si>
    <t>At my organization we currently use most of the buildings listed above. We do not use DEI for any hiring practices or anything else as it doesn’t work. We encourage our team to be empathetic when collaborating with stakeholders. We encourage the team to get along and communicate amongst themselves but also in an open group chat on Teams. Creating a safe space is incorporated into our company policies, we do not allow any unprofessionalism or violence, we have weekly team meetings so developers can provide feedback and feel valued,</t>
  </si>
  <si>
    <t>Fostering strong relationships with stakeholders- Impeotsnt because without stakeholders we don’t have a job. Bi-directional communication is important because without it the projects can get messed up and resources could be wasted. Collaborative problem solving because everyone has different inputs and it guarantees decisions aren’t being made by just one person. Empathetic feedback - very important to prevent employee turnover which would cost the company money by hiring and onboarding new employees. Backup plan- very important because it’s important to have plans in place so time and money doesn’t get wasted,</t>
  </si>
  <si>
    <t>The biggest limitation is DEI, many companies who incorporated that have failed. Skillset is very important especially in software engineering. The biggest challenges are the human factor which is getting everyone to get along, handling human issues, managing workloads and making the employees feel valued.</t>
  </si>
  <si>
    <t>Empathy is crucial for successful teamwork, understanding user needs, and maintaining a positive work environment. These guidelines address common issues such as communication gaps, friction between roles, and personal challenges, promoting more effective and compassionate work practices. Implementing them can lead to better project outcomes, improved mental health, and a more inclusive and productive workplace.</t>
  </si>
  <si>
    <t>While the guidelines are realistic and beneficial, their successful implementation requires a supportive environment. For instance, fostering strong relationships or bridging technical gaps may be challenging without the right communication tools or team structure. However, with clear leadership support, empathy training, and the integration of these practices into company culture, they can become effective. Challenges may arise in scaling these practices across large or diverse teams, but with continuous effort and adaptation, they are achievable.</t>
  </si>
  <si>
    <t>The guidelines provide a comprehensive approach to fostering empathy in various aspects of software development. They address key areas such as communication, collaboration, and team dynamics, which are crucial for successful and healthy work environments. Implementing these guidelines can lead to better relationships with stakeholders, clearer requirements, and more cohesive teams. Overall, they would contribute to improving both individual well-being and project outcomes, making them valuable tools for enhancing empathy in my practice.</t>
  </si>
  <si>
    <t>Empathy Education and Training (G15) How to incorporate: I plan to participate in empathy and interactive skills training programs and promote such initiatives within my team. I will also seek to continuously improve my own empathetic skills through workshops or resources on effective communication and emotional intelligence. Steps: Attend internal or external empathy training programs, engage with literature on empathy, and share learnings with colleagues to foster a culture of empathy. Managing Empathy Fatigue (G17) How to incorporate: I will prioritize self-care by setting clear boundaries between work and personal life. I will recognize signs of empathy fatigue and take breaks or seek support as needed. Open communication about emotional strain will also be a priority within my team. Steps: Regularly check in with myself regarding emotional fatigue, set work-life balance boundaries, and encourage a culture of openness where empathy fatigue can be addressed without stigma. Flexibility in Handling Human Issues (G12) How to incorporate: I will be mindful of my colleagues’ personal challenges and offer flexibility in their work arrangements during emergencies. I will also advocate for the creation of flexible policies in my team or organization. Steps: Practice understanding and accommodating requests for flexible work hours or emergency leave, ensure my team feels supported in times of personal crisis, and discuss the benefits of flexible policies in meetings. Fostering Good Relationships with Stakeholders (G1) How to incorporate: I will make a concerted effort to build strong, trust-based relationships with stakeholders by being approachable, actively listening to their concerns, and offering support during discussions. I will also participate in team bonding activities to strengthen these relationships. Steps: Set regular check-ins with stakeholders, engage in informal interactions (like coffee chats or team outings), and actively listen to understand their needs and expectations. Encouraging Transparency About Business Goals (G5) How to incorporate: I will ensure clear communication of business goals within my team and help align our technical work with organizational objectives. I will make an effort to understand the broader business context and share this information with colleagues to foster empathy and clarity. Steps: Regularly communicate business goals to the team, align technical efforts with these goals, and provide feedback loops that ensure everyone understands how their work contributes to the larger mission.</t>
  </si>
  <si>
    <t>Limitations and Challenges: Time and Resource Constraints: Limitation: Implementing empathy practices, such as training or relationship-building, can be time-consuming and resource-intensive, especially with tight project deadlines. Improvement: Integrate empathy activities into existing processes, like including empathy training in onboarding and allocating time within regular team meetings. Scalability Issues: Limitation: Fostering strong relationships (G1) and ensuring bi-directional communication (G4) can be difficult to scale in larger teams. Improvement: Use tools like team collaboration platforms for regular check-ins and standardized empathetic communication practices. Empathy Fatigue: Limitation: Constant emotional engagement may lead to empathy fatigue, particularly in high-pressure environments. Improvement: Encourage self-awareness, set boundaries, and provide mental health resources to prevent burnout. Cultural Resistance: Limitation: Some organizations may resist empathy initiatives, viewing them as secondary to results. Improvement: Emphasize the benefits of empathy, like improved collaboration and product quality, and integrate it into company values and performance metrics. Diverse Stakeholder Needs: Limitation: Stakeholders have varied preferences, making it challenging to apply empathy uniformly. Improvement: Tailor empathy strategies based on individual stakeholder needs, adapting communication style accordingly. Overall Improvements: Integrate empathy practices into existing workflows, gather continuous feedback, and offer tools (e.g., empathy maps) to assist in daily application.</t>
  </si>
  <si>
    <t>rated DEI (Diversity, Equity, and Inclusion) policies as very important because they foster an inclusive and equitable workplace where everyone feels valued and empowered to contribute. Such policies enhance collaboration by embracing diverse perspectives, leading to more innovative and well-rounded solutions. Additionally, they help address systemic inequalities, improve employee morale, and create a positive organizational culture, ultimately contributing to better team performance and business outcomes.</t>
  </si>
  <si>
    <t>I rated the implementation of DEI policies as very easy because they can be integrated into existing organizational processes with clear guidelines, leadership support, and appropriate training. Many industry-standard practices, such as inclusive hiring processes, unconscious bias training, and equitable career growth opportunities, are already well-documented and straightforward to adopt. Additionally, fostering an inclusive culture often involves incremental changes that can be implemented without significant disruption, making these policies practical and achievable in most industry settings.</t>
  </si>
  <si>
    <t>I selected "I am currently using it" because managing empathy fatigue is an integral part of maintaining personal well-being and professional effectiveness in my software engineering practice. Regularly balancing empathy with clear boundaries helps me support others while avoiding burnout. Techniques like prioritizing self-care, seeking peer support, and leveraging collaboration tools to share workloads ensure that I can sustain empathetic interactions without compromising my mental health or productivity. This approach aligns with the guidelines and reinforces their practicality in real-world settings.</t>
  </si>
  <si>
    <t>Creating a Safe Place: Plan to Incorporate: Foster a psychologically safe environment where team members feel comfortable sharing ideas, concerns, or challenges without fear of judgment or retaliation. Ensure that meetings and discussions are inclusive and respectful, actively discouraging interruptions or dismissive behavior. Lead by example by admitting mistakes openly and encouraging others to do the same. Specific Steps: Introduce anonymous feedback tools like Google Forms to allow team members to share concerns or suggestions confidentially. Organize regular team-building activities to strengthen trust and collaboration. Implement clear anti-bullying and anti-discrimination policies within the team. Empathy Education and Training: Plan to Incorporate: Advocate for and participate in empathy-focused workshops or training sessions to improve my skills and encourage team members to do the same. Include empathy education in onboarding for new hires to set the tone early. Specific Steps: Partner with HR or external consultants to arrange role-playing exercises, storytelling sessions, or case studies highlighting the role of empathy in software development. Incorporate empathy training topics like active listening, cultural sensitivity, and conflict resolution into team development sessions. DEI (Diversity, Equity, and Inclusion) Policies: Plan to Incorporate: Promote inclusive practices that ensure equitable opportunities and fair treatment for all team members. Actively seek out diverse perspectives during decision-making processes. Specific Steps: Collaborate with HR to implement mentorship programs for underrepresented groups in the team. Review hiring and promotion processes to minimize bias and improve fairness. Create opportunities for underrepresented voices in brainstorming sessions or project leadership roles. Managing Empathy Fatigue: Plan to Incorporate: Balance empathetic engagement with self-care to avoid burnout. Set clear boundaries for availability and workload to maintain emotional resilience. Specific Steps: Schedule regular breaks and encourage team members to do the same. Use task management tools to distribute workloads fairly, preventing overburdening any individual. Participate in mindfulness or stress management practices and share these techniques with the team. Encouraging Bi-directional Communication: Plan to Incorporate: Cultivate an open environment where communication flows both ways, ensuring that feedback and ideas are shared freely between all levels of the team. Actively listen to feedback from peers, subordinates, and stakeholders, and act on it where feasible. Specific Steps: Implement weekly stand-up meetings where everyone can share updates, concerns, and ideas. Use tools like Slack or Microsoft Teams to keep communication channels open and accessible. Provide constructive feedback while welcoming it in return, creating a culture of mutual respect.</t>
  </si>
  <si>
    <t>Time Constraints: Empathy-driven practices like active listening and understanding stakeholder needs can be time-intensive, especially in high-pressure projects with tight deadlines. Cultural and Organizational Barriers: In organizations with rigid hierarchies or competitive cultures, fostering empathy may conflict with existing norms, making adoption difficult. Varying Empathy Levels Among Individuals: Not all practitioners are naturally empathetic, and some may lack the soft skills necessary to implement these guidelines effectively. Empathy Fatigue Risk: Overemphasis on empathy without addressing emotional strain can lead to burnout, especially in roles that require constant collaboration or stakeholder interaction. Suggestions for Improvement: Incorporate empathy training as part of onboarding and professional development. Develop lightweight, scalable tools or frameworks to make empathetic practices easier to implement within constrained timelines. Create mechanisms to recognize and reward empathetic behaviors, encouraging a shift in organizational culture. Include strategies for balancing empathy with personal well-being in the guidelines.</t>
  </si>
  <si>
    <t>Empathy education is the key to prepare all SE to be able to use this "soft" skill on daily basis.</t>
  </si>
  <si>
    <t>I think it is difficult because changes or new implementations of strategies that need to have all company aligned are hard to do.</t>
  </si>
  <si>
    <t>My company doesn't have a mental support able to help us.</t>
  </si>
  <si>
    <t>Building an empathetic team and company culture, emphasising the real-world impact of developers’ work, flexibility in handling human issues, collaborative problem solving and encouraging bi-directional communication.</t>
  </si>
  <si>
    <t>It's important to remember that empathy exists on a spectrum, and people may experience varying degrees of empathy depending on the situation, their mood, and other factors.</t>
  </si>
  <si>
    <t>The direct impact on project deliverables such as resources, stakeholders, scope, cost and timelines require a strict vigil and is a need to have in a project environment. Where as the soft skills such as behavior, empathy, sympathy, relationship building and social matrix in setting the project platform for everyone to participate and deliver the common goal is nice to have skills, but certainly a value add that defines the project team's USP. In real life situations a PM manages many projects and each project have many resources defined by roles and deliverables as per PMI. The win is if every resource can follow the framework, we require less look out for empathetic situations on resources in projects.</t>
  </si>
  <si>
    <t>Stakeholders, technical gaps are easy to handle as these are tangible. Project goals and feedback are tangible and measurable. Empathy, Team building, DEI, fatigue are beyond project goals and are soft skills. A good PM/SM can exhibit these with years of experience, but unlikely PM will have time to invoke the skill during an active project, hence some of it are difficult or nor easy/difficult.</t>
  </si>
  <si>
    <t>The proposed guidelines are best practices established upon evaluation and verification. The entire set of 17 proposals may or may not fit every project situation. The guidelines usage will fit in roles for less tenure resources in a project. Also depending on the scale by time and budget of the project/program.</t>
  </si>
  <si>
    <t>My top-5 would be - DEI policy, which forms part of org culture and easy to adopt, Flexibility in handling human issues - need to follow as it impacts project goals. Empathy - At various levels and usage limited but not necessary to include in project PMI framework. Bridging tech and non-tech gaps - a must have for every project delivery. and finally the stakeholder management and communication, this will ensure to clear a lot of confusion or friction at different levels in a project, strategic to tactical.</t>
  </si>
  <si>
    <t>There are no limitations on the proposed guidelines. But these are not the core focus requirements when it comes to executing a project in the IT environment. But these can be utilized as part of self development goals and incorporate these learnings in real time work / projects.</t>
  </si>
  <si>
    <t>Here's a response for **5.1**: --- **5.1:** The reason I rate the importance of these guidelines highly is because they tackle some of the most common pain points in software development—communication gaps, misunderstandings between stakeholders, and lack of alignment on business goals. In my experience, empathy plays a key role in reducing conflict, improving collaboration, and enhancing overall team dynamics. By incorporating empathy into daily practices and aligning technical work with the bigger picture, these guidelines can help address many of the challenges faced in real-world software engineering environments, leading to better e.ject outcomes and a healthier team culture.</t>
  </si>
  <si>
    <t>I believe the practicality of implementing these guidelines can vary depending on the existing company culture and the specific challenges a team faces. Some guidelines, like fostering strong relationships or ensuring transparency about business goals, are relatively easy to apply because they involve open communication and setting clear expectations. However, others, such as bridging the technical and non-technical gap or managing empathy fatigue, may require more effort to integrate, as they involve changing how teams interact and prioritize emotional well-being. Despite these challenges, with the right leadership and support, I think most of these guidelines can be implemented successfully, leading to a more collaborative and empathetic work environment.</t>
  </si>
  <si>
    <t>I would definitely consider using the proposed guidelines to enhance empathy in my software engineering practice because I believe that empathy plays a crucial role in improving team collaboration, communication, and overall well-being. By fostering an empathetic work environment, it’s easier to build trust, reduce misunderstandings, and enhance the quality of the products we develop. Additionally, incorporating empathy into daily practices can make work feel more supportive and less transactional, which ultimately boosts morale and productivity. Since software development is a collaborative effort, ensuring empathy is at the core of our interactions can only strengthen both the team dynamics and the products we create.</t>
  </si>
  <si>
    <t>The top 5 guidelines I would apply in my work are: 1. G1 - Fostering strong relationships among stakeholders: Building trust and mutual understanding is crucial. I plan to schedule regular informal check-ins with stakeholders to create open communication channels and foster stronger relationships. This could include virtual coffee meetings or team-building events. 2.G2 - Bridging the technical and non-technical gap: I will work on simplifying complex technical concepts when interacting with non-technical stakeholders, ensuring they understand the impact of our work. I could use analogies and real-life scenarios to make technical discussions more relatable. 3.G6 - Use an empathetic approach to improve requirements engineering (RE) processes: Clear communication is key to successful requirements gathering. I will prioritize active listening when collecting requirements, ask clarifying questions, and ensure there’s mutual understanding of the goals before proceeding with development. 4.G4 - Encouraging bi-directional communication: I will encourage open communication both ways with my team and managers. I’ll actively listen to feedback, ensuring we all have a shared understanding of goals and progress. Regular check-ins and feedback loops will help promote this. 5. G13 - Emphasising the real-world impact of developers' work: I will make an effort to regularly communicate the tangible impact of the work we’re doing by sharing success stories from users or providing concrete examples of how our product improves their lives. This will help reinforce the importance of our work and motivate the team. By actively working on these guidelines, I hope to create a more collaborative and empathetic environment, improving both individual well-being and team performance.</t>
  </si>
  <si>
    <t>One challenge I see with these guidelines is that they might be tough to implement in organizations with a rigid, siloed structure where communication is limited. In places like that, it’s hard to promote open, two-way communication (G4) or build trust across teams. Some roles and teams might be so separated that fostering understanding becomes an uphill battle. Another difficulty is that empathy isn’t something everyone naturally practices, and it can be hard to change that. Some people may need more support to get into the habit of demonstrating empathy, which ties into how personal traits and team dynamics (G16) can affect how empathy is expressed. To improve this, I think: 1. Leadership should set the tone: For empathy to really take hold, it needs to come from the top down. Leaders should model empathetic behavior, which encourages teams to follow suit. When empathy is a core value, it becomes more than just a guideline;it 's a culture. 2. Offer practical training: Some people just need the tools and understanding to develop their empathy skills. Including empathy training as part of onboarding and ongoing development would help everyone get on the same page. 3. Make empathy a regular conversation: If there were more regular check-ins or feedback loops where teams can discuss how empathy is working (or not working), it would help refine the approach. This also creates a space for people to share where they’re struggling and get advice on how to improve. by focusing on these areas, companies could overcome some of the barriers and make empathy a more natural part of the software development process.</t>
  </si>
  <si>
    <t>for some internal human management issue,such as feedback and problem solving process,it is related to function manager responsibility, and some advice is about other operation depatment,such as training(HR),business culture(business asmin),not eaiser to implement in a project team</t>
  </si>
  <si>
    <t>As I mentioned in q15,some advice involve lots of team,not easy to implement</t>
  </si>
  <si>
    <t>Some advice related to lots team,out of scope of SE and PM or SDLC</t>
  </si>
  <si>
    <t>1. Stakehodler understand especially external users,2 bridge internal external team in requirement 3.crate a safe place from my experieence,this is most important in team buidking 4.Empathy RE,transparent between external and internal team 5.back up plan,risk management is not useful for everything ok,but critical when you need it</t>
  </si>
  <si>
    <t>Some guideline will involves organization,not easy to implement, try to focus on Project management, SDLC,SE three parts</t>
  </si>
  <si>
    <t>I like the guidelines and think they make sense. as I said before, having empathy for stakeholders (XFN partners, customers) as well as teammates is important for collaboration - so I tended to select important / critical for most of the guidelines. for the others, they are more nice to have but I personally have never felt empathy fatigue and would not want this overtly "in my face" in the workplace.</t>
  </si>
  <si>
    <t>I am not sure what the timeline of implementing these guidelines would be, or how this would be enforced, but generally large cultural changes, especially ones that do not simply involve process but rather introduce new ways of thinking and working, are difficult to implement. many companies already have a strong culture which may or may not align with these values. even if guidelines are coming from the top, enforcing them is another isuse.</t>
  </si>
  <si>
    <t>I am very empathetic in my interactions with colleagues already so I already do or would definitely use most of these.</t>
  </si>
  <si>
    <t>G1,G2,G7,G8,G9 - all of these more or less involve being empathetic on a level that I, as an IC, have more control over (eg. feedback, collaboration)</t>
  </si>
  <si>
    <t>yes, as I mentioned before culture shifts are difficult to enact and enforce. I am curious how you propose to implement these guidelines in the industry. I find that software engineers tend to be very opinionated and individualistic, and a change like this would work better if the messaging does not feel like a mandate</t>
  </si>
  <si>
    <t>As I mentioned before, I believe empathy is essential throughout the whole software development process. I have lowered the score for some items, as I think empathy and diversity should not be trained at work; we should hire people already trained in this. Otherwise, without empathy, we would get a toxic company where too much money and resources would be lost due to friction between team members and a lack of proper collaboration.</t>
  </si>
  <si>
    <t>Fostering empathy is challenging. It is less complicated to do between stakeholders as they usually have similar goals. Empathy during the requirements engineering is also typically straightforward, as people involved are trained to understand others' emotions (unless we have to deal with a challenging client or stakeholder). However, when it comes to team dynamics and company politics, fostering empathy in these groups could be an extremely difficult process, as people involved come from very different backgrounds and have very different expectations. It takes years to get a team to work together as one, only to lose some team members and start from scratch.</t>
  </si>
  <si>
    <t>As a product manager, I already use many of the proposed guidelines in my work. I have not yet considered a few of them, but I will consider using them in the future. As I am not working at the company level, I will try to promote these guidelines, too, but I don't have enough influence to be confident that others will use such guidelines in their work.</t>
  </si>
  <si>
    <t>The top five guidelines I already apply in my work and will continue to use in the future are: G1 - Fostering strong relationships among stakeholders, G2 - Bridging the technical and non-technical gap, G5 - Ensuring transparency about business goals, G6 - Use an empathetic approach to improve requirements engineering (RE) processes and G9 - Empathetic feedback process. The first four are essential for doing my job best. The last one is needed to foster good team dynamics.</t>
  </si>
  <si>
    <t>I have already mentioned that some of these guidelines are difficult to implement on a company level, as I cannot affect many company decisions acting on my level. I also find it challenging to foster empathy in others, although I managed to get some improvements in this area through the feedback process. To improve the guidelines, split them into groups and try to identify the level of management who can implement them.</t>
  </si>
  <si>
    <t>I believe that the guidelines are very important and practical for real-world use. They address common issues like miscommunication, team friction, and unclear goals, which can greatly improve collaboration, productivity, and workplace morale when tackled effectively.</t>
  </si>
  <si>
    <t>I choose soewhat important because I believe that the These guidelines are super important for real-world software teams because they focus on building better relationships, improving communication, and taking care of people. Things like being clear about business goals, supporting teammates during tough times, and making feedback constructive can make a big difference. They also suggest ways to handle unexpected situations and avoid burnout, which helps keep everyone motivated. Plus, promoting diversity, inclusion, and empathy training creates a positive work culture. In simple terms, these ideas can make teams work better together, create happier employees, and lead to better software.</t>
  </si>
  <si>
    <t>I believe that these these guidelines are practical and would greatly enhance teamwork, communication, and overall well-being in software engineering.</t>
  </si>
  <si>
    <t>Build Strong Relationships (G1): Be friendly, supportive, and open with teammates. Organize casual hangouts like lunches or virtual chats to strengthen bonds and make work fun. Encourage Two-Way Communication (G4): Listen to everyone’s ideas, ask for feedback, and have regular one-on-one chats to make sure everyone feels heard and understood. Create a Safe Space (G10): Make sure teammates feel comfortable sharing concerns without fear. Be kind, address issues respectfully, and allow anonymous feedback to build trust. Clear Up Requirements (G6): Ask lots of questions to avoid confusion, explain tech stuff in simple terms, and share stories about how the product will help users. Show Real-World Impact (G13): Share stories about how the work helps people or businesses. Highlight team achievements to inspire pride and motivation.</t>
  </si>
  <si>
    <t>Challenges: Lack of Time: Tight deadlines can make empathy-building seem less important. Cultural Differences: Diverse teams might struggle with understanding each other’s communication styles. Burnout Risk: Too much focus on empathy can lead to emotional fatigue. No Leadership Support: Without management backing, empathy efforts might fail. Suggestions: Make It Part of Workflows: Add empathy practices to existing processes like team meetings or retrospectives. Train Teams: Provide simple empathy training or tools like anonymous feedback forms. Prevent Burnout: Encourage breaks and offer mental health resources. Adapt to Teams: Customize guidelines to match the team’s culture and needs.</t>
  </si>
  <si>
    <t>I believe we should practice and train empathy. If someone is not emphatic, they should understand the importance with examples. Clarify why empathy is important, this can of course be trained (everything can).</t>
  </si>
  <si>
    <t>Everyone should be treated equally and feel that there is a safe space where there are no wrong questions. All ideas and suggestions are welcome, no matter who they come from. No gender, age, sexual or race discrimination whatsoever.</t>
  </si>
  <si>
    <t>Of course there has to be a line, we can be very close, free and understanding, however, there still have to be objectives, clear and defined, organization, respect and boundries.</t>
  </si>
  <si>
    <t>G4 - I always insist that communication is a 2 way street, this is paramount and of the utmost importance. G7 - The team and the results above everything else and collaboration is the best way to work. Eveyone can help and participate on several tasks and help with one another's workload. G9 - Feedback has to be empathetic or participation will stop, opinions stop and the team becomes reluctant to participate, reluctant to risk a sugestion afraid it could be wrong or missunderstood. - G10 - A safe work space where every one feels confident and safe is the best way to work. - G16 - I give a great deal of importance to the fact that I have a diverse team (men and women of diverse ages and backgrounds). Everyone is accepted as long has they have the correct skills.</t>
  </si>
  <si>
    <t>I do not see big limitations, I think it is an open play field and there are many ways to improve. I try to have a close relation with my team and usually they enjoy our proximity and respect the fact that I have a job to do managing the team and looking for results.</t>
  </si>
  <si>
    <t>I believe all the guidelines will help foster a healthy work relationship among developers and stakeholders. I don't think empathy fatigue exists.</t>
  </si>
  <si>
    <t>I believe those guidelines are very easy to follow</t>
  </si>
  <si>
    <t>I'm currently using all except the empathy education, and empathy fatigue management, and I'm unlikely to use them because I don't feel they're important</t>
  </si>
  <si>
    <t>My top 5 would be G1, G2, G11, G12, and G4, and I'm currently using them</t>
  </si>
  <si>
    <t>I see limitations in the empathy training, I don't believe it's possible to train empathy</t>
  </si>
  <si>
    <t>I feel this is just discretion, you don't really need to be educated much on this, you will get to know as soon as you start working.</t>
  </si>
  <si>
    <t>I feel it's a simple thing to follow policy in order to attract positivity</t>
  </si>
  <si>
    <t>Fatigue is normal thing but I must be able to manage so as to achieve my aim</t>
  </si>
  <si>
    <t>1. DEI polices: Ensuring policy are been followed, thus serving as a guide to enhance success. 2. Managing Empathy Fatigue: Endurance matters, fatigue is natural but one need to be focus to achieve success. 3.Flexibility in handling human issues: one needs to handle things with care, reason, listen before reacting 4.Backup plans to manage unexpected outcomes: anything can happen so there should be readily available alternatives in case of anything 5.Emhatic Feedback process: There should be feedback on everything for accountability</t>
  </si>
  <si>
    <t>No limitations from my end at the moment</t>
  </si>
  <si>
    <t>For someone in my job, there are two important kinds of empathy you have to take into consideration in promote. The mos important one is empathy with your clients. Understanding their needs, what do they want (even if they don't know how to describe it) and try to be friendly and helpful. The second most important is your empathy with your coworkers. It is way to important to keep a team together once you have good people with you, and to achieve that you need to understand their problems, be open to their suggestions and be helpful with their needs. Everything else is nice to have, but secondary</t>
  </si>
  <si>
    <t>If something depends directly on your team or yourself, it is usually way easier to implement any kind of guidelines. Of course, that is not always true, for example if you need backup plans for unexpected problems... well, that is always a pain, it is always difficult to take into consideration every possible outcome. On the other hand, as a general rule, if it does not depend directly on yourself (or your team) there is way to many variables to make any changes (at least useful ones that everyone will agree on)</t>
  </si>
  <si>
    <t>Some of them I am already using, the ones I consider are the most important. Of course, most of the guidelines I am using right now are kind of just basic empathy in a team (I would use then in any case, guidelines or not). Most of the other guidelines I might use from time to time, but some of them are kind of impractical in real life scenarios... at least to use consistently and not just from time to time.</t>
  </si>
  <si>
    <t>G2. When talking with customers without technical expertise, I sit down with them and try to explain in plain words, draw them in paper ( or powerpoint) what the software is going to look like step by step. Then we talk about their needs, if what we have designed is what they want and what changes they need to be happy with the product. G7. Every time our team has a new project we sit down together and try to understand everything about it, distribute the work and set expectations. After that we will have a weekly meeting and reevaluate all points, depending on the problems that arise. G10. This one is a fairly simple one. No one is going to be in trouble for expresing their ideas or opinions on the projects we work on, everyone is free to talk with me about their problems and needs without fear. G11. We try to create documentation of every single piece of code we write to simplify future changes that might be needed when problems arise. At the begining of the project we sit down and try to think on future needs and problems we can predict with the software the client has asked for... with years of experience in the field is farily simple to detect some of the future problems and limitations. G12. Always keep your door open, not only for problems at work. If a team member has a personal problem you have to be flexible and try to help, give them time off if needed and redistribute their job.</t>
  </si>
  <si>
    <t>The main limitation: the relationship with stakeholders is not something that is ever going to be controled by someone in software engineering. For everything else keep the teams together, set up a common lunchroom, promote activities that workers can do together. Another challenge is the relationship with customers and outsiders. Courses on public speaking for those in charge of talking with them. Set up a standard template for product design as a basic tool (one that takes into consideration the differences in technical ability between software teams and customers)</t>
  </si>
  <si>
    <t>The majority of these guidelines are very important and many also crucial to achieve a proper healthy work environment in order to achieve all the necessary goals the organization requires.</t>
  </si>
  <si>
    <t>It's not easy work to achieve all the guidelines requirements in an easy manner, there need to be proactive and continuous work and effort to be done in order to get the proper empathy results.</t>
  </si>
  <si>
    <t>It would be nice to have these guidelines used and implemented within every organization, in my organization some are already used</t>
  </si>
  <si>
    <t>1. Bridging the technical and non-technical gap, 2.Ensuring transparency about business goals, 3.Collaborative problem solving, 4.Empathetic feedback process, 5. Backup plan to manage unexpected outcomes. In my opinion these are the most solid and important guidelines in ensuring a healthy and stable work environment.</t>
  </si>
  <si>
    <t>No particular limitations noticed, everything looks practical, simple and detailed. I would maybe just shorten the guidelines amount by putting focus on the main ones.</t>
  </si>
  <si>
    <t>Trainings for empathy early on in schools ensure those passionate have an early on grasp of empathy. whereas trainings on empathy in the work environment organize by managers enables for development of an essential skillset that is needed in the work environment</t>
  </si>
  <si>
    <t>It's easy to create an environment where employees feel safe. Implementing policies where employee feels safe creates room to develop empathy in the workplace. This seems very easy to impement</t>
  </si>
  <si>
    <t>To give out empathy you must also receive empathy. Recharging and mental health breaks are crucial in recharging</t>
  </si>
  <si>
    <t>Empathy education and training, Managing empathy fatigue, Managing empathy fatigue, Flexibility in handling human issues, Backup plan to manage unexpected outcome. I plan to incorporate this guidelines through implementation of policies and trainings on empathy. I plan to improve myself and learn more about these guidelines in order to develop myself</t>
  </si>
  <si>
    <t>I don't see any limitations, the guidelines are well outlined and detailed covering every aspect.</t>
  </si>
  <si>
    <t>this would improve communication, teamwork, conflict resolution, customer/stakeholder understanding, will create a supportive and healthy work culture.</t>
  </si>
  <si>
    <t>these policies provide clear guidelines, leadership support them, they can be easily integrated into daily practices</t>
  </si>
  <si>
    <t>I would use it to prevent employee burnoit, take care of their well-being, and help them develop this ability to empathize with others, all of these will create healthier work environment.</t>
  </si>
  <si>
    <t>Take regular breaks, set work-life boundaries, and check in on emotional well-being (managing empathy fatigue). Schedule regular check-ins, listen actively, and involve stakeholders in decision-making (fostering strong relationships among stakeholders). Provide constructive and respectful feedback with a focus on growth (empathetic feedback). Encourage open communication and confidentiality (creating a safe space). Understand personal challenges, offer some work flexibility and support (flexibility in handling human issues).</t>
  </si>
  <si>
    <t>Can be hard to implement in fast-paced environments - integrate daily check-ins or feedback loops. Different cultural expectations may affect empathy - promote cultural awareness and adapt updated empathy practices</t>
  </si>
  <si>
    <t>I rated "Empathy education and training" as Very Important to Have because empathy is not an innate skill for everyone, and structured education and training provide a foundation for fostering it in software engineering (SE). In an industry where technical expertise often takes precedence, empathy training ensures that practitioners develop the interpersonal skills necessary to communicate effectively, collaborate across roles, and understand the perspectives of others—whether stakeholders, end-users, or colleagues. Empathy education is especially crucial for bridging the technical and non-technical divide. For instance, a developer who receives training on empathetic communication will better tailor their technical explanations to non-technical stakeholders, reducing misunderstandings and improving alignment between business and technical teams. This ultimately leads to more successful outcomes and higher team satisfaction.</t>
  </si>
  <si>
    <t>I rated Diversity, Equity, and Inclusion (DEI) policies as Very Difficult because, while DEI policies are essential for fostering a culture of empathy and inclusion, their effective implementation and long-term sustainability pose significant challenges. The difficulties arise from the complexity of addressing deeply ingrained biases, ensuring equitable representation, and building an inclusive environment where all voices are valued. One key challenge is that DEI policies require systemic change at multiple levels—organizational culture, leadership, team dynamics, and individual mindsets. For example, while an organization may introduce policies to promote diverse hiring, achieving equity and inclusion requires continuous effort in areas such as equal access to opportunities, pay transparency, and preventing unconscious bias. These goals demand significant investment in training, resources, and monitoring, which can be hard to prioritize amidst competing business objectives.</t>
  </si>
  <si>
    <t>I selected "I will definitely use it" for Managing Empathy Fatigue because, while empathy is crucial for collaboration and relationship-building in software engineering, overextending empathy can lead to emotional exhaustion, decreased productivity, and burnout. Actively managing empathy fatigue is essential for maintaining well-being and ensuring sustained effectiveness in both personal and professional interactions. Empathy fatigue often arises in situations where practitioners are expected to continuously understand and accommodate the needs of others, such as stakeholders, users, or team members, without sufficient time to recover emotionally. For instance, as a developer or manager, regularly mediating conflicts between different teams or repeatedly empathizing with users’ frustrations during feedback sessions can be mentally and emotionally draining. Without proper boundaries, this fatigue can negatively impact decision-making, emotional resilience, and the overall quality of work.</t>
  </si>
  <si>
    <t>Here are the top 5 guidelines I would apply in my work, along with how I plan to incorporate them and the specific steps I would take: 1. G2 - Bridging the technical and non-technical gap Plan to Incorporate: Bridging this gap is essential for effective collaboration between developers, stakeholders, and end-users. Miscommunication often leads to misunderstandings about project priorities, delays, or even failed implementations. Specific Steps: Tailoring Explanations: When communicating with non-technical stakeholders, I’ll simplify technical jargon and use analogies to explain complex concepts. For example, I’ll explain API functionality using real-world scenarios, such as courier services handling deliveries. Collaborating Across Functions: I’ll work closely with cross-functional teams, ensuring that non-technical perspectives are included in discussions and decisions. Direct Developer-End User Interactions: If feasible, I’ll advocate for developers to interact directly with end-users to gain firsthand insights into their challenges and expectations. 2. G10 - Creating a safe space Plan to Incorporate: A safe space promotes open communication and encourages team members to share their ideas or concerns without fear of judgment. This is crucial for building trust and fostering collaboration. Specific Steps: Leading by Example: I’ll make it a point to actively listen and validate my teammates' concerns, ensuring they feel heard and valued. Fostering Psychological Safety: I’ll regularly remind the team that mistakes are part of the learning process and ensure no one feels singled out or blamed for setbacks. Anonymous Feedback Mechanisms: I’ll introduce or promote tools for anonymous feedback within the team, giving everyone the confidence to share issues they may not feel comfortable raising directly. 3. G6 - Use an empathetic approach to improve requirements engineering (RE) processes Plan to Incorporate: Unclear requirements are one of the leading causes of project delays and rework. Empathy in requirements gathering ensures that the developers truly understand user needs and business objectives. Specific Steps: Active Listening During Requirements Gathering: I will ask follow-up questions to understand the "why" behind requirements, ensuring we align with end-user needs. Collaborative Documentation: I’ll use tools like user stories or journey mapping to visualize requirements in a way that resonates with both technical and non-technical stakeholders. Iterative Clarification: I’ll keep an open line of communication to clarify evolving requirements throughout the project lifecycle. 4. G9 - Empathetic feedback process Plan to Incorporate: Feedback plays a crucial role in professional growth, but without empathy, it can feel demotivating. Providing feedback empathetically fosters a culture of improvement without creating negativity. Specific Steps: Constructive Feedback: When giving feedback, I’ll focus on the issue, not the individual, and offer actionable suggestions for improvement. For example, instead of saying, “This is wrong,” I’ll say, “Here’s how we can approach this differently to align with the goals.” Recognizing Efforts: I’ll balance constructive criticism with recognition of positive contributions to maintain morale and motivation. Receptiveness to Feedback: I’ll actively seek feedback from peers and team members, ensuring they feel comfortable sharing their perspectives. 5. G17 - Managing empathy fatigue Plan to Incorporate: Empathy fatigue can arise from consistently prioritizing the needs of others, so managing it is critical for maintaining long-term productivity and emotional well-being. Specific Steps: Setting Boundaries: I’ll clearly define my availability and workload, ensuring I can engage meaningfully without becoming overwhelmed. Self-Care Practices: I’ll schedule regular breaks and engage in activities that help me recharge, such as mindfulness exercises or spending time offline. Encouraging Team Balance: I’ll promote a team culture where it’s acceptable to say “no” to additional responsibilities when someone is at capacity. Leverage Organizational Support: I’ll utilize resources like counseling or mental health initiatives if available, and advocate for their inclusion in the workplace if they aren’t yet present.</t>
  </si>
  <si>
    <t>Yes, while the proposed guidelines for fostering empathy in software engineering are valuable, there are several limitations and challenges that could hinder their effective adoption. Below are some of the key challenges, along with suggestions for improvement: 1. Time and Resource Constraints Limitation: Empathy-driven practices, such as frequent communication with non-technical stakeholders, offering constructive feedback, and engaging in detailed requirements gathering, require time and resources that may not always be readily available, especially in fast-paced or resource-constrained environments. Challenge: In the pressure of meeting deadlines and delivering features, it can be easy to overlook empathetic practices in favor of short-term productivity. Improvement: Time Allocation for Empathy: Organizations could consider allocating specific times during project schedules for activities that foster empathy, such as team check-ins, requirements clarification sessions, or feedback loops. Empathy as Part of KPIs: Teams can integrate empathetic behaviors into their Key Performance Indicators (KPIs), ensuring that empathy-driven activities are not viewed as "extra" tasks but as essential to success. 2. Lack of Training and Awareness Limitation: While empathy is a crucial skill, it is often overlooked in traditional software engineering education and professional development. Many engineers may not have received training on how to cultivate empathy, making it harder for them to adopt these practices naturally. Challenge: Without proper training or awareness, some practitioners may find it difficult to recognize when empathy is needed or how to apply it effectively, especially in high-pressure situations. Improvement: Empathy Training Programs: Organizations could integrate empathy training into onboarding and ongoing professional development programs for developers, team leads, and managers. Mentorship Programs: Senior practitioners could mentor junior engineers on how to incorporate empathy into technical discussions and feedback processes, sharing real-life examples to demonstrate its importance.</t>
  </si>
  <si>
    <t>that is my perspective because i think it reflects my belief on the topic of empathy as a very important skill in software engineering.</t>
  </si>
  <si>
    <t>the relative difficulty level of each proposed guideline is different in each organization i suppose, however, i think that the answers are on average the relative ease at which organizations can achieve the proposed guideline</t>
  </si>
  <si>
    <t>a lot of them are already being implemented, and the others that aren't i actually consider very useful</t>
  </si>
  <si>
    <t>G1 - Fostering strong relationships among stakeholders: I will build trust and mutual understanding through open communication and supportive interactions with team members and stakeholders. Informal activities like team lunches and collaborative discussions will help strengthen these connections. G2 - Bridging the technical and non-technical gap: I will simplify technical concepts for non-technical stakeholders using relatable scenarios and clear language. Direct interactions between developers and end-users will further align technical work with business objectives. G4 - Encouraging bi-directional communication: Promoting two-way communication ensures all voices are heard and valued, fostering mutual understanding and trust. Regular feedback sessions and active listening will help maintain this open exchange. G10 - Creating a safe space: Creating a judgment-free environment allows team members to share concerns and seek support without hesitation. Anonymous feedback channels and empathetic leadership will reinforce this safe space. G13 - Emphasising the real-world impact of developers’ work: I will share user feedback and success stories to help developers see the value of their work. Storytelling and direct user interactions will connect their contributions to tangible outcomes.</t>
  </si>
  <si>
    <t>One major limitation is the potential resistance from stakeholders who may undervalue empathy, perceiving it as secondary to technical expertise.</t>
  </si>
  <si>
    <t>From G1-G5, G9-G11 and G13-G17, these are all vital for a business. As well as managing stakeholders, clear comms, bridging the tech gap etc. It is vital to consider employee culture, DEI policies as this is what drives productivity and well-being, and creates a sense of belonging. All these contribute to the success of the business.</t>
  </si>
  <si>
    <t>From G1-G13 most of these guidelines are easy to implement as it could be the case of setting up regular cadences and meetings I.e being transparent about business goals and collaborative problem solving. However more thought needs to be given into DE&amp;I policies, education and training, managing fatigue as management need to tailor it to the employees needs. Also bridging the technical and non technical gap and reducing friction could depend on the power and the type of people who work within the company.</t>
  </si>
  <si>
    <t>Most of these I am already using as my company takes these policies and guidelines very seriously. However transparency about goals, bi-direction communication and collaborative problem solving isn't something we have which I can get our team to work on to create that work environment.</t>
  </si>
  <si>
    <t>I have explained this above. We use many of these already within my team.</t>
  </si>
  <si>
    <t>Yes depending on the organisation, some corporate organisations don't prioritise DEI and wellbeing, culture and education etc. which can cause huge issues for motivation. Therefore it's something HR and the leadership team would have to change. Reducing friction amongst stakeholders, collaborative problem solving and communicating business goals could be difficult too because if a company is in a high growth stage, it's difficult to put these processes in place when the priority is revenue.</t>
  </si>
  <si>
    <t>the reason for my rating is i believe empathy contributes to creating a more supportive work environment, which improves overall team dynamics and productivity.</t>
  </si>
  <si>
    <t>many of the proposed guidelines are practical but their implementation actually vary.</t>
  </si>
  <si>
    <t>many are already being implemented. also, I believe most of the guidelines can contribute to a more collaborative and understanding work environment</t>
  </si>
  <si>
    <t>G6 - Use an empathetic approach to improve requirements engineering processes I will ensure clear communication and active stakeholder engagement to capture and address their needs effectively. G7 - Collaborative problem solving I will facilitate discussions to incorporate diverse perspectives, ensuring better alignment and higher-quality solutions. G9 - Empathetic feedback process I will provide constructive feedback to support growth and ensure team members feel valued and motivated. G12 - Flexibility in handling human issues I will offer flexible work arrangements and provide support to team members facing personal challenges. G16 - Diversity, Equity, and Inclusion (DEI) policies I will promote inclusive practices to foster empathy and ensure all team members feel respected and engaged.</t>
  </si>
  <si>
    <t>Busy schedules may reduce participation and commitment during ceremonies.</t>
  </si>
  <si>
    <t>How important our proposed guidelines are for implementation in real-world industry settings?</t>
  </si>
  <si>
    <t>G1</t>
  </si>
  <si>
    <t>G2</t>
  </si>
  <si>
    <t>G3</t>
  </si>
  <si>
    <t>G4</t>
  </si>
  <si>
    <t>G5</t>
  </si>
  <si>
    <t>G6</t>
  </si>
  <si>
    <t>G7</t>
  </si>
  <si>
    <t>G8</t>
  </si>
  <si>
    <t>G9</t>
  </si>
  <si>
    <t>G10</t>
  </si>
  <si>
    <t>G11</t>
  </si>
  <si>
    <t>G12</t>
  </si>
  <si>
    <t>G13</t>
  </si>
  <si>
    <t>G14</t>
  </si>
  <si>
    <t>G15</t>
  </si>
  <si>
    <t>G16</t>
  </si>
  <si>
    <t>G17</t>
  </si>
  <si>
    <t>How practical and easy are our proposed guidelines to implement in real industry settings</t>
  </si>
  <si>
    <t>Very Easy + Easy Count</t>
  </si>
  <si>
    <t>Very Difficult + Difficult Count</t>
  </si>
  <si>
    <t>Would you consider using our proposed guidelines to enhance empathy in your software engineering practice</t>
  </si>
  <si>
    <t>Percentages - Perceived Importance</t>
  </si>
  <si>
    <t>% Critical to Have</t>
  </si>
  <si>
    <t>% Very Important to Have</t>
  </si>
  <si>
    <t>% Not Necessary to Have</t>
  </si>
  <si>
    <t>% Somewhat Important to Have</t>
  </si>
  <si>
    <t>% Nice to Have</t>
  </si>
  <si>
    <t>Perceived Importance %</t>
  </si>
  <si>
    <r>
      <rPr>
        <b/>
        <sz val="10"/>
        <color rgb="FFFF00FF"/>
        <rFont val="Calibri"/>
      </rPr>
      <t>Sorted</t>
    </r>
    <r>
      <rPr>
        <b/>
        <sz val="10"/>
        <color rgb="FF000000"/>
        <rFont val="Calibri"/>
      </rPr>
      <t xml:space="preserve"> Perceived Importance %</t>
    </r>
  </si>
  <si>
    <t>Perceived Ease of Implementation%</t>
  </si>
  <si>
    <r>
      <rPr>
        <b/>
        <sz val="10"/>
        <color rgb="FFFF00FF"/>
        <rFont val="Calibri"/>
      </rPr>
      <t>Sorted</t>
    </r>
    <r>
      <rPr>
        <b/>
        <sz val="10"/>
        <color theme="1"/>
        <rFont val="Calibri"/>
      </rPr>
      <t xml:space="preserve"> Perceived Ease of Implementation%</t>
    </r>
  </si>
  <si>
    <t>Willingness to Adopt %</t>
  </si>
  <si>
    <r>
      <rPr>
        <b/>
        <sz val="10"/>
        <color rgb="FFFF00FF"/>
        <rFont val="Calibri"/>
      </rPr>
      <t>Sorted</t>
    </r>
    <r>
      <rPr>
        <sz val="10"/>
        <color theme="1"/>
        <rFont val="Calibri"/>
      </rPr>
      <t xml:space="preserve"> Willingness to Adopt %</t>
    </r>
  </si>
  <si>
    <r>
      <rPr>
        <b/>
        <sz val="10"/>
        <color theme="1"/>
        <rFont val="Calibri"/>
      </rPr>
      <t xml:space="preserve">Adoption Readiness Score
</t>
    </r>
    <r>
      <rPr>
        <sz val="10"/>
        <color theme="1"/>
        <rFont val="Calibri"/>
      </rPr>
      <t>This score gives a concise way to prioritise guidelines based on how:
Important they are seen,
Practical and easy they are to implement, and
Willing people are to adopt them.</t>
    </r>
  </si>
  <si>
    <t>Importance %</t>
  </si>
  <si>
    <t>Ease %</t>
  </si>
  <si>
    <t>Adoption %</t>
  </si>
  <si>
    <t>Adoption Readiness Score</t>
  </si>
  <si>
    <t>Rounded - Adoption Readiness Score</t>
  </si>
  <si>
    <r>
      <rPr>
        <b/>
        <sz val="10"/>
        <color rgb="FFFF00FF"/>
        <rFont val="Calibri"/>
      </rPr>
      <t>Sorted</t>
    </r>
    <r>
      <rPr>
        <b/>
        <sz val="10"/>
        <color theme="1"/>
        <rFont val="Calibri"/>
      </rPr>
      <t xml:space="preserve"> - Adoption Readiness Score</t>
    </r>
  </si>
  <si>
    <t>Guideline</t>
  </si>
  <si>
    <t>Importance - weighted score</t>
  </si>
  <si>
    <t>Ease - weighted score</t>
  </si>
  <si>
    <t>Rounded - Importance weighted score</t>
  </si>
  <si>
    <t>Rounded - Ease weighted score</t>
  </si>
  <si>
    <t>Mean</t>
  </si>
  <si>
    <t>Quadrant</t>
  </si>
  <si>
    <t>Identifier</t>
  </si>
  <si>
    <t>Meaning</t>
  </si>
  <si>
    <t>Top Right (High Importance, High Ease)</t>
  </si>
  <si>
    <t>Quick Wins</t>
  </si>
  <si>
    <t>High Priority, High Feasibility (Implement first, valuable and doable)</t>
  </si>
  <si>
    <t>Top Left (Low Importance, High Ease)</t>
  </si>
  <si>
    <t>Nice to have</t>
  </si>
  <si>
    <t>Low Importance, High Feasibility (Easy to do, but possibly low impact)</t>
  </si>
  <si>
    <t>Bottom Right (High Importance, Low Ease)</t>
  </si>
  <si>
    <t>Strategic investments
(Aspirational/ 
Challenging)</t>
  </si>
  <si>
    <t>High Importance, Low Feasibility (Worth planning for, need resources/effort)</t>
  </si>
  <si>
    <t>Bottom Left (Low Importance, Low Ease)</t>
  </si>
  <si>
    <t>Low priority</t>
  </si>
  <si>
    <t>Low Priority, Low Feasibility (Avoid or revisit later)</t>
  </si>
  <si>
    <t>Top Right (High Importance, High Ease): Quick wins. Prioritise these guidelines.</t>
  </si>
  <si>
    <t>Top Left (Low Importance, High Ease): Low-hanging fruit. Easy to implement but may have limited impact.</t>
  </si>
  <si>
    <t>Bottom Right (High Importance, Low Ease): Strategic investments. Valuable but may need planning and resources.</t>
  </si>
  <si>
    <t>Bottom Left (Low Importance, Low Ease): Lowest priority. Revisit later or revise the approach.</t>
  </si>
  <si>
    <t>Adoption Willingness - Weighted Score</t>
  </si>
  <si>
    <r>
      <rPr>
        <b/>
        <sz val="10"/>
        <color theme="1"/>
        <rFont val="Calibri"/>
      </rPr>
      <t>Rounded</t>
    </r>
    <r>
      <rPr>
        <sz val="10"/>
        <color theme="1"/>
        <rFont val="Calibri"/>
      </rPr>
      <t xml:space="preserve"> Adoption Willingness - Weighted Score</t>
    </r>
  </si>
  <si>
    <t>Guidelines</t>
  </si>
  <si>
    <t>Top 5 Selection Count</t>
  </si>
  <si>
    <t>Implementing Ways - Guideline Specific</t>
  </si>
  <si>
    <t>Final - Implementing Ways - Guideline Specific</t>
  </si>
  <si>
    <t>Implementing Ways - General</t>
  </si>
  <si>
    <t>Final Implementing Ways - General</t>
  </si>
  <si>
    <t xml:space="preserve">I will build relationships by scheduling regular touchpoints and informal discussions to establish rapport. Actively listening to stakeholder needs and demonstrating follow-through on commitments will strengthen trust. Celebrating shared successes will also reinforce positive collaboration.
I will prioritize regular communication through meetings and one-on-ones to build trust and align stakeholder concerns with project goals. 
Build trust through open communication and regular team bonding activities (e.g., virtual coffee breaks). 
I will actively seek opportunities to connect with my colleagues, both within my team and across different departments. 
G1 &amp; G3 - I am willing to make more transparent the communication of different stakeholders and create a dedicated space (software tools and physical meetings) to make the team work as one and not as different parties. 
I will regularly engage with team members and stakeholders to build trust and collaboration. I will also facilitate informal team-building activities to strengthen these relationships. 
G1, and G3 are important to implement because it affects our ability to generate investments into our companys growth. I can make this happen by simply speaking to stakeholders in a group setting and adding informal discussions to the mix and fostering discussions amognst themselves. 
I would actively engage with team members and stakeholders, encouraging open communication and mutual understanding. Regular informal interactions like lunch meetings or team bonding activities can help build trust. 
I will initiate informal team-building activities, such as lunch outings or collaborative brainstorming sessions, to strengthen interpersonal relationships and build trust. I will also encourage friendly and supportive daily interactions within the team. 
I would prioritize fostering strong relationships among stakeholders by promoting trust and open communication through team-building activities. 
Strengthen relationships with colleagues through informal conversations, shared lunches, and team building activities. 
I’ll build trust with stakeholders through regular check-ins and team bonding.
Relationships are everything. I’d make sure to keep communication flowing with quick check-ins, honest feedback, and being approachable so everyone feels like they’re part of the same team. 
it's always easier to show empathy and support when you actually care about someone, so i try to create conviviality moments, we have lunch together every day, and often take times outside of work, for a nice restaurant, a christmas market, and we plan on an escape game. 
Daily Interactions: I will actively practice empathy by being friendly, supportive, and attentive to colleagues' needs and concerns. This involves listening actively, offering help, and showing genuine interest in their well-being. Team Bonding Activities: Organize informal activities such as team lunches, virtual coffee breaks, or team-building exercises to strengthen relationships. Company-Wide Events: Advocate for company-wide events that encourage inter-departmental interaction, such as town halls or social gatherings, to foster a sense of community. Promote Team Activities: Arrange team-building activities that promote interaction and bonding among team members.
Daily Practice: Be approachable, supportive, and empathetic in every interaction, ensuring open communication with colleagues and stakeholders. Managerial Level: Organize informal team bonding activities like lunch outings or collaborative brainstorming sessions. Organizational Level: Advocate for empathy to be included in the company’s values and participate in cross-departmental team-building events. 
I plan to include stakeholders in more of our internal meetings, whether they're internal or not. Perhaps even sending out some sort of feedback form for them to review internally. 
I will meet more often with other stakeholders and be supportive when they struggle. 
Building rapport with stakeholders through regular, transparent conversations strengthens trust and enhances collaboration. This helps reduce communication barriers, leading to smoother project execution.
I will make a concerted effort to build strong, trust-based relationships with stakeholders by being approachable, actively listening to their concerns, and offering support during discussions. I will also participate in team bonding activities to strengthen these relationships. Steps: Set regular check-ins with stakeholders, engage in informal interactions (like coffee chats or team outings), and actively listen to understand their needs and expectations. 
Building trust and mutual understanding is crucial. I plan to schedule regular informal check-ins with stakeholders to create open communication channels and foster stronger relationships. This could include virtual coffee meetings or team-building events. 
Be friendly, supportive, and open with teammates. Organize casual hangouts like lunches or virtual chats to strengthen bonds and make work fun. 
Schedule regular check-ins, listen actively, and involve stakeholders in decision-making (fostering strong relationships among stakeholders). 
I will build trust and mutual understanding through open communication and supportive interactions with team members and stakeholders. Informal activities like team lunches and collaborative discussions will help strengthen these connections. </t>
  </si>
  <si>
    <r>
      <rPr>
        <b/>
        <sz val="10"/>
        <color theme="1"/>
        <rFont val="Calibri"/>
      </rPr>
      <t xml:space="preserve">Communication:
</t>
    </r>
    <r>
      <rPr>
        <sz val="10"/>
        <color theme="1"/>
        <rFont val="Calibri"/>
      </rPr>
      <t xml:space="preserve">- Scheduling regular touchpoints and informal discussions to establish rapport.
- Regular open communication through meetings and one-on-ones to build trust and align stakeholder concerns with project goals.
- more transparent the communication with different stakeholders  
- actively engage with team members and stakeholders, encouraging open communication and mutual understanding. 
- speaking to stakeholders in a group setting and adding informal discussions to the mix and fostering discussions amognst themselves.  
- keep communication flowing with quick check-ins, honest feedback, and being approachable so everyone feels like they’re part of the same team. 
</t>
    </r>
    <r>
      <rPr>
        <b/>
        <sz val="10"/>
        <color theme="1"/>
        <rFont val="Calibri"/>
      </rPr>
      <t xml:space="preserve">Relationship and Trust Building:
</t>
    </r>
    <r>
      <rPr>
        <sz val="10"/>
        <color theme="1"/>
        <rFont val="Calibri"/>
      </rPr>
      <t xml:space="preserve">- Regular informal interactions (like lunch meetings, collaborative brainstorming sessions, take times outside of work for a nice restaurant, a christmas market, and we plan on an escape game. ) or team bonding activities (e.g., virtual coffee breaks, team outings) 
- Celebrating shared successes 
- Advocate for company-wide events that encourage inter-departmental interaction, such as town halls or social gatherings, to foster a sense of community.
- Organizational Level: Advocate for empathy to be included in the company’s values and participate in cross-departmental team-building events. 
- meet more often with other stakeholders and be supportive when they struggle. 
</t>
    </r>
    <r>
      <rPr>
        <b/>
        <sz val="10"/>
        <color theme="1"/>
        <rFont val="Calibri"/>
      </rPr>
      <t xml:space="preserve">Active Listening: 
</t>
    </r>
    <r>
      <rPr>
        <sz val="10"/>
        <color theme="1"/>
        <rFont val="Calibri"/>
      </rPr>
      <t xml:space="preserve">- Actively listening to stakeholder needs and demonstrating follow-through on commitments
- listening actively, offering help, and showing genuine interest in their well-being.
- actively practice empathy by being friendly, supportive, and attentive to colleagues' needs and concerns. 
- Be approachable, supportive, and empathetic in every interaction, ensuring open communication with colleagues and stakeholders. 
</t>
    </r>
    <r>
      <rPr>
        <b/>
        <sz val="10"/>
        <color theme="1"/>
        <rFont val="Calibri"/>
      </rPr>
      <t xml:space="preserve">Collaboration: 
</t>
    </r>
    <r>
      <rPr>
        <sz val="10"/>
        <color theme="1"/>
        <rFont val="Calibri"/>
      </rPr>
      <t xml:space="preserve">- seek opportunities to connect with colleagues, both within the team and across different departments. 
- create a dedicated space (software tools and physical meetings) to make the team work as one and not as different parties.
- encourage friendly and supportive daily interactions within the team. 
- include stakeholders in more of our internal meetings, whether they're internal or not. Perhaps even sending out some sort of feedback form for them to review internally. 
- Involve stakeholders in decision-making
</t>
    </r>
  </si>
  <si>
    <t>the key would be to get buy in from senior management for a top down approach. 
I would incorporate these guidelines in my daily work and practices by encouraging everyone in my workplace to work together. I want to build a place for people who help others to improve, not afriad to ask questions, and to build strong connections with each other and other skateholders.
I believe that we will implement these guidelines only with the most experienced team we have, once they have been adopted, we will choose leaders from this group to implement them in the other groups.
I would choose these because in my opinion they are all fundamental points for good teamwork, having a common path, a single goal to achieve creates unity and makes everyone go in the same direction. What I usually do is to treat the different members of the group in a personal way, everyone has a different character and sensitivity and you have to adapt to these characteristics.
Some of these policies may fall under the HR team's responsibilities, so my role would primarily involve raising awareness and informing the appropriate members. Others can be implemented on an individual level.
I intend to achieve this by incorporating them in the company's standard and norms for everyone to work with from the leading staff down to the list staff i. e after having a discussion with the team to inform them of the changes.
These guidelines should be communicated to first level managers and at the end of the year, quantitative measures should be used to evaluate them.
These are the ones that stuck with me due to the fact that often we do not think about them as much as we should. Implementing it should not be difficult depending on the people you are working with and if they are willing to change, talking to them about the things you want to change and how you want to do it, and them understanding is the best approach.
This would be done by making a proper plan to introduce this in several high level meetings with management to ensure people are supported at the workplace which will significantly improve the moral of the work force.
I'm not a leader, nor do I have people under my supervision. Sometimes it’s hard for my suggestions to be heard, but I believe I could apply the guidelines G6, G10, G11, G12, and G13 as much as possible by suggesting them to my leader, and in turn, to their leader.
I have to first educate the entire team on the benefits of each then this will make teaching them and implementing them easier.
I feel that all of these it’s weave into a great mix as my top five guidelines helping any team and project have a more human touch for the development team and the users who are going to be working with the end product. I’ve found focusing on the areas while not in isolation certainly have helped the teams and projects achieve successful outcomes in a positive workplace for all parties.
These are already part of my daily practices. I regularly check in on my team members' wellbeing (sometimes just being asked how you are helps) and I organize regular meetings with them to discuss status, challenges, next steps, backup plans, etc.
Incorporating these guidelines requires deliberate daily actions (e.g., empathy in communication, simplifying technical details) supported by managerial initiatives (e.g., organizing team bonding and bridging gaps) and organizational policies (e.g., transparency, fostering a safe space). Consistent application at all levels ensures these practices are deeply integrated into the workplace culture.
These are all simple guidelines that can be implemented as training during onboarding of new employees. They have high impact and in my opinion would lead to higher employee retention.
As my field is related to technical so often I take my part to design software and share the aspect to clients. Also training process keep me to involve in modern technologies. I establish working relationship with other to make a space and implement these guidelines.
I plan to incorporate this guidelines through implementation of policies and trainings on empathy. I plan to improve myself and learn more about these guidelines in order to develop myself.</t>
  </si>
  <si>
    <r>
      <rPr>
        <b/>
        <sz val="10"/>
        <color theme="1"/>
        <rFont val="Calibri"/>
      </rPr>
      <t xml:space="preserve">Management and Leadership Engagement:
</t>
    </r>
    <r>
      <rPr>
        <sz val="10"/>
        <color theme="1"/>
        <rFont val="Calibri"/>
      </rPr>
      <t xml:space="preserve">- get buy in from senior management for a top down approach. 
- These guidelines should be communicated to first level managers and at the end of the year, quantitative measures should be used to evaluate them.
- making a proper plan to introduce this in several high level meetings with management to ensure people are supported at the workplace 
</t>
    </r>
    <r>
      <rPr>
        <b/>
        <sz val="10"/>
        <color theme="1"/>
        <rFont val="Calibri"/>
      </rPr>
      <t xml:space="preserve">Organizational Culture and Policies:
</t>
    </r>
    <r>
      <rPr>
        <sz val="10"/>
        <color theme="1"/>
        <rFont val="Calibri"/>
      </rPr>
      <t xml:space="preserve">- Incorporating guidelines into the company's standard and norms, starting from the leading staff down to junior staff.
- managerial initiatives (e.g., organizing team bonding and bridging gaps) 
- organizational policies (e.g., transparency, fostering a safe space)
</t>
    </r>
    <r>
      <rPr>
        <b/>
        <sz val="10"/>
        <color theme="1"/>
        <rFont val="Calibri"/>
      </rPr>
      <t xml:space="preserve">Team Collaboration and Individual Engagement:
</t>
    </r>
    <r>
      <rPr>
        <sz val="10"/>
        <color theme="1"/>
        <rFont val="Calibri"/>
      </rPr>
      <t xml:space="preserve">- incorporate these guidelines in daily work and practices by encouraging teamwork. 
- build a place for people who help others to improve, not afriad to ask questions, and build strong connections with each other and other skateholders.
- treat the different members of the group in a personal way, respecting individual needs.
- regularly check in on team members' wellbeing
- organize regular meetings with them to discuss status, challenges, next steps, backup plans, etc.
</t>
    </r>
    <r>
      <rPr>
        <b/>
        <sz val="10"/>
        <color theme="1"/>
        <rFont val="Calibri"/>
      </rPr>
      <t xml:space="preserve">Implementation Strategy and Rollout:
</t>
    </r>
    <r>
      <rPr>
        <sz val="10"/>
        <color theme="1"/>
        <rFont val="Calibri"/>
      </rPr>
      <t xml:space="preserve">- Identify guidelines that can be implemented at individual level and in group setting. 
- Get the help of the HR team for the company-wide implementation of these guidelines.
- raising awareness of guidelines by informing the appropriate members. 
-  implement these guidelines only with the most experienced team, and once adopted,  select leaders from this group to implement them in the other groups.
- Educate the entire team on the benefits of guidelines, making teaching and implementation easier.
- Incorporate these guidelines as training during onboarding for new employees.
- talking to team members about desired changes and ensuring they understand the current approach is the best strategy.
- Consistent application at all levels ensures these practices are deeply integrated into the workplace culture.
- through implementation of policies and trainings on empathy
</t>
    </r>
  </si>
  <si>
    <t xml:space="preserve">Communicating technical aspects effectively to non-technical stakeholders is crucial for aligning expectations and achieving project goals. Use visuals, analogies, and simplified language when explaining technical concepts. 
Simplify technical explanations for non-technical stakeholders and promote direct user interactions.  
i already do this. I schedule meetings with the business analyst and technical team when there are challenges on the proposed solution or feature. 
I will strive to explain technical concepts in clear and concise terms. I will also actively listen to non-technical persons and ensure mutual understanding. 
simplifying some of the technical concepts would ease the bridging of the technical/non-technical gap. 
I will tailor technical explanations to non-technical stakeholders in meetings and presentations, ensuring that everyone is aligned. 
G1, and G3 are important to implement because it affects our ability to generate investments into our companys growth. I can make this happen by simply speaking to stakeholders in a group setting and adding informal discussions to the mix and fostering discussions amognst themselves. 
because I'm working with clients that don't have technical background so I should learn to dress better to them. 
This would decrease the chasm of knowledge and people will understand the root meaning of tech.
Use simple analogies and visualizations to explain technical details to non-technical people. 
I will explain technical ideas in simple terms so everyone can understand. This helps the team work better together.
Not everyone speaks “tech,” so I’d break things down into simple terms and use visuals like flowcharts or quick demos to make sure everyone’s on the same page. 
Just by meeting and explain situation points using non technical language, or explaining some so everyone understands , giving comparisons and pratical examples. 
bridging gaps via simplification of shareable concepts.
Bridging the technical and non-technical gap is achieved by forming cross-disciplinary groups, favoring an exchange of both technical and non-technical knowledge. 
it's not easy to understand each others, but we need to create a commun language. It's often my role to translate the needs of the non technical public, to the devs, and same the other way. But it supposes to undestand the basis of the technical and of the domain of expertise of the public, so i try to train myself or the team. 
Tailored Explanations: When explaining technical concepts, I will adjust my language to match the audience's understanding, using analogies and scenarios to illustrate points clearly. Cross-Functional Collaboration: Encourage regular meetings between technical and non-technical teams to discuss projects, gather feedback, and ensure alignment.  Documentation: Create clear, user-friendly documentation that explains technical processes in a way that non-technical stakeholders can easily grasp.  Facilitate Cross-Functional Workshops: Organize workshops where technical and non-technical teams can collaborate, share knowledge, and build mutual understanding. 
Daily Practice: Simplify technical explanations using analogies and visual aids tailored to the audience's understanding. Managerial Level: Facilitate workshops where developers and non-technical stakeholders collaborate on shared goals, encouraging direct communication. Organizational Level: Advocate for mixed-team collaborations to bridge this gap consistently. 
bridging the gap is hard, but again, more open communication and also having more direct interactions with end users, through feedback forms, user feedback zoom calls, and helping to collaborate that way. 
Technical concepts are communicated in a way that simplifies complex details for non-technical stakeholders, ensuring clarity and alignment. Cross-departmental workshops further promote a shared understanding of both technical and business perspectives. 
I will work on simplifying complex technical concepts when interacting with non-technical stakeholders, ensuring they understand the impact of our work. I could use analogies and real-life scenarios to make technical discussions more relatable. 
When talking with customers without technical expertise, I sit down with them and try to explain in plain words, draw them in paper ( or powerpoint) what the software is going to look like step by step. Then we talk about their needs, if what we have designed is what they want and what changes they need to be happy with the product. 
Bridging this gap is essential for effective collaboration between developers, stakeholders, and end-users. Miscommunication often leads to misunderstandings about project priorities, delays, or even failed implementations. Specific Steps: Tailoring Explanations: When communicating with non-technical stakeholders, I’ll simplify technical jargon and use analogies to explain complex concepts. For example, I’ll explain API functionality using real-world scenarios, such as courier services handling deliveries. Collaborating Across Functions: I’ll work closely with cross-functional teams, ensuring that non-technical perspectives are included in discussions and decisions. Direct Developer-End User Interactions: If feasible, I’ll advocate for developers to interact directly with end-users to gain firsthand insights into their challenges and expectations. 
I will simplify technical concepts for non-technical stakeholders using relatable scenarios and clear language. Direct interactions between developers and end-users will further align technical work with business objectives. </t>
  </si>
  <si>
    <r>
      <rPr>
        <b/>
        <sz val="10"/>
        <color theme="1"/>
        <rFont val="Calibri"/>
      </rPr>
      <t xml:space="preserve">Communication:
Simplifying Technical Communication:
</t>
    </r>
    <r>
      <rPr>
        <sz val="10"/>
        <color theme="1"/>
        <rFont val="Calibri"/>
      </rPr>
      <t xml:space="preserve">- strive to explain technical concepts in clear and concise terms. 
- Use visuals, analogies, flowcharts, quick demos, and simplified language when explaining technical concepts. 
- use analogies and real-life scenarios to make technical discussions more relatable. 
- giving comparisons and practical examples. 
- create a common language. 
- Create clear, user-friendly documentation that explains technical processes in a way that non-technical stakeholders can easily grasp.  
- translate the needs of the non technical public, to the devs, and same the other way. 
</t>
    </r>
    <r>
      <rPr>
        <b/>
        <sz val="10"/>
        <color theme="1"/>
        <rFont val="Calibri"/>
      </rPr>
      <t xml:space="preserve"> Tailoring Communication to Audience Needs:
</t>
    </r>
    <r>
      <rPr>
        <sz val="10"/>
        <color theme="1"/>
        <rFont val="Calibri"/>
      </rPr>
      <t xml:space="preserve">- Communicating technical aspects effectively ( tailor technical explanations to non-technical stakeholders in meetings and presentations) to non-technical stakeholders is crucial for aligning expectations and achieving project goals.
- When talking with customers without technical expertise, I sit down with them and try to explain in plain words, draw them in paper ( or powerpoint) what the software is going to look like step by step. Then we talk about their needs, if what we have designed is what they want and what changes they need to be happy with the product. 
- I schedule meetings with the business analyst and technical team when there are challenges on the proposed solution or feature. 
- more open communication  
</t>
    </r>
    <r>
      <rPr>
        <b/>
        <sz val="10"/>
        <color theme="1"/>
        <rFont val="Calibri"/>
      </rPr>
      <t xml:space="preserve">Collaboration/ Collaborative Problem-Solving: 
Fostering Collaborative Discussions:
</t>
    </r>
    <r>
      <rPr>
        <sz val="10"/>
        <color theme="1"/>
        <rFont val="Calibri"/>
      </rPr>
      <t xml:space="preserve">- Encourage regular meetings between technical and non-technical teams to discuss projects, gather feedback, and ensure alignment.  
- Organise workshops where technical and non-technical teams can collaborate, share knowledge, and build mutual understanding. 
- Facilitate workshops where developers and non-technical stakeholders collaborate on shared goals, encouraging direct communication. 
- actively listen to non-technical persons and ensure mutual understanding. 
- simply speaking to stakeholders in a group setting and adding informal discussions to the mix and fostering discussions amongst themselves. 
</t>
    </r>
    <r>
      <rPr>
        <b/>
        <sz val="10"/>
        <color theme="1"/>
        <rFont val="Calibri"/>
      </rPr>
      <t xml:space="preserve">
Cross-Disciplinary Collaboration:
</t>
    </r>
    <r>
      <rPr>
        <sz val="10"/>
        <color theme="1"/>
        <rFont val="Calibri"/>
      </rPr>
      <t xml:space="preserve">- forming cross-disciplinary groups, favouring an exchange of both technical and non-technical knowledge.
- work closely with cross-functional teams, ensuring that non-technical perspectives are included in discussions and decisions. 
- Cross-departmental workshops further promote a shared understanding of both technical and business perspectives. 
- Advocate for mixed-team collaborations to bridge this gap consistently. 
- advocate for developers to interact directly with end-users to gain firsthand insights into their challenges and expectations. 
- having more direct interactions with end users, through feedback forms, user feedback zoom calls, and helping to collaborate that way. 
- it supposes to understand the basis of the technical and of the domain of expertise of the public, so i try to train myself or the team. 
</t>
    </r>
  </si>
  <si>
    <t xml:space="preserve">When these groups are not aligned, friction can arise, leading to miscommunication, delays, and inefficiencies. Reducing friction among these groups requires clear communication, empathy, shared goals, and an understanding of each group's priorities. 
I will focus on understanding stakeholder priorities and addressing conflicts early through mediation. Regular alignment meetings and transparent communication of constraints and expectations will minimize misunderstandings. Using collaborative tools can also help streamline information sharing. 
I intend to apply this guideline by suggesting a critical but constructive approach among team members and proposing discussion sessions in the most conflictual cases. 
G1 &amp; G3 - I am willing to make more transparent the communication of different stakeholders and create a dedicated space (software tools and physical meetings) to make the team work as one and not as different parties. 
When it comes to the friction reduction, I feel like having regular check-ins and feedback sharing would be crucial.
encouraging unidirectional work in the company it is very important, all the company should work in the same direction with the same purpose so let's try to work all together without battles between different teams.
We must also trust other shareholders, We can share luncheons and foster trust and understanding among different departments in this manner.
having more open communication internally between not just engineering but also product. We also implement the golden rule of not blaming anyone. 
I will be more considerate of quality assurance testers and plan more time for them. </t>
  </si>
  <si>
    <r>
      <rPr>
        <b/>
        <sz val="10"/>
        <color theme="1"/>
        <rFont val="Calibri"/>
      </rPr>
      <t xml:space="preserve">Alignment and Shared Goals:
</t>
    </r>
    <r>
      <rPr>
        <sz val="10"/>
        <color theme="1"/>
        <rFont val="Calibri"/>
      </rPr>
      <t xml:space="preserve">- When these groups are not aligned, friction can arise
- shared goals
- encouraging unidirectional work in the company it is very important, all the company should work in the same direction with the same purpose so let's try to work all together without battles between different teams.
-  focus on understanding stakeholder priorities 
</t>
    </r>
    <r>
      <rPr>
        <b/>
        <sz val="10"/>
        <color theme="1"/>
        <rFont val="Calibri"/>
      </rPr>
      <t xml:space="preserve">Communication and Information Sharing: 
</t>
    </r>
    <r>
      <rPr>
        <sz val="10"/>
        <color theme="1"/>
        <rFont val="Calibri"/>
      </rPr>
      <t xml:space="preserve">- clear communication, 
- Regular alignment meetings and transparent communication of constraints and expectations will minimize misunderstandings. 
- having regular check-ins and feedback sharing
- Using collaborative tools can also help streamline information sharing. 
</t>
    </r>
    <r>
      <rPr>
        <b/>
        <sz val="10"/>
        <color theme="1"/>
        <rFont val="Calibri"/>
      </rPr>
      <t xml:space="preserve">Conflict Resolution:
</t>
    </r>
    <r>
      <rPr>
        <sz val="10"/>
        <color theme="1"/>
        <rFont val="Calibri"/>
      </rPr>
      <t xml:space="preserve">- addressing conflicts early through mediation. 
- suggesting a critical but constructive approach among team members and 
- proposing discussion sessions in the most conflictual cases. 
</t>
    </r>
    <r>
      <rPr>
        <b/>
        <sz val="10"/>
        <color theme="1"/>
        <rFont val="Calibri"/>
      </rPr>
      <t xml:space="preserve">Building Collaboration and Trust:
</t>
    </r>
    <r>
      <rPr>
        <sz val="10"/>
        <color theme="1"/>
        <rFont val="Calibri"/>
      </rPr>
      <t xml:space="preserve">- create a dedicated space (software tools and physical meetings) to make the team work as one and not as different parties. 
- trust other shareholders
- share luncheons and foster trust and understanding among different departments
</t>
    </r>
    <r>
      <rPr>
        <b/>
        <sz val="10"/>
        <color theme="1"/>
        <rFont val="Calibri"/>
      </rPr>
      <t xml:space="preserve">Respectful Behaviour:
</t>
    </r>
    <r>
      <rPr>
        <sz val="10"/>
        <color theme="1"/>
        <rFont val="Calibri"/>
      </rPr>
      <t xml:space="preserve">- implement the golden rule of not blaming anyone. 
- I will be more considerate of quality assurance testers and plan more time for them. </t>
    </r>
  </si>
  <si>
    <t>​​G4 - Encouraging bi-directional communication</t>
  </si>
  <si>
    <t xml:space="preserve">I will create a safe environment for team members to share feedback, using tools like anonymous surveys and regular feedback loops. 
I will actively listen to others, and provide constructive feedback. I will also be mindful to be clear, concise, and respectful. 
I plan to foster clear, two-way communication in all meetings and daily interactions, ensuring all voices are heard. I’ll also use non-verbal cues and active listening techniques to improve understanding. 
I will adopt open communication practices during meetings, actively listen to team members' concerns, and provide constructive feedback. I will also ensure that communication flows effectively between leadership and team members. 
Encouraging bi-directional communication would involve establishing clear feedback channels and stand-ups to ensure mutual understanding. 
Actively listen during meetings and discussions. Ask questions to clarify information and express your point of view clearly and concisely. 
promote open communication by actively listening and encouraging feedback.
I already do this by speaking openly and listening to others. I will keep creating space for discussion and sharing ideas.
Communication goes both ways, so I’d create spaces where people feel comfortable sharing their thoughts—whether that’s in meetings, chats, or casual convos—so we can all collaborate better. 
fostering open communication.
Encouraging bi-directional communication is also a result forming cross-disciplinary groups, creating strong relationships between all members. 
Cultivate an open environment where communication flows both ways, ensuring that feedback and ideas are shared freely between all levels of the team. Actively listen to feedback from peers, subordinates, and stakeholders, and act on it where feasible. Specific Steps: Implement weekly stand-up meetings where everyone can share updates, concerns, and ideas. Use tools like Slack or Microsoft Teams to keep communication channels open and accessible. Provide constructive feedback while welcoming it in return, creating a culture of mutual respect.
I will encourage open communication both ways with my team and managers. I’ll actively listen to feedback, ensuring we all have a shared understanding of goals and progress. Regular check-ins and feedback loops will help promote this. 
Listen to everyone’s ideas, ask for feedback, and have regular one-on-one chats to make sure everyone feels heard and understood. 
Promoting two-way communication ensures all voices are heard and valued, fostering mutual understanding and trust. Regular feedback sessions and active listening will help maintain this open exchange. </t>
  </si>
  <si>
    <r>
      <rPr>
        <b/>
        <sz val="10"/>
        <color theme="1"/>
        <rFont val="Calibri"/>
      </rPr>
      <t>Effective Communication:</t>
    </r>
    <r>
      <rPr>
        <sz val="10"/>
        <color theme="1"/>
        <rFont val="Calibri"/>
      </rPr>
      <t xml:space="preserve">
- be mindful to be clear, concise, and respectful when communicating. 
- foster clear, two-way communication in all meetings and daily interactions, ensuring that feedback and ideas are shared freely between all levels of the team.
- ensure that communication flows effectively between leadership and team members. 
- Use tools like Slack or Microsoft Teams to keep communication channels open and accessible. 
</t>
    </r>
    <r>
      <rPr>
        <b/>
        <sz val="10"/>
        <color theme="1"/>
        <rFont val="Calibri"/>
      </rPr>
      <t xml:space="preserve">Feedback and Continuous Improvement:
</t>
    </r>
    <r>
      <rPr>
        <sz val="10"/>
        <color theme="1"/>
        <rFont val="Calibri"/>
      </rPr>
      <t xml:space="preserve">- create a safe environment for team members to discuss, share feedback and ideas, using tools like anonymous surveys and regular feedback loops.
- Actively listen to feedback from peers, subordinates, and stakeholders, and act on it where feasible.
- establishing clear feedback channels and stand-ups to ensure mutual understanding. 
- Provide constructive feedback while welcoming it in return, creating a culture of mutual respect.
</t>
    </r>
    <r>
      <rPr>
        <b/>
        <sz val="10"/>
        <color theme="1"/>
        <rFont val="Calibri"/>
      </rPr>
      <t xml:space="preserve">Understanding and Relationship Building: 
</t>
    </r>
    <r>
      <rPr>
        <sz val="10"/>
        <color theme="1"/>
        <rFont val="Calibri"/>
      </rPr>
      <t xml:space="preserve">- use non-verbal cues to improve understanding. 
- Ask questions to clarify information and express your point of view clearly and concisely. 
- forming cross-disciplinary groups, creating strong relationships between all members. 
</t>
    </r>
  </si>
  <si>
    <t>I plan to incorporate this by clearly communicating objectives in all meetings and documentation. This includes aligning team tasks with broader goals to ensure everyone understands their role in the bigger picture. Regular updates and feedback sessions will reinforce clarity and shared purpose. 
Transparency helps align individual efforts with organizational objectives, fostering a shared sense of purpose. Explain how team tasks contribute to larger organizational goals during project meetings and keep team members informed about shifts in priorities or business strategies. 
Regularly clarify how tasks align with business objectives during stand-ups or sprint planning. 
Clear communication with my team would be the of the utmost importance to start incorporating them in our work. 
providing background information on managerial / company level decisions, explaining why such decisions were made, answering questions about the reasons.
I will work with my managers to ensure that business goals are communicated clearly during team meetings and that team members understand how their work contributes to the larger organizational objectives. 
Set clear expectations around project goals, timelines, and deliverables. Ensure that stakeholders have a shared understanding of requirements and potential challenges. 
first of all those goals must be set. Then just explain to the working team, wite it down on a board as , Keep in mind. Use it as a development step. 
prioritize transparency.
when we have clear and honest goal, we are more determined to reach them. I always try to be as transparent as possible with my team, but often the difficulty is with higher hierarchy, who want to retain some informations, and doesnt always trust the employes with details. So i essentially try to convince my n+1 to be more open, and show them example of how beneficial it is. 
Daily Practice: Seek clarity about how my work impacts business objectives and communicate this understanding to peers. Managerial Level: Advocate for regular updates on business goals during team meetings and ensure alignment with tasks. Organizational Level: Push for transparency to be formalized through dashboards or open forums for all employees. 
I will ensure clear communication of business goals within my team and help align our technical work with organizational objectives. I will make an effort to understand the broader business context and share this information with colleagues to foster empathy and clarity. Steps: Regularly communicate business goals to the team, align technical efforts with these goals, and provide feedback loops that ensure everyone understands how their work contributes to the larger mission.</t>
  </si>
  <si>
    <r>
      <rPr>
        <b/>
        <sz val="10"/>
        <color theme="1"/>
        <rFont val="Calibri"/>
      </rPr>
      <t xml:space="preserve">Clear Communication of Objectives:
</t>
    </r>
    <r>
      <rPr>
        <sz val="10"/>
        <color theme="1"/>
        <rFont val="Calibri"/>
      </rPr>
      <t xml:space="preserve">- clearly communicating objectives in all meetings and documentation.
- Set clear expectations around project goals, timelines, and deliverables.
- Ensure that stakeholders have a shared understanding of requirements and potential challenges.  
</t>
    </r>
    <r>
      <rPr>
        <b/>
        <sz val="10"/>
        <color theme="1"/>
        <rFont val="Calibri"/>
      </rPr>
      <t xml:space="preserve">Alignment with Broader Business Goals:
</t>
    </r>
    <r>
      <rPr>
        <sz val="10"/>
        <color theme="1"/>
        <rFont val="Calibri"/>
      </rPr>
      <t xml:space="preserve">- aligning team tasks with broader goals to ensure everyone understands their role in the bigger picture.
- Explain how team tasks contribute to larger organisational goals during project meetings 
- Regularly clarify how tasks align with business objectives during stand-ups or sprint planning. 
</t>
    </r>
    <r>
      <rPr>
        <b/>
        <sz val="10"/>
        <color theme="1"/>
        <rFont val="Calibri"/>
      </rPr>
      <t xml:space="preserve">Continuous Updates and Feedback:
</t>
    </r>
    <r>
      <rPr>
        <sz val="10"/>
        <color theme="1"/>
        <rFont val="Calibri"/>
      </rPr>
      <t xml:space="preserve">- Regular updates and feedback sessions will reinforce clarity and shared purpose. 
- keep team members informed about shifts in priorities or business strategies.
- Seek clarity about how my work impacts business objectives and communicate this understanding to peers. 
</t>
    </r>
    <r>
      <rPr>
        <b/>
        <sz val="10"/>
        <color theme="1"/>
        <rFont val="Calibri"/>
      </rPr>
      <t xml:space="preserve">Transparency and Decision-Making:
</t>
    </r>
    <r>
      <rPr>
        <sz val="10"/>
        <color theme="1"/>
        <rFont val="Calibri"/>
      </rPr>
      <t xml:space="preserve">- providing background information on managerial / company level decisions, explaining why such decisions were made, answering questions about the reasons.
- Push for transparency to be formalised through dashboards or open forums for all employees. 
</t>
    </r>
  </si>
  <si>
    <t>G6 - Use an empathetic approach to improve requirements engineering (RE) processes</t>
  </si>
  <si>
    <t xml:space="preserve">my intention is to apply a more communicative and impersonal approach, in order to create a bond and a sharing strategy that has an empathetic fabric and can allow the parties to express and share specific emotions and information, without limits. 
G6, G7 and G9 - first of all I would lead by example showing how you can work as an empathetic peer and secondly point out behaviours of feedbacks and communication that could have been given in a more collaborative manner (one to one meetings and feedback).
improving requirements engineering with empathy (G6) by focusing on open communication, active listening, and understanding stakeholder needs. 
clarify requirements with stakeholders to align expectations.
aligning on user needs.
I will be more considerate and patient when requirements change. 
Clear communication is key to successful requirements gathering. I will prioritize active listening when collecting requirements, ask clarifying questions, and ensure there’s mutual understanding of the goals before proceeding with development. 
Ask lots of questions to avoid confusion, explain tech stuff in simple terms, and share stories about how the product will help users. 
Unclear requirements are one of the leading causes of project delays and rework. Empathy in requirements gathering ensures that the developers truly understand user needs and business objectives. Specific Steps: Active Listening During Requirements Gathering: I will ask follow-up questions to understand the "why" behind requirements, ensuring we align with end-user needs. Collaborative Documentation: I’ll use tools like user stories or journey mapping to visualize requirements in a way that resonates with both technical and non-technical stakeholders. Iterative Clarification: I’ll keep an open line of communication to clarify evolving requirements throughout the project lifecycle. 
I will ensure clear communication and active stakeholder engagement to capture and address their needs effectively. </t>
  </si>
  <si>
    <r>
      <rPr>
        <b/>
        <sz val="10"/>
        <color theme="1"/>
        <rFont val="Calibri"/>
      </rPr>
      <t xml:space="preserve">Communication and Stakeholder Engagement: </t>
    </r>
    <r>
      <rPr>
        <sz val="10"/>
        <color theme="1"/>
        <rFont val="Calibri"/>
      </rPr>
      <t xml:space="preserve">
- Use clear and neutral communication to build trust and create an open environment where people can freely share their emotions and information.
- focusing on open communication
- ensure active stakeholder engagement to capture and address their needs effectively. 
- explain tech stuff in simple terms, and share stories about how the product will help users. 
- Collaborative Documentation: use tools like user stories or journey mapping to visualise requirements in a way that resonates with both technical and non-technical stakeholders. 
</t>
    </r>
    <r>
      <rPr>
        <b/>
        <sz val="10"/>
        <color theme="1"/>
        <rFont val="Calibri"/>
      </rPr>
      <t xml:space="preserve">Active Listening and Clarification:
</t>
    </r>
    <r>
      <rPr>
        <sz val="10"/>
        <color theme="1"/>
        <rFont val="Calibri"/>
      </rPr>
      <t xml:space="preserve">- prioritise active listening when collecting requirements
- ask follow-up questions to understand the "why" behind requirements, ensuring we align with end-user needs. 
- keep an open line of communication to clarify evolving requirements throughout the project lifecycle. 
</t>
    </r>
    <r>
      <rPr>
        <b/>
        <sz val="10"/>
        <color theme="1"/>
        <rFont val="Calibri"/>
      </rPr>
      <t xml:space="preserve">Requirement Alignment and Management:
</t>
    </r>
    <r>
      <rPr>
        <sz val="10"/>
        <color theme="1"/>
        <rFont val="Calibri"/>
      </rPr>
      <t>- clarify requirements with stakeholders to align expectations.</t>
    </r>
    <r>
      <rPr>
        <strike/>
        <sz val="10"/>
        <color theme="1"/>
        <rFont val="Calibri"/>
      </rPr>
      <t xml:space="preserve">
</t>
    </r>
    <r>
      <rPr>
        <sz val="10"/>
        <color theme="1"/>
        <rFont val="Calibri"/>
      </rPr>
      <t>- be more considerate and patient when requirements change. 
- ensure there’s mutual understanding of the goals before proceeding with development. 
- ensuring requirements align with end-user needs. 
Extra info:
- focusing on open communication
- apply a more communicative and impersonal approach, in order to create a bond and a sharing strategy that has an empathetic fabric and can allow the parties to express and share specific emotions and information, without limits. : Simplified this as "Use clear and neutral communication to build trust and create an open environment where people can freely share their emotions and information."</t>
    </r>
  </si>
  <si>
    <t xml:space="preserve">We regularly have practical problem solving sessions with just about every client problem we face - meaning we are always working as a team to develop solutions with hands-on approaches. 
I will facilitate collaborative sessions between technical and non-technical stakeholders to improve solution quality and foster empathy. 
G6, G7 and G9 - first of all I would lead by example showing how you can work as an empathetic peer and secondly point out behaviours of feedbacks and communication that could have been given in a more collaborative manner (one to one meetings and feedback).
In regards to collaboration, maybe we can try to encourage the gathering of different perspectives, in order to come up with more comprehensive solutions. 
I will work cross-functionally to solve issues, ensuring that both technical and business perspectives are considered. 
making sure that the team members have the opportunity to work together on solving different tasks, that they can bring up their ideas, solutions.
I think it's crucial to have a safe and collaborative workspace, where everyone can participate without feeling put down or ignored. I would talk to my boss and explain the importance of implementing those. I would also collaborate as much as I can in order to achieve the results they would expect from me.
Collaborative problem-solving would be implemented by involving both technical and non-technical perspectives in team discussions to find diverse solutions. 
We also need to involve technicall as well as non technical people on the team. Everyone must feel they are part of the team even if their technical skills are less than others.
Encourage collaboration across different teams (engineering, QA, design, operations, etc.) to bring diverse perspectives to problem-solving. 
I believe solutions are better when we work together. I will involve the team to find ideas and solve problems as a group.
Two heads (or more) are better than one. I’d encourage brainstorming, involve the team when troubleshooting, and use tools like shared boards or pair coding to get things done together. 
Brainstorming and exchanging ideas once the problems are detected, sometimes the solutions come from unexpected places, someone not techinical can have the solution and not know how to make it work, and the tecnician can know how to make it but not have the insight. 
involving diverse stakeholders to create inclusive, user-centered solutions.
I plan to use what the guideline to do better, i expect to schedule weekly meeting and use tools to enhance collaborative problem solving.
engage in active collaboration in the workplace, in a manner that prioritizes empathy in our software engineering.
Collaborative problem solving is fostered once more by ensuring strong bonds are built by cross-disciplinary teams who have been empowered to find innovative solutions to real world problems. 
The team and the results above everything else and collaboration is the best way to work. Eveyone can help and participate on several tasks and help with one another's workload. 
Every time our team has a new project we sit down together and try to understand everything about it, distribute the work and set expectations. After that we will have a weekly meeting and reevaluate all points, depending on the problems that arise. 
I will facilitate discussions to incorporate diverse perspectives, ensuring better alignment and higher-quality solutions. </t>
  </si>
  <si>
    <r>
      <rPr>
        <b/>
        <sz val="10"/>
        <color theme="1"/>
        <rFont val="Calibri"/>
      </rPr>
      <t xml:space="preserve">Collaboration and Teamwork:
</t>
    </r>
    <r>
      <rPr>
        <sz val="10"/>
        <color theme="1"/>
        <rFont val="Calibri"/>
      </rPr>
      <t xml:space="preserve">- Facilitate Regular Problem-Solving Sessions: Regularly host practical, hands-on problem-solving sessions for every client issue, ensuring collaboration and teamwork in finding effective solutions.
- Foster Cross-Functional Collaboration: Work across teams to address issues, ensuring both technical and business perspectives are incorporated into solutions.
- Encourage Team Input and Idea Sharing: Provide opportunities for team members to actively collaborate on tasks, share their ideas, and contribute solutions.
- Promote Inter-Team Collaboration: Encourage collaboration across diverse teams (engineering, QA, design, operations, etc.) to gather a broad range of perspectives in problem-solving.
- Leverage Collaborative Tools: Utilize tools like shared boards, pair coding, and group brainstorming to facilitate collaborative work and efficient troubleshooting.
- Ensure Alignment in Project Kickoffs: At the start of each new project, ensure the team understands the scope, divides responsibilities, and sets clear expectations.
- Conduct Regular Reevaluation Meetings: After project kickoffs, hold weekly meetings to review progress, reassess priorities, and adjust based on emerging issues.
</t>
    </r>
    <r>
      <rPr>
        <b/>
        <sz val="10"/>
        <color theme="1"/>
        <rFont val="Calibri"/>
      </rPr>
      <t xml:space="preserve">
</t>
    </r>
    <r>
      <rPr>
        <sz val="10"/>
        <color theme="1"/>
        <rFont val="Calibri"/>
      </rPr>
      <t xml:space="preserve">
</t>
    </r>
    <r>
      <rPr>
        <b/>
        <sz val="10"/>
        <color theme="1"/>
        <rFont val="Calibri"/>
      </rPr>
      <t xml:space="preserve">Inclusive and Safe Work Environment:
</t>
    </r>
    <r>
      <rPr>
        <sz val="10"/>
        <color theme="1"/>
        <rFont val="Calibri"/>
      </rPr>
      <t xml:space="preserve">- Create an Open, Inclusive Workspace: Foster an environment where all team members feel safe, respected, and encouraged to contribute without fear of being disregarded.
- Facilitate Empathy-Building Sessions: Lead collaborative sessions between technical and non-technical stakeholders to improve solution quality and strengthen empathy across teams.
</t>
    </r>
    <r>
      <rPr>
        <b/>
        <sz val="10"/>
        <color theme="1"/>
        <rFont val="Calibri"/>
      </rPr>
      <t xml:space="preserve">Communication and Alignment:
</t>
    </r>
    <r>
      <rPr>
        <sz val="10"/>
        <color theme="1"/>
        <rFont val="Calibri"/>
      </rPr>
      <t xml:space="preserve">- Encourage Diverse Perspectives: Actively promote the collection of different perspectives to develop comprehensive and well-rounded solutions.
- Facilitate Open Idea Exchange: Encourage team members to exchange ideas and collaborate on problem-solving as soon as challenges are identified.
- Schedule Consistent Check-Ins: Set regular meetings to foster ongoing communication, align teams, and ensure everyone is aligned in problem-solving efforts.
- Advocate for Collaborative Practices: Engage leadership to emphasise the importance of adopting collaborative problem-solving approaches throughout the organisation.
Extra Info:
- I would talk to my boss and explain the importance of implementing those: Rephrased as "Inform leadership team on the importance of adopting gollaborative problem solving"
- regularly have practical problem solving sessions with just about every client problem we face - meaning we are always working as a team to develop solutions with hands-on approaches: Rephrased as"Regularly conduct practical problem-solving sessions with every client problem." 
</t>
    </r>
  </si>
  <si>
    <t xml:space="preserve">We often have set sessions in agile retrospectives that allow the team to (if they feel comfortable) express grievances within the project and look for ways to move forward with them.
i will respect the team members when they express any dissatisfaction about anything that happened during the sprint including any stories i might have written. I will also respect the decision on how much work they can take in each sprint. 
During agile ceremonies like sprint planning, daily stand-ups, I will actively listen to my team members and create a positive and supportive environment where everyone feels valued and heard. 
I will ensure that all team members have the opportunity to voice their opinions during sprint planning and retrospectives, promoting empathy and collaboration. 
G8, G9, and g17 are also very important to implement because the company culture should be an empathetic one. I can make this happen successfully by holding meetings specifically to address empathy and respect amongst employees. Having one on one talks with employees for their progress reports can be slightly rehearsed to focus on each employees comfortability in the office. Also having team building exercises can do wonders regarding employees ability to empathize, and learn about eachother which will cause less grudges and with less intensity.
I will make sure everyone feels heard and supported during meetings. Showing understanding helps the team stay positive and productive. 
Sprint Planning: During sprint planning, I will ensure that tasks are realistically allocated, considering each team member's workload and strengths. Daily Stand-Ups: Use daily stand-ups to address challenges, offer support, and celebrate achievements, fostering a positive and collaborative atmosphere. Retrospectives: In retrospectives, I will focus on constructive feedback and empathetic problem-solving to improve processes and team dynamics.  Implement Regular Check-Ins: Schedule regular one-on-one check-ins with team members to discuss their workload, address any issues, and offer support.
I will be more supportive during standup. 
Agile ceremonies become more inclusive when active listening and mutual respect are prioritised, making team members feel heard. This encourages open dialogue, fostering a collaborative atmosphere where challenges and successes can be openly discussed. </t>
  </si>
  <si>
    <r>
      <rPr>
        <b/>
        <sz val="10"/>
        <color theme="1"/>
        <rFont val="Calibri"/>
      </rPr>
      <t xml:space="preserve">Sprint Planning:
</t>
    </r>
    <r>
      <rPr>
        <sz val="10"/>
        <color theme="1"/>
        <rFont val="Calibri"/>
      </rPr>
      <t xml:space="preserve">- respect the decision on how much work they can take in each sprint. 
- ensure that tasks are realistically allocated, considering each team member's workload and strengths. 
</t>
    </r>
    <r>
      <rPr>
        <b/>
        <sz val="10"/>
        <color theme="1"/>
        <rFont val="Calibri"/>
      </rPr>
      <t xml:space="preserve">Daily Standup:
</t>
    </r>
    <r>
      <rPr>
        <sz val="10"/>
        <color theme="1"/>
        <rFont val="Calibri"/>
      </rPr>
      <t xml:space="preserve">- Use daily stand-ups to address challenges, offer support, and celebrate achievements, fostering a positive and collaborative atmosphere.
- Schedule regular one-on-one check-ins with team members to discuss their workload, address any issues, and offer support. 
- Having one on one talks with employees for their progress reports and focus on each employees comfortability in the office.
</t>
    </r>
    <r>
      <rPr>
        <b/>
        <sz val="10"/>
        <color theme="1"/>
        <rFont val="Calibri"/>
      </rPr>
      <t xml:space="preserve">Retrospectives:
</t>
    </r>
    <r>
      <rPr>
        <sz val="10"/>
        <color theme="1"/>
        <rFont val="Calibri"/>
      </rPr>
      <t xml:space="preserve">- have set sessions in agile retrospectives that allow the team to (if they feel comfortable) express grievances within the project and look for ways to move forward with them.
- respect the team members when they express any dissatisfaction about anything that happened during the sprint including any stories i might have written. 
- focus on constructive feedback and empathetic problem-solving to improve processes and team dynamics.  
</t>
    </r>
    <r>
      <rPr>
        <b/>
        <sz val="10"/>
        <color theme="1"/>
        <rFont val="Calibri"/>
      </rPr>
      <t xml:space="preserve">Creating a positive environment:
</t>
    </r>
    <r>
      <rPr>
        <sz val="10"/>
        <color theme="1"/>
        <rFont val="Calibri"/>
      </rPr>
      <t xml:space="preserve">- actively listen to team members and create a positive and supportive environment where everyone feels valued and heard. 
- ensure that all team members have the opportunity to voice their opinions promoting empathy and collaboration. 
- holding meetings specifically to address empathy and respect amongst employees.
- having team building exercises to improve employees' ability to empathize, and learn about eachother which will cause less grudges and with less intensity.
- Showing understanding
</t>
    </r>
  </si>
  <si>
    <t xml:space="preserve">empathetic feedback, i will ensure that my feedback about my co workers is empathetic and respectful.
an extremely critical and important guideline that I intend to implement as soon as possible, encouraging company members to apply it in any feedback process. It will be important to stimulate employees and educate them on how to express their observations and criticisms in the most polite, factual and respectful way possible, taking into account that mistakes are a natural phenomenon of growth and development, and that all parties involved have the right to express their opinion, exposing their points of view that all have the same value.
G6, G7 and G9 - first of all I would lead by example showing how you can work as an empathetic peer and secondly point out behaviours of feedbacks and communication that could have been given in a more collaborative manner (one to one meetings and feedback).
G8, G9, and g17 are also very important to implement because the company culture should be an empathetic one. I can make this happen successfully by holding meetings specifically to address empathy and respect amongst employees. Having one on one talks with employees for their progress reports can be slightly rehearsed to focus on each employees comfortability in the office. Also having team building exercises can do wonders regarding employees ability to empathize, and learn about eachother which will cause less grudges and with less intensity.
I would strive to provide respectful and constructive feedback during code reviews and team discussions. I’ll aim to highlight the positives and offer suggestions for improvement without being overly critical. 
providing meaningful and empathetic feedback during 1o1 sessions, giving constructive feedback both on the positive and the negative. 
Provide feedback that is sensitive to colleagues' feelings, focusing on specific actions, and offering solutions. 
this is essential for people to be creative, people who give feedback have to understand that harsh feedback can limit and restrain the productivity, and the will to work. the only one to enforce it is to talk and explain pros and con of the different approaches, and let the results speak for themselfs.
giving constructive feedback.
it's a very critical one, because feedback can be tricky, it's critical, some teammate can take it personally. So i like to remind every one that it's not about tearing down the work of someone, but about searching way to improve, that it's an uplifting process.
I will be more diplomatic when giving critical feedback and try to give more positive feedback.
Constructive and encouraging feedback focuses on growth, helping individuals understand their strengths and areas for improvement. Encouraging a two-way feedback loop ensures that team members feel comfortable sharing their thoughts and contributing to continuous improvement. 
Feedback has to be empathetic or participation will stop, opinions stop and the team becomes reluctant to participate, reluctant to risk a sugestion afraid it could be wrong or missunderstood. 
There should be feedback on everything for accountability.
Provide constructive and respectful feedback with a focus on growth (empathetic feedback). 
Feedback plays a crucial role in professional growth, but without empathy, it can feel demotivating. Providing feedback empathetically fosters a culture of improvement without creating negativity. Specific Steps: Constructive Feedback: When giving feedback, I’ll focus on the issue, not the individual, and offer actionable suggestions for improvement. For example, instead of saying, “This is wrong,” I’ll say, “Here’s how we can approach this differently to align with the goals.” Recognizing Efforts: I’ll balance constructive criticism with recognition of positive contributions to maintain morale and motivation. Receptiveness to Feedback: I’ll actively seek feedback from peers and team members, ensuring they feel comfortable sharing their perspectives. 
I will provide constructive feedback to support growth and ensure team members feel valued and motivated. </t>
  </si>
  <si>
    <r>
      <rPr>
        <b/>
        <sz val="10"/>
        <color theme="1"/>
        <rFont val="Calibri"/>
      </rPr>
      <t xml:space="preserve">Constructive and Respectful Feedback:
</t>
    </r>
    <r>
      <rPr>
        <sz val="10"/>
        <color theme="1"/>
        <rFont val="Calibri"/>
      </rPr>
      <t xml:space="preserve">- encourage employees and educate them on how to express their observations and criticisms in the most polite, factual and respectful way possible. (taking into account that mistakes are a natural phenomenon of growth and development, and that all parties involved have the right to express their opinion, exposing their points of view that all have the same value.)
</t>
    </r>
    <r>
      <rPr>
        <strike/>
        <sz val="10"/>
        <color theme="1"/>
        <rFont val="Calibri"/>
      </rPr>
      <t>-</t>
    </r>
    <r>
      <rPr>
        <sz val="10"/>
        <color theme="1"/>
        <rFont val="Calibri"/>
      </rPr>
      <t xml:space="preserve"> point out behaviours of feedbacks and communication that could have been given in a more collaborative manner 
- provide respectful and constructive feedback to coworkers during all instances including 1-on-1 sessions, code reviews and team discussions.
- Balance constructive criticism with recognition of positive contributions to maintain morale and motivation. 
- encouraging company members to apply empathy in any feedback process.
</t>
    </r>
    <r>
      <rPr>
        <b/>
        <sz val="10"/>
        <color theme="1"/>
        <rFont val="Calibri"/>
      </rPr>
      <t xml:space="preserve">
Fostering Supportive and Growth-Oriented Feedback Culture:
</t>
    </r>
    <r>
      <rPr>
        <sz val="10"/>
        <color theme="1"/>
        <rFont val="Calibri"/>
      </rPr>
      <t xml:space="preserve">- Provide feedback that is sensitive to colleagues' feelings, focusing on specific actions, and offering solutions. 
- people who give feedback have to understand that harsh feedback can limit and restrain the productivity, and the will to work. 
- some teammate can take it personally. So i like to remind every one that it's not about tearing down the work of someone, but about searching way to improve, that it's an uplifting process.
- Provide encouraging feedback focused on growth, helping individuals understand their strengths and areas for improvement. 
- Feedback has to be empathetic or participation will stop, opinions stop and the team becomes reluctant to participate, reluctant to risk a sugestion afraid it could be wrong or missunderstood. 
</t>
    </r>
    <r>
      <rPr>
        <b/>
        <sz val="10"/>
        <color theme="1"/>
        <rFont val="Calibri"/>
      </rPr>
      <t xml:space="preserve">Effective Feedback Delivery:
</t>
    </r>
    <r>
      <rPr>
        <sz val="10"/>
        <color theme="1"/>
        <rFont val="Calibri"/>
      </rPr>
      <t xml:space="preserve">- explain pros and con of the different approaches, and let the results speak for themselves.
- When giving feedback, focus on the issue, not the individual, and offer actionable suggestions for improvement. For example, instead of saying, “This is wrong,” say, “Here’s how we can approach this differently to align with the goals.” 
</t>
    </r>
    <r>
      <rPr>
        <b/>
        <sz val="10"/>
        <color theme="1"/>
        <rFont val="Calibri"/>
      </rPr>
      <t>Fostering Two-Way Feedback:</t>
    </r>
    <r>
      <rPr>
        <sz val="10"/>
        <color theme="1"/>
        <rFont val="Calibri"/>
      </rPr>
      <t xml:space="preserve">
- Encouraging a two-way feedback loop ensures that team members feel comfortable sharing their thoughts and contributing to continuous improvement. 
- Actively seek feedback from peers and team members, ensuring they feel comfortable sharing their perspectives. 
</t>
    </r>
  </si>
  <si>
    <t xml:space="preserve">Creating a safe space is as simple as checking in with team mates often - we do this by offering help, or asking if help is needed in a friendly way that doesn't make the person feel as though they may be incompetent. 
I will prioritize open communication by encouraging team members to share ideas and concerns without fear of judgment. Establishing ground rules for respectful interaction and providing channels for anonymous feedback will help build trust. Regular check-ins will ensure everyone feels heard and valued. 
Encourage open dialogue and foster a judgment-free environment to build trust and support.  
I will encourage an environment where everyone feels comfortable sharing concerns without fear of judgment, promoting openness and mutual support. 
I will contribute to creating a safe and inclusive work environment and avoid making negative comments.
I will foster an open environment where team members feel comfortable sharing their concerns and suggestions, ensuring that everyone’s voice is heard.
I will ensure that my team feels comfortable sharing concerns and ideas by creating a non-judgmental environment. This includes encouraging transparency and offering support during difficult times. 
I will foster a non-judgmental environment where team members feel comfortable sharing their concerns. This can be achieved by setting clear expectations during meetings and leading by example through empathetic behavior. 
Creating a safe space would focus on fostering psychological safety by leading with empathy and supporting team members. 
Support colleagues who are facing difficulties.
Foster an environment where team members feel comfortable expressing their ideas, admitting mistakes, and proposing solutions without fear of judgment or retribution. This can be achieved by encouraging constructive feedback and promoting an open-door policy.
I focus on making people feel comfortable to share their thoughts. I will continue to respect everyone’s opinions and encourage open communication.
Good comunication is essential, and good communication is also empathetic. see the other point of view. Give examples , reverse the situations and show how benefitioal is for people to express theyr thoughts or be themselves withou prejudice can be. Like that one can focus on work and progress, and not worry about criticism and so on.
Open Communication: Encourage open communication by being approachable and non-judgmental, ensuring team members feel comfortable sharing their concerns. Empathetic Leadership: Lead by example, demonstrating empathy in my interactions and decision-making. Formal Policies: Advocate for formal policies that promote psychological safety, such as anonymous feedback channels and regular mental health check-ins. Encourage Feedback: Create a culture where feedback is regularly sought and given, ensuring it is always constructive and empathetic. 
Daily Practice: Actively listen to team members' concerns and avoid judgment during discussions. Managerial Level: Promote a culture where constructive feedback is the norm and personal concerns are respected. Organizational Level: Advocate for anonymous feedback channels and policies that ensure confidentiality and safety. 
I do believe I already create a safe space but allowing the team to garner their own rules for safe spaces, as I haven't asked that question. I plan to implement an anonymous functionality of team feedback, during pointing and in general. 
Create an open, inclusive environment for honest communication, using anonymous feedback or regular team check-ins. 
A non-judgemental environment is fostered where team members can freely voice concerns, knowing they will be heard. Informal sessions, like "office hours," provide opportunities for individuals to seek support and discuss issues in a relaxed, supportive setting.
Foster a psychologically safe environment where team members feel comfortable sharing ideas, concerns, or challenges without fear of judgment or retaliation. Ensure that meetings and discussions are inclusive and respectful, actively discouraging interruptions or dismissive behavior. Lead by example by admitting mistakes openly and encouraging others to do the same. Specific Steps: Introduce anonymous feedback tools like Google Forms to allow team members to share concerns or suggestions confidentially. Organize regular team-building activities to strengthen trust and collaboration. Implement clear anti-bullying and anti-discrimination policies within the team. 
Make sure teammates feel comfortable sharing concerns without fear. Be kind, address issues respectfully, and allow anonymous feedback to build trust. 
This one is a fairly simple one. No one is going to be in trouble for expresing their ideas or opinions on the projects we work on, everyone is free to talk with me about their problems and needs without fear. 
Encourage open communication and confidentiality (creating a safe space). 
A safe space promotes open communication and encourages team members to share their ideas or concerns without fear of judgment. This is crucial for building trust and fostering collaboration. Specific Steps: Leading by Example: I’ll make it a point to actively listen and validate my teammates' concerns, ensuring they feel heard and valued. Fostering Psychological Safety: I’ll regularly remind the team that mistakes are part of the learning process and ensure no one feels singled out or blamed for setbacks. Anonymous Feedback Mechanisms: I’ll introduce or promote tools for anonymous feedback within the team, giving everyone the confidence to share issues they may not feel comfortable raising directly. 
Creating a judgment-free environment allows team members to share concerns and seek support without hesitation. Anonymous feedback channels and empathetic leadership will reinforce this safe space. </t>
  </si>
  <si>
    <r>
      <rPr>
        <b/>
        <sz val="10"/>
        <color theme="1"/>
        <rFont val="Calibri"/>
      </rPr>
      <t xml:space="preserve">Communication and Support:
</t>
    </r>
    <r>
      <rPr>
        <sz val="10"/>
        <color theme="1"/>
        <rFont val="Calibri"/>
      </rPr>
      <t xml:space="preserve">- Regular check-ins with team mates and offer help
- asking if help is needed in a friendly way that doesn't make the person feel as though they may be incompetent. 
- prioritise open communication by encouraging team members to share ideas and concerns without fear of judgment
- encouraging transparency and offering support during difficult times. 
- Support colleagues who are facing difficulties.
- respect everyone’s opinions and encourage open communication.
- promoting an open-door policy.
</t>
    </r>
    <r>
      <rPr>
        <b/>
        <sz val="10"/>
        <color theme="1"/>
        <rFont val="Calibri"/>
      </rPr>
      <t xml:space="preserve">Respectful and Inclusive Interaction:
</t>
    </r>
    <r>
      <rPr>
        <sz val="10"/>
        <color theme="1"/>
        <rFont val="Calibri"/>
      </rPr>
      <t xml:space="preserve">- Establishing ground rules for respectful interaction  
- avoid making negative comments.
- Ensure that meetings and discussions are inclusive and respectful, actively discouraging interruptions or dismissive behavior. 
- Implement clear anti-bullying and anti-discrimination policies within the team. 
- demonstrating empathy in interactions and decision-making
- setting clear expectations during meetings and leading by example through empathetic behaviour. 
</t>
    </r>
    <r>
      <rPr>
        <b/>
        <sz val="10"/>
        <color theme="1"/>
        <rFont val="Calibri"/>
      </rPr>
      <t xml:space="preserve">Feedback and Continuous Improvement:
</t>
    </r>
    <r>
      <rPr>
        <sz val="10"/>
        <color theme="1"/>
        <rFont val="Calibri"/>
      </rPr>
      <t xml:space="preserve">- Advocate for anonymous feedback channels (eg: Google Forms) and policies that ensure confidentiality and safety. 
- Advocate for formal policies that promote psychological safety, such as anonymous feedback channels and regular mental health check-ins.
- reverse the situations and show how beneficial is for people to express their thoughts or be themselves without prejudices.
- I’ll regularly remind the team that mistakes are part of the learning process and ensure no one feels singled out or blamed for setbacks.
- Lead by example by admitting mistakes openly and encouraging others to do the same.
</t>
    </r>
    <r>
      <rPr>
        <b/>
        <sz val="10"/>
        <color theme="1"/>
        <rFont val="Calibri"/>
      </rPr>
      <t xml:space="preserve">Safe and Judgment-Free Environment:
</t>
    </r>
    <r>
      <rPr>
        <sz val="10"/>
        <color theme="1"/>
        <rFont val="Calibri"/>
      </rPr>
      <t xml:space="preserve">- foster a judgment-free environment to build trust and support.  
- Foster an environment where team members feel comfortable expressing their ideas, admitting mistakes, and proposing solutions without fear of judgment or retribution. 
- create an environment where practitioners can focus on work and progress, and not worry about criticism.
- Create a culture where feedback is regularly sought and given, ensuring it is always constructive and empathetic. 
- Promote a culture where constructive feedback is the norm and personal concerns are respected. 
- allowing the team to garner their own rules for safe spaces.
- Informal sessions, like "office hours," provide opportunities for individuals to seek support and discuss issues in a relaxed, supportive setting.
- Organise regular team-building activities to strengthen trust and collaboration. 
</t>
    </r>
  </si>
  <si>
    <t xml:space="preserve">Unexpected events can disrupt workflows, and having backup plans ensures continuity and reduces stress for team members. Ensure critical tasks are documented so backups can step in if needed. 
Develop contingency plans, cross-train team members, and accommodate personal emergencies empathetically.
I will implement backup plans for personal emergencies, ensuring flexibility and support for the team. 
i am the only systems analyst on the team.I need to train one of the senior QE’s on the team on some of the work I do to avoid single point sensitivity. I am also going to encourage the team lead to do the same.
having backups for important roles and processes is crucial to make sure that the work goes smoothly even if there are unexpected issues. This can happen through training and handovers. 
I would reinforce this by adding double shifts to everyones day so that we are covered 24/7 and not having to worry about missed shifts.
Prepare for major failures by designing recovery strategies, ensuring that critical systems can be restored promptly with minimal impact on users.
Backup plans to manage unexpected outcomes are essential and are implemented by having a "buddy system" where members always have another staff member shadowing them.
it seems so important to me but also hard to implement. We often have difficulties due to unexpected problems, like employees health, someone leaving, either in or team or in the client structure, change of interlocutor, and we always loose a lot of time and it's stressful. We'd have a lot to win if we planed for the unexpected, implemented time for problems, but we always have short plannings and the hierarchy doesn't understand that sometimes more time is needed.
I'd like to discuss with the team our plans for PTO and what that may look like. Obviously, PTO is okay, but we do need backup plans. Furthermore, we could do less siloing, allowing pairing more and cross team collaboration to ensure that there is no siloing problem, where only one engineer knows how something works.
anything can happen so there should be readily available alternatives in case of anything.
We try to create documentation of every single piece of code we write to simplify future changes that might be needed when problems arise. At the begining of the project we sit down and try to think on future needs and problems we can predict with the software the client has asked for... with years of experience in the field is farily simple to detect some of the future problems and limitations. 
</t>
  </si>
  <si>
    <r>
      <rPr>
        <b/>
        <sz val="10"/>
        <color theme="1"/>
        <rFont val="Calibri"/>
      </rPr>
      <t xml:space="preserve">Contingency Planning &amp; Risk Mitigation:
</t>
    </r>
    <r>
      <rPr>
        <sz val="10"/>
        <color theme="1"/>
        <rFont val="Calibri"/>
      </rPr>
      <t xml:space="preserve">- Develop contingency plans
- Prepare for major failures by designing recovery strategies, ensuring that critical systems can be restored promptly with minimal impact on users.
- Backup plans to manage unexpected outcomes are essential and are implemented by having a "buddy system" where members always have another staff member shadowing them.
- Ensure availability of team members to maintain critical the systems 
- Establish a collaborative process to discuss and plan for team members' PTO, ensuring adequate backup coverage and continuity of critical tasks to maintain smooth operations.
- At the project's outset, leverage team's industry experience to anticipate future needs and identify potential challenges and limitations in the client's software
</t>
    </r>
    <r>
      <rPr>
        <b/>
        <sz val="10"/>
        <color theme="1"/>
        <rFont val="Calibri"/>
      </rPr>
      <t xml:space="preserve">Knowledge Sharing &amp; Documentation:
</t>
    </r>
    <r>
      <rPr>
        <sz val="10"/>
        <color theme="1"/>
        <rFont val="Calibri"/>
      </rPr>
      <t xml:space="preserve">- training and handovers. 
- Ensure critical tasks are documented so backups can step in if needed. 
- We try to create documentation of every single piece of code we write to simplify future changes that might be needed when problems arise. 
</t>
    </r>
    <r>
      <rPr>
        <b/>
        <sz val="10"/>
        <color theme="1"/>
        <rFont val="Calibri"/>
      </rPr>
      <t xml:space="preserve">Cross-Training &amp; Role Redundancy:
</t>
    </r>
    <r>
      <rPr>
        <sz val="10"/>
        <color theme="1"/>
        <rFont val="Calibri"/>
      </rPr>
      <t xml:space="preserve">- cross-train team members
- having backups for important roles and processes
- do less siloing, allowing pairing more and cross team collaboration to ensure that there is no siloing problem, where only one engineer knows how something works.
</t>
    </r>
  </si>
  <si>
    <t xml:space="preserve">Once a year we offer training for empathy as we encourage the practical mindset of the team members and the respect that they've been taught and have learned how to employ empathy as regular adults. 
empathetic in human issues sometimes people has personal issues which need attention but that should not be a problem for the project at all , talk to stakeholders and hold them down a bit to get back on track after those issues are solved.
All issues are going to be different and thus you need to be flexible. Not all are going to have the same fix. 
I will apply this guideline by exercising greater sensitivity towards personnel who inevitably suffer from life events, accidents and unforeseen events. We all periodically face events outside of our control and causes of force majeure can certainly affect the efficiency of an employee. I will use greater understanding, solidarity and empathy towards these situations, considering that it can happen to any of us, and greater emotional assistance can only help a person overcome a difficult moment more quickly.
Unpredictable things happen in life to everybody, if people can't deal with the unknown, or unpredictable without feeling like they're being slighted or its unfair that they have to pick up the slack for someone then they can't expect the same in return and are only self interested and selfish and wouldn't be a good fit in this field.
I also plan on doing my best to stay flexible and empathetic toward team members facing personal challenges. If and when needed, I could offer adjustments to workloads or schedules.
offer flexibility during personal emergencies.
Be adaptable in handling personal issues, offering flexible work hours or adjusted deadlines when needed. 
I will be mindful of my colleagues’ personal challenges and offer flexibility in their work arrangements during emergencies. I will also advocate for the creation of flexible policies in my team or organization. Steps: Practice understanding and accommodating requests for flexible work hours or emergency leave, ensure my team feels supported in times of personal crisis, and discuss the benefits of flexible policies in meetings. 
one needs to handle things with care, reason, listen before reacting.
Always keep your door open, not only for problems at work. If a team member has a personal problem you have to be flexible and try to help, give them time off if needed and redistribute their job.
Understand personal challenges, offer some work flexibility and support (flexibility in handling human issues).
I will offer flexible work arrangements and provide support to team members facing personal challenges. </t>
  </si>
  <si>
    <r>
      <rPr>
        <b/>
        <sz val="10"/>
        <color theme="1"/>
        <rFont val="Calibri"/>
      </rPr>
      <t xml:space="preserve">Empathy and Emotional Support in the Workplace:
</t>
    </r>
    <r>
      <rPr>
        <sz val="10"/>
        <color theme="1"/>
        <rFont val="Calibri"/>
      </rPr>
      <t xml:space="preserve">- exercising greater sensitivity towards personnel who inevitably suffer from life events, accidents and unforeseen events. 
- Encourage understanding, solidarity, and empathy, recognizing that everyone faces challenges, and provide emotional support to help individuals recover more quickly.
- ensure the team feels supported in times of personal crisis
- handle things with care, reason, listen before reacting.
- Support co-workers during personal emergencies to manage their work ensuring positive collaboration.
- Always keep your door open, not only for problems at work. 
</t>
    </r>
    <r>
      <rPr>
        <b/>
        <sz val="10"/>
        <color theme="1"/>
        <rFont val="Calibri"/>
      </rPr>
      <t xml:space="preserve">Workplace Policies &amp; Skill Development: </t>
    </r>
    <r>
      <rPr>
        <sz val="10"/>
        <color theme="1"/>
        <rFont val="Calibri"/>
      </rPr>
      <t xml:space="preserve">
- Advocate for the creation of flexible policies in team and organisation. 
- Discuss the benefits of flexible policies in meetings. 
- Provide empathy training to foster a practical mindset and encourage respectful, empathetic interactions among team members. 
</t>
    </r>
    <r>
      <rPr>
        <b/>
        <sz val="10"/>
        <color theme="1"/>
        <rFont val="Calibri"/>
      </rPr>
      <t xml:space="preserve">Flexibility and Adaptability in Management:
</t>
    </r>
    <r>
      <rPr>
        <sz val="10"/>
        <color theme="1"/>
        <rFont val="Calibri"/>
      </rPr>
      <t xml:space="preserve">- Adopt a flexible approach, recognizing that each issue requires a unique solution.
- when needed, I could offer adjustments to workloads or schedules.
- Be adaptable in handling personal issues, offering flexible work hours or adjusted deadlines when needed. 
- Practice understanding and accommodating requests for flexible work hours or emergency leave
- If a team member has a personal problem, be flexible and try to help, offer them time off if needed and redistribute their tasks.
- Be empathetic to personal challenges, communicate with stakeholders to manage expectations, and help the team get back on track once issues are resolved. 
Extra: 
- Be empathetic to personal challenges, communicate with stakeholders to manage expectations, and help the team get back on track once issues are resolved. </t>
    </r>
    <r>
      <rPr>
        <strike/>
        <sz val="10"/>
        <color theme="1"/>
        <rFont val="Calibri"/>
      </rPr>
      <t xml:space="preserve">
</t>
    </r>
    <r>
      <rPr>
        <sz val="10"/>
        <color theme="1"/>
        <rFont val="Calibri"/>
      </rPr>
      <t>- Encourage understanding, solidarity, and empathy, recognizing that everyone faces challenges, and provide emotional support to help individuals recover more quickly.</t>
    </r>
    <r>
      <rPr>
        <strike/>
        <sz val="10"/>
        <color theme="1"/>
        <rFont val="Calibri"/>
      </rPr>
      <t xml:space="preserve">
</t>
    </r>
    <r>
      <rPr>
        <sz val="10"/>
        <color theme="1"/>
        <rFont val="Calibri"/>
      </rPr>
      <t>- Support co-workers during personal emergencies to manage their work ensuring positive collaboration</t>
    </r>
    <r>
      <rPr>
        <strike/>
        <sz val="10"/>
        <color theme="1"/>
        <rFont val="Calibri"/>
      </rPr>
      <t xml:space="preserve">
</t>
    </r>
    <r>
      <rPr>
        <sz val="10"/>
        <color theme="1"/>
        <rFont val="Calibri"/>
      </rPr>
      <t xml:space="preserve">- Provide empathy training to foster a practical mindset and encourage respectful, empathetic interactions among team members. </t>
    </r>
    <r>
      <rPr>
        <strike/>
        <sz val="10"/>
        <color theme="1"/>
        <rFont val="Calibri"/>
      </rPr>
      <t xml:space="preserve">
</t>
    </r>
    <r>
      <rPr>
        <sz val="10"/>
        <color theme="1"/>
        <rFont val="Calibri"/>
      </rPr>
      <t xml:space="preserve">- Adopt a flexible approach, recognizing that each issue requires a unique solution </t>
    </r>
    <r>
      <rPr>
        <strike/>
        <sz val="10"/>
        <color theme="1"/>
        <rFont val="Calibri"/>
      </rPr>
      <t xml:space="preserve">
</t>
    </r>
    <r>
      <rPr>
        <sz val="10"/>
        <color theme="1"/>
        <rFont val="Calibri"/>
      </rPr>
      <t xml:space="preserve">
</t>
    </r>
  </si>
  <si>
    <t>by sharing success stories and user feedback.
Helping developers connect with the end-users’ experiences increases empathy and improves the quality of deliverables. Use examples of how technical solutions have positively impacted users. 
the Fifth and last one would be Emphasising the real world impact of developers as we need to make sure we can show through either models or other means to show how our software will provide real world applications.
I will actively share stories and examples of how our work impacts users. This can be done by connecting team members with end-users or sharing success stories within the organization.
emphasizing the real-world impact of developers’ work would involve sharing success stories and user feedback during retrospectives and one-on-one meetings to connect team efforts to tangible outcomes.
Daily Practice: Share insights about how our work positively impacts end-users during stand-ups or retrospectives. Managerial Level: Incorporate user feedback sessions where developers can hear directly from end-users. Organizational Level: Celebrate success stories that highlight the broader impact of completed projects through newsletters or team meetings. 
I will make an effort to regularly communicate the tangible impact of the work we’re doing by sharing success stories from users or providing concrete examples of how our product improves their lives. This will help reinforce the importance of our work and motivate the team. By actively working on these guidelines, I hope to create a more collaborative and empathetic environment, improving both individual well-being and team performance.
Share stories about how the work helps people or businesses. Highlight team achievements to inspire pride and motivation.
I will share user feedback and success stories to help developers see the value of their work. Storytelling and direct user interactions will connect their contributions to tangible outcomes.</t>
  </si>
  <si>
    <r>
      <rPr>
        <b/>
        <sz val="10"/>
        <color theme="1"/>
        <rFont val="Calibri"/>
      </rPr>
      <t xml:space="preserve">Connecting Developers with End-Users:
</t>
    </r>
    <r>
      <rPr>
        <sz val="10"/>
        <color theme="1"/>
        <rFont val="Calibri"/>
      </rPr>
      <t xml:space="preserve">-I will actively share stories and examples of how our work impacts users. This can be done by connecting team members with end-users or sharing success stories within the organization.
- Helping developers connect with the end-users’ experiences increases empathy and improves the quality of deliverables. 
</t>
    </r>
    <r>
      <rPr>
        <b/>
        <sz val="10"/>
        <color theme="1"/>
        <rFont val="Calibri"/>
      </rPr>
      <t xml:space="preserve">Celebrating Success and Impact:
</t>
    </r>
    <r>
      <rPr>
        <sz val="10"/>
        <color theme="1"/>
        <rFont val="Calibri"/>
      </rPr>
      <t xml:space="preserve">- Celebrate success stories that highlight the broader impact of completed projects through newsletters or team meetings. 
- make an effort to regularly communicate the tangible impact of the work we’re doing 
- Highlight team achievements to inspire pride and motivation.
</t>
    </r>
    <r>
      <rPr>
        <b/>
        <sz val="10"/>
        <color theme="1"/>
        <rFont val="Calibri"/>
      </rPr>
      <t xml:space="preserve">Using Stories and Examples for Motivation:
</t>
    </r>
    <r>
      <rPr>
        <sz val="10"/>
        <color theme="1"/>
        <rFont val="Calibri"/>
      </rPr>
      <t xml:space="preserve">- Use examples of how technical solutions have positively impacted users. 
- Use retrospectives and one-on-one meetings to connect team efforts to tangible outcomes.
- by sharing success stories and user feedback.
</t>
    </r>
  </si>
  <si>
    <t>by fostering open communication and collaboration.
I will demonstrate empathy in daily interactions and promote team-building activities to foster a sense of belonging. 
I will promote empathetic leadership and a company culture that values well-being and mutual respect. 
making sure that the team has opportunity for team buildings, bonding, they have the opportunity to talk about issues in a meaningful way. 
lead by example in fostering an empathetic team culture through open communication and inclusive activities.</t>
  </si>
  <si>
    <r>
      <rPr>
        <b/>
        <sz val="10"/>
        <color theme="1"/>
        <rFont val="Calibri"/>
      </rPr>
      <t xml:space="preserve">Empathetic Leadership &amp; Culture:
</t>
    </r>
    <r>
      <rPr>
        <sz val="10"/>
        <color theme="1"/>
        <rFont val="Calibri"/>
      </rPr>
      <t xml:space="preserve">- promote empathetic leadership and a company culture that values well-being and mutual respect. 
- lead by example in fostering an empathetic team culture through open communication and inclusive activities.
</t>
    </r>
    <r>
      <rPr>
        <b/>
        <sz val="10"/>
        <color theme="1"/>
        <rFont val="Calibri"/>
      </rPr>
      <t xml:space="preserve">Team-Building &amp; Belonging:
</t>
    </r>
    <r>
      <rPr>
        <sz val="10"/>
        <color theme="1"/>
        <rFont val="Calibri"/>
      </rPr>
      <t xml:space="preserve">- by fostering open communication and collaboration.
- demonstrate empathy in daily interactions 
- promote team-building activities to foster a sense of belonging and provide an opportunity to discuss issues in a meaningful way. 
</t>
    </r>
  </si>
  <si>
    <t xml:space="preserve">through workshops and training to enhance understanding and teamwork.
I literally train interns. If I'm too hard on them, they'll give up and learn nothing.
the ability to put yourself in someone else's shoes is always important, especially when you want to teach something to a new member of a group. I will apply this philosophy in every training and education system and operation, providing an empathic and moral approach before any technical notion, in order to communicate that any education process is not efficient and capable of unlocking potential without a moral and empathic structure behind it.
I would start this training and a course book to ensure everyone is well-versed with all that they need to know about incorporating empathy at the work place.
Offer ongoing empathy training, encourage active listening, and share resources to enhance emotional intelligence. 
I plan to participate in empathy and interactive skills training programs and promote such initiatives within my team. I will also seek to continuously improve my own empathetic skills through workshops or resources on effective communication and emotional intelligence. Steps: Attend internal or external empathy training programs, engage with literature on empathy, and share learnings with colleagues to foster a culture of empathy. 
Advocate for and participate in empathy-focused workshops or training sessions to improve my skills and encourage team members to do the same. Include empathy education in onboarding for new hires to set the tone early. Specific Steps: Partner with HR or external consultants to arrange role-playing exercises, storytelling sessions, or case studies highlighting the role of empathy in software development. Incorporate empathy training topics like active listening, cultural sensitivity, and conflict resolution into team development sessions. </t>
  </si>
  <si>
    <r>
      <rPr>
        <b/>
        <sz val="10"/>
        <color theme="1"/>
        <rFont val="Calibri"/>
      </rPr>
      <t xml:space="preserve">Offer Empathy Education and Training:
</t>
    </r>
    <r>
      <rPr>
        <sz val="10"/>
        <color theme="1"/>
        <rFont val="Calibri"/>
      </rPr>
      <t xml:space="preserve">- through workshops and training to enhance understanding and teamwork.
- Integrate empathy into all training and educational processes, prioritizing a moral and empathetic foundation before technical concepts. 
- Include empathy education in onboarding for new hires to set the tone early. 
- Partner with HR or external consultants to arrange role-playing exercises, storytelling sessions, or case studies highlighting the role of empathy in software development. 
- Incorporate empathy training topics like active listening, cultural sensitivity, and conflict resolution into team development sessions. 
- start empathy training and a course book to ensure everyone is well-versed with all that they need to know about incorporating empathy at the work place.
- Offer ongoing empathy training, encourage active listening, and share resources to enhance emotional intelligence. 
</t>
    </r>
    <r>
      <rPr>
        <b/>
        <sz val="10"/>
        <color theme="1"/>
        <rFont val="Calibri"/>
      </rPr>
      <t xml:space="preserve">Empathetic Leadership and Continuous Development:
</t>
    </r>
    <r>
      <rPr>
        <sz val="10"/>
        <color theme="1"/>
        <rFont val="Calibri"/>
      </rPr>
      <t xml:space="preserve">- Adopt a supportive and balanced approach to encourage learning and development.
- Foster empathy by understanding others' perspectives, especially when teaching new team members. 
- Seek to continuously improve personal empathetic skills through workshops or resources on effective communication and emotional intelligence.
- Share learnings with colleagues to foster a culture of empathy. 
Extra info:
- Integrate empathy into all training and educational processes, prioritizing a moral and empathetic foundation before technical concepts. </t>
    </r>
    <r>
      <rPr>
        <strike/>
        <sz val="10"/>
        <color theme="1"/>
        <rFont val="Calibri"/>
      </rPr>
      <t xml:space="preserve">
</t>
    </r>
    <r>
      <rPr>
        <sz val="10"/>
        <color theme="1"/>
        <rFont val="Calibri"/>
      </rPr>
      <t>- Foster empathy by understanding others' perspectives, especially when teaching new team members.</t>
    </r>
    <r>
      <rPr>
        <strike/>
        <sz val="10"/>
        <color theme="1"/>
        <rFont val="Calibri"/>
      </rPr>
      <t xml:space="preserve">
</t>
    </r>
    <r>
      <rPr>
        <sz val="10"/>
        <color theme="1"/>
        <rFont val="Calibri"/>
      </rPr>
      <t xml:space="preserve">- Adopt a supportive and balanced approach to encourage learning and development
</t>
    </r>
  </si>
  <si>
    <t>G16 - Diversity, Equity, and Inclusion (DEI) policies</t>
  </si>
  <si>
    <t>We employ techniques to this which include not hiring ANYONE based on any gender, race, political affiliations or ideologies - we hire based on skill and personality. Any other method of hiring is discriminatory. 
its very important to be tolerant open and respectful to any other working partner in our team to have a healthy and happy workforce.
we can implement this through formal empathy trainings to start with or to initiate this, and then later on , there can be feedback loop sessions to check whether the training is effective and being put into practice and the benefits are experienced.
I intend to integrate DEI by promoting diverse hiring practices and ensuring equitable opportunities for growth within the team. Workshops and training on unconscious bias will foster a more inclusive culture. Additionally, I will actively seek input from underrepresented voices to ensure diverse perspectives are reflected in decisions. 
I will advocate for diverse perspectives in discussions and support DEI initiatives to ensure all voices are respected. 
DEI hiring - it's great but sometimes I feel it gets in the way of just hiring the best talent no matter their race or gender.
will ensure that everyone on the team can express themselves nomatter the title of their role, their background, their race etc. 
This is the most important and I would say foundational aspect for fostering empathy in the workplace. Without a diverse workforce, that are accepting of, or willing to accept those different than them empathy will not be able to be fostered when you have a homogenized workforce echoing each others opinions. 
I would enforce the need to be able to consolidate diversity at the workplace so that everyone feels safe and can work properly.
Prioritize diverse talent by using fair hiring practices, ensuring that people from underrepresented groups have equal opportunities in the recruitment process.
Promote diversity in hiring, collaboration, and project management, ensuring all voices are valued. 
Promote inclusive practices that ensure equitable opportunities and fair treatment for all team members. Actively seek out diverse perspectives during decision-making processes. Specific Steps: Collaborate with HR to implement mentorship programs for underrepresented groups in the team. Review hiring and promotion processes to minimize bias and improve fairness. Create opportunities for underrepresented voices in brainstorming sessions or project leadership roles. 
I give a great deal of importance to the fact that I have a diverse team (men and women of diverse ages and backgrounds). Everyone is accepted as long has they have the correct skills.
Ensuring policy are been followed, thus serving as a guide to enhance success.
I will promote inclusive practices to foster empathy and ensure all team members feel respected and engaged.</t>
  </si>
  <si>
    <r>
      <rPr>
        <b/>
        <sz val="10"/>
        <color theme="1"/>
        <rFont val="Calibri"/>
      </rPr>
      <t xml:space="preserve">Hiring and Recruitment:
</t>
    </r>
    <r>
      <rPr>
        <sz val="10"/>
        <color theme="1"/>
        <rFont val="Calibri"/>
      </rPr>
      <t xml:space="preserve">- Emphasising fair, skill-based recruitment without biases. 
- integrate DEI by promoting diverse hiring practices and ensuring equitable opportunities for growth within the team. 
- Prioritise diverse talent by using fair hiring practices, ensuring that people from underrepresented groups have equal opportunities in the recruitment process.
- Review hiring and promotion processes to minimise bias and improve fairness. 
</t>
    </r>
    <r>
      <rPr>
        <b/>
        <sz val="10"/>
        <color theme="1"/>
        <rFont val="Calibri"/>
      </rPr>
      <t xml:space="preserve">Training and Development:
</t>
    </r>
    <r>
      <rPr>
        <sz val="10"/>
        <color theme="1"/>
        <rFont val="Calibri"/>
      </rPr>
      <t xml:space="preserve">- Launch formal empathy training as the initial step, followed by regular feedback sessions to assess the effectiveness of the training and its practical application in the workplace.
- Workshops and training on unconscious bias will foster a more inclusive culture. 
- Collaborate with HR to implement mentorship programs for underrepresented groups in the team. 
</t>
    </r>
    <r>
      <rPr>
        <b/>
        <sz val="10"/>
        <color theme="1"/>
        <rFont val="Calibri"/>
      </rPr>
      <t xml:space="preserve">Promoting Diversity: 
</t>
    </r>
    <r>
      <rPr>
        <sz val="10"/>
        <color theme="1"/>
        <rFont val="Calibri"/>
      </rPr>
      <t xml:space="preserve">- Be tolerant open and respectful to any other working partner in the team to have a healthy and happy workforce.
- advocate for diverse perspectives in discussions and support DEI initiatives
- enforce the need to be able to consolidate diversity at the workplace so that everyone feels safe and can work properly.
</t>
    </r>
    <r>
      <rPr>
        <b/>
        <sz val="10"/>
        <color theme="1"/>
        <rFont val="Calibri"/>
      </rPr>
      <t xml:space="preserve">Inclusive Leadership &amp; Decision-Making:
</t>
    </r>
    <r>
      <rPr>
        <sz val="10"/>
        <color theme="1"/>
        <rFont val="Calibri"/>
      </rPr>
      <t xml:space="preserve">- Actively seek input from underrepresented voices to ensure diverse perspectives are reflected in decisions. 
- fair treatment for all team members
- Actively seek out diverse perspectives during decision-making processes.
- Create opportunities for underrepresented voices in brainstorming sessions or project leadership roles. 
</t>
    </r>
    <r>
      <rPr>
        <b/>
        <sz val="10"/>
        <color theme="1"/>
        <rFont val="Calibri"/>
      </rPr>
      <t xml:space="preserve">Respectful and Supportive Workplace Culture:
</t>
    </r>
    <r>
      <rPr>
        <sz val="10"/>
        <color theme="1"/>
        <rFont val="Calibri"/>
      </rPr>
      <t xml:space="preserve">- Ensure that everyone on the team can express themselves nomatter the title of their role, their background, their race etc. 
- Promote diversity, collaboration, and project management, ensuring all voices are heard and valued. 
Extra info: 
- Emphasizing fair, skill-based recruitment without biases. 
- Launch formal empathy training as the initial step, followed by regular feedback sessions to assess the effectiveness of the training and its practical application in the workplace. </t>
    </r>
  </si>
  <si>
    <t>Balancing empathy with self-care is essential to prevent burnout and maintain productivity over time. Normalise taking breaks or stepping back during emotionally draining periods and encourage team members to prioritize their well-being and communicate their limits when overwhelmed.
I will practice self-care by setting boundaries and encouraging open discussions about workload while providing mental health resources and flexible work arrangements.
I will prioritize self-care and set clear boundaries to avoid empathy fatigue within the team.
G8, G9, and g17 are also very important to implement because the company culture should be an empathetic one. I can make this happen successfully by holding meetings specifically to address empathy and respect amongst employees. Having one on one talks with employees for their progress reports can be slightly rehearsed to focus on each employees comfortability in the office. Also having team building exercises can do wonders regarding employees ability to empathize, and learn about eachother which will cause less grudges and with less intensity.
I will ensure to let my team know that it s ok decline extra work if need be.
I will prioritize self-care by recognizing my own emotional limits and encourage team members to do the same. I will also advocate for mental health resources within the organization to support practitioners experiencing empathy fatigue.
We must also monitor and control empathetic fatigue and guard the well being of our staff.
Let’s be real, burnout sucks. I’d make time for breaks, support mental health, and remind myself and my team that it’s okay to step back and recharge when needed.
Setting Boundaries: Clearly define boundaries to ensure a healthy work-life balance, encouraging team members to do the same. Self-Care Practices: Promote self-care practices such as regular breaks, mindfulness exercises, and mental health days. Support Systems: Establish support systems within the team, such as peer support groups or access to professional counseling services, to help manage stress and prevent burnout. Advocate for Mental Health: Push for organizational initiatives that support mental health, such as flexible working hours and access to mental health resources. 
Recognize signs of burnout, set up team check-ins, and rotate emotionally taxing tasks to prevent fatigue. 
I will prioritize self-care by setting clear boundaries between work and personal life. I will recognize signs of empathy fatigue and take breaks or seek support as needed. Open communication about emotional strain will also be a priority within my team. Steps: Regularly check in with myself regarding emotional fatigue, set work-life balance boundaries, and encourage a culture of openness where empathy fatigue can be addressed without stigma. 
Balance empathetic engagement with self-care to avoid burnout. Set clear boundaries for availability and workload to maintain emotional resilience. Specific Steps: Schedule regular breaks and encourage team members to do the same. Use task management tools to distribute workloads fairly, preventing overburdening any individual. Participate in mindfulness or stress management practices and share these techniques with the team. 
Take regular breaks, set work-life boundaries, and check in on emotional well-being (managing empathy fatigue). 
Empathy fatigue can arise from consistently prioritizing the needs of others, so managing it is critical for maintaining long-term productivity and emotional well-being. Specific Steps: Setting Boundaries: I’ll clearly define my availability and workload, ensuring I can engage meaningfully without becoming overwhelmed. Self-Care Practices: I’ll schedule regular breaks and engage in activities that help me recharge, such as mindfulness exercises or spending time offline. Encouraging Team Balance: I’ll promote a team culture where it’s acceptable to say “no” to additional responsibilities when someone is at capacity. Leverage Organizational Support: I’ll utilize resources like counseling or mental health initiatives if available, and advocate for their inclusion in the workplace if they aren’t yet present.</t>
  </si>
  <si>
    <r>
      <rPr>
        <b/>
        <sz val="10"/>
        <color theme="1"/>
        <rFont val="Calibri"/>
      </rPr>
      <t xml:space="preserve">Self-Care and Boundaries:
</t>
    </r>
    <r>
      <rPr>
        <sz val="10"/>
        <color theme="1"/>
        <rFont val="Calibri"/>
      </rPr>
      <t xml:space="preserve">- Balance empathy with self-care to prevent burnout and maintain productivity over time. 
- Prioritise self-care by recognising personal emotional limits and encourage team members to do the same. 
- Assure employees that it s ok decline extra work if need be.
- Set clear boundaries for availability and workload to maintain emotional resilience. 
- Promote self-care practices such as regular breaks, mindfulness exercises, and mental health days. 
- encourage team members to prioritize their well-being and communicate their limits when overwhelmed.
- Remind everyone that it’s okay to step back and recharge when needed.
</t>
    </r>
    <r>
      <rPr>
        <strike/>
        <sz val="10"/>
        <color theme="1"/>
        <rFont val="Calibri"/>
      </rPr>
      <t xml:space="preserve">
</t>
    </r>
    <r>
      <rPr>
        <sz val="10"/>
        <color theme="1"/>
        <rFont val="Calibri"/>
      </rPr>
      <t xml:space="preserve">
</t>
    </r>
    <r>
      <rPr>
        <b/>
        <sz val="10"/>
        <color theme="1"/>
        <rFont val="Calibri"/>
      </rPr>
      <t xml:space="preserve">Mental Health and Well-being Support:
</t>
    </r>
    <r>
      <rPr>
        <sz val="10"/>
        <color theme="1"/>
        <rFont val="Calibri"/>
      </rPr>
      <t xml:space="preserve">- Advocate for mental health resources within the organisation to support practitioners experiencing empathy fatigue.
- Establish support systems within the team, such as peer support groups or access to professional counseling services, to help manage stress and prevent burnout. 
- Push for organisational initiatives that support mental health, such as flexible working hours and access to mental health resources. 
- Monitor and control empathetic fatigue and guard the well being of our staff.
- encourage a culture of openness where empathy fatigue can be addressed without stigma. 
</t>
    </r>
    <r>
      <rPr>
        <b/>
        <sz val="10"/>
        <color theme="1"/>
        <rFont val="Calibri"/>
      </rPr>
      <t xml:space="preserve">Team Dynamics and Communication:
</t>
    </r>
    <r>
      <rPr>
        <sz val="10"/>
        <color theme="1"/>
        <rFont val="Calibri"/>
      </rPr>
      <t xml:space="preserve">- Normalise taking breaks or stepping back during emotionally draining periods 
- encouraging open discussions about workload while providing mental health resources and flexible work arrangements.
- Recognise signs of burnout, set up team check-ins, and rotate emotionally taxing tasks to prevent fatigue. 
- Use task management tools to distribute workloads fairly, preventing overburdening any individual. 
- Participate in mindfulness or stress management practices and share these techniques with the team.
- Promote a team culture where it’s acceptable to say “no” to additional responsibilities when someone is at capacity. 
</t>
    </r>
  </si>
  <si>
    <t>Analysis Final</t>
  </si>
  <si>
    <t>Limitation Categories and Details</t>
  </si>
  <si>
    <t>Related Improvements</t>
  </si>
  <si>
    <r>
      <rPr>
        <b/>
        <sz val="10"/>
        <color theme="1"/>
        <rFont val="Calibri"/>
      </rPr>
      <t xml:space="preserve">Distant relationship between co-workers 
</t>
    </r>
    <r>
      <rPr>
        <sz val="10"/>
        <color theme="1"/>
        <rFont val="Calibri"/>
      </rPr>
      <t xml:space="preserve">- Difficult to incorperate empathy when there aren't much human interaction
- lack of trust between team members: If i have no trust that my co workers are empathetic towards me, i may not do the same. 
- Remote work setting: Since most work is remote now, virtual meetings tend to be all about the technical side of things.
- Distant relationships among co-workers and stakeholders: Some workers are so far from eachother, never talking directly that it can be difficult. 
</t>
    </r>
  </si>
  <si>
    <t xml:space="preserve">- Having weekly meetings just to chat and know each others better in the company.
- In the team setting, offer empathy to anyone on the the team who're finding the technical challenges extra difficult.
- keep the teams together, set up a common lunchroom, promote activities that workers can do together.
</t>
  </si>
  <si>
    <r>
      <rPr>
        <b/>
        <sz val="10"/>
        <color theme="1"/>
        <rFont val="Calibri"/>
      </rPr>
      <t xml:space="preserve">Cultural differences 
</t>
    </r>
    <r>
      <rPr>
        <sz val="10"/>
        <color theme="1"/>
        <rFont val="Calibri"/>
      </rPr>
      <t xml:space="preserve">- cultural differences in creating safe spaces
- Differences in different teams
- Cultural and behavioral shifts: fostering empathy often requires cultural and behavioral shifts, which can be challenging in high-pressure or results-driven environments. Challenging to achieve these guidelines in hierarchical or rigid environments. For instance, guidelines like G15 (empathy education) and G16 (DEI policies) may face resistance due to lack of awareness or competing priorities. Its difficult to impact the company culture in general, so any action taken within the team is challenging because the team is constantly influenced by many different stakeholders. some corporate organisations don't prioritise DEI and wellbeing, culture and education etc. which can cause huge issues for motivation. Tough to implement in organizations with a siloed structure where communication is limited, In places like that, it’s hard to promote open, two-way communication (G4) or build trust across teams. Some roles and teams might be so separated that fostering understanding becomes an uphill battle. In organizations with competitive cultures, fostering empathy may conflict with existing norms, making adoption difficult. 
- Differences in expression of empathy: Empathy may be interpreted or valued differently across cultural or regional contexts. Cultural differences in understanding and showing empathy. 
- Cultural Barriers: Empathy can be challenging to implement when teams are culturally diverse or when there are communication barriers. Differences in language, work culture, and expectations can sometimes hinder empathetic interactions. 
- Misinterpretation of empathy as leniency
- Diverse intepretations: communicating guidlines in a way that everyone can understand. People have different interperations and at times may not think the way it is perceived. 
- Nature of the organisation: Each company is very difference, so huge companies have to have a different approach than a small one. Maintaining empathy in larger teams can be challenging (Scalability Issues).
- Preference given to the ideas of senior practitioners: naturally people seem to respect the views of more experienced and people with senior title roles. I have seen this demotivating others from contributing as they just assume that they won’t be listened to. 
- Diverse Stakeholder Needs: Stakeholders have varied preferences, making it challenging to apply empathy uniformly. </t>
    </r>
  </si>
  <si>
    <t xml:space="preserve">- Resolving Communication differences: teach a bit of each specific jargon to each team to ensure there are the less problems due to the differences in teams. Be mindful of cultural nuances and adapt communication styles accordingly. Providing cross-cultural communication training and encouraging the use of inclusive language can help bridge these gaps. Additionally, fostering a culture of active listening and creating safe spaces for open dialogue can help ensure that all team members’ perspectives are heard and respected. Use tools like team collaboration platforms for regular check-ins and standardized empathetic communication practices. Tailor empathy strategies based on individual stakeholder needs, adapting communication style accordingly. 
- Different interpretations: Hold a meeting for everyone to experess their concerns regarding guidelines and then combine all the ideas into a document. From there, it is a good reference people can rely on.
- Management Support: Encourage leadership to model empathetic behavior. To foster a more empathetic workplace, management must act in measured steps, with emphasis on goals which have been identified as achievable in a reasonably short period and with plainly visible results by all those concerned. By demonstrating these early gains to all, it will show everyone that management is serious about everyone well being, and this is not just another DEI compliance policy that is "just talk". For empathy to really take hold, it needs to come from the top down. Leaders should model empathetic behavior, which encourages teams to follow suit. When empathy is a core value, it becomes more than just a guideline;it 's a culture. Get the help of HR.
- Empathy training: Advocating the higher management to conduct empathy trainings for the whole company. Provide regular training sessions to raise awareness about the benefits of empathy. Provide simple empathy training or tools like anonymous feedback forms. 
- Resolving Cultural differences: Adapting to unique cultures in each company: every culture and every group is different, you have to adapt based on your experiences. Customize guidelines to match the team’s culture and needs. Assign empathy champions and use anonymous feedback tools to maintain the culture as teams grow. Active promotion of cultural change through necessary training. promote cultural awareness and adapt updated empathy practices. 
- Roll-out mechanism: Tailor implementation strategy based on the nature of the company; Large companies may require different roll-out mechanism compared to smaller companies. In large companies, the roll-out can be done in several phases starting from the leadership team. This phased approach can be used even in smaller companies, but may require fewer phases compared to larger organisations. Develop lightweight, scalable tools or frameworks to make empathetic practices easier to implement within constrained timelines.  split the guidelines into groups and try to identify the level of management who can implement them
- Create a platform where all practitioners can share their ideas openly, ensuring that these ideas are evaluated based on their merit and effectiveness rather than the seniority of the person presenting them.
</t>
  </si>
  <si>
    <r>
      <rPr>
        <b/>
        <sz val="10"/>
        <color theme="1"/>
        <rFont val="Calibri"/>
      </rPr>
      <t>Differences in personalities</t>
    </r>
    <r>
      <rPr>
        <sz val="10"/>
        <color theme="1"/>
        <rFont val="Calibri"/>
      </rPr>
      <t xml:space="preserve">
- Dealing with humans: It's never easy when dealing with human emotion. human factor which is getting everyone to get along, handling human issues, managing workloads and making the employees feel valued.
- Personality differences: It could be hard to get certain types of people to buy in: There are a lot of very insecure and self interested people in the tech space and they've been led to believe that empathy equals weakness rather than being admirable, strong, and healthy. software engineers tend to be very opinionated and individualistic. The challenge would come from employees ability to get along with eachother. Sometimes two people just arent compatible and may backfire. Differences in roles and personalities can create friction when applying uniform empathetic practices.  Depend on the people, their way of being, ego and desire to stand out. Guidelines might work differently for different people. Different mindsets among the people
- Empathy may not come naturally to everyone: not everyone may naturally practice empathy.  Some people may need more support to get into the habit of demonstrating empathy, which ties into how personal traits and team dynamics (G16) can affect how empathy is expressed. empathy exists on a spectrum, and people may experience varying degrees of empathy depending on the situation, their mood, and other factors.
- Lack of Training: Not all practitioners have the skills or knowledge to incorporate empathy effectively. Diverse Needs in Training: One-size-fits-all empathy training may not be effective. </t>
    </r>
  </si>
  <si>
    <t xml:space="preserve">- Team building: It has to be a team effort and the group should be bonded so when there is issues they're easily resolved. Create more opportunities for employees to connect and build relationships with one another: Hold company outings so that employees can mingle outside the office environment which can have better results in empathy development. 
- Promote empathy: Promote empathy as an enabler of healthy workplace and admire people for being empathetic.  Make empathy a regular conversation: If there were more regular check-ins or feedback loops where teams can discuss how empathy is working (or not working), it would help refine the approach. This also creates a space for people to share where they’re struggling and get advice on how to improve. Create mechanisms to recognize and reward empathetic behaviors, encouraging a shift in organizational culture. focus on pointing out non-empathetic behaviour and explaining how an empath would have handled the situation. Having quick check-ins during meetings to help everyone understand and practice empathy more easily. Feedback Loops: Collect regular feedback from teams to refine initiatives and address challenges.
- Offer trainings: Tailor training to different roles and learning styles for greater impact. Including empathy training as part of onboarding and ongoing development would help everyone get on the same page. The limitation would be that some of them may need some trial and error as for each guideline may be less effective for different individuals therefore making sure to maximize all bullet points does serve a purpose to make sure each person is able to maximize their ability to foster empathy.
</t>
  </si>
  <si>
    <r>
      <rPr>
        <b/>
        <sz val="10"/>
        <color theme="1"/>
        <rFont val="Calibri"/>
      </rPr>
      <t xml:space="preserve">Time constraints 
</t>
    </r>
    <r>
      <rPr>
        <sz val="10"/>
        <color theme="1"/>
        <rFont val="Calibri"/>
      </rPr>
      <t xml:space="preserve">- Lack of time for empathy training: Implementing empathy practices, such as training or relationship-building, can be time-consuming and resource-intensive, especially with tight project deadlines.
- Time and resource constraints: Practitioners are busy delivering multiple projects with limited resources including people. requires time to implement the guidelines in fast paced environments. Activities like empathy training or team bonding may conflict with deadlines and budgets. shortage of staff. Another challenge is once one project finishes, another one will be already in progress with another tight deadline. Because of this, giving the team feedback about the impact of their work is often overlooked. people don’t usually have time to talk about personal stuff or feelings. complicated to adopt these guidelines.
- Pressure from deadlines:  Stress and tight scheule. Tight deadlines may make empathy-building activities feel like distractions. balancing the implementation of guidelines with productivity demands. In fast-paced environments, there can be pressure to prioritize  deliverables, which might make it difficult to consistently apply empathy-driven practices. For example, taking extra time to understand users’ needs, conducting user interviews, or engaging in deeper communication, active listening,  frequent communication with non-technical stakeholders, offering constructive feedback, and engaging in detailed requirements gathering, may sometimes be seen as time-consuming.  overwork can prevent people to have time to interact.
- Nature of teamss/organisation: challenging to implement </t>
    </r>
    <r>
      <rPr>
        <strike/>
        <sz val="10"/>
        <color theme="1"/>
        <rFont val="Calibri"/>
      </rPr>
      <t>in fast-paced or resource-constrained environments, particularly</t>
    </r>
    <r>
      <rPr>
        <sz val="10"/>
        <color theme="1"/>
        <rFont val="Calibri"/>
      </rPr>
      <t xml:space="preserve"> with distributed teams. Time consuming nature of adopting the guidelines in large organisation: Fostering strong relationships among stakeholders may be too time-consuming for large team and organizations. The same could be said about bridging the technical and non-technical gap. Every group may have different levels of understanding, so especially in big companies it could be a goal too hard too achieve. 
- Balancing Empathy with Accountability: Too much empathy can lead to leniency and undermine performance. 
</t>
    </r>
  </si>
  <si>
    <t xml:space="preserve">- Empathy training: Training should connect to practical scenarios. providing leadership training to model empathy effectively. Management should organise empathy trainings and feedback loop sessions few days in a month in order to implement these guidelines.
- Leveraging technology for communication: using technology to support communication. Asynchronous communication: I think this could be solved through asynchronous communication when possible, and leading the solutions to these problems by example, rather than just detailing them in a lengthy conversation or message. 
- Balancing empathy with technical priorities: Balance empathy with clear, compassionate accountability processes.  good to have dedicated time / resource (personnel, finances) to be able to work on creating a more empathetic work space. Proper planning:  can be managed with proper planning.I will sit down with my team and discuss empathy parameters in detail individually with each team member. We wil plan our intentions at the start of the business year. Balancing Empathy with Technical Constraints: It would be helpful to incorporate more clear guidelines on how to handle such trade-offs. This could involve educating stakeholders on how to balance user needs with technical constraints, and ensuring that empathy doesn’t compromise the feasibility or sustainability of the solution. 
- Introducing incremental steps: If it's broken down into small actionable steps, that could prove to be helpful. Alignment: Engineers and product must be open to this kind of thing. Devoting the time, devoting the energy and including others on more things, which many people may not be up for. Use small pilot programs to demonstrate the effectiveness of these guidelines before scaling up.
- Empathy initiatives should align with team workflows: Add empathy practices to existing processes like team meetings or retrospectives, code reviews.  Gather continuous feedback, and offer tools (e.g., empathy maps) to assist in daily application. incorporate empathy into existing agile ceremonies, such as retrospectives and daily stand-ups. incorporate short empathy exercises into daily stand-ups or allocate time during sprint retrospectives for team bonding and empathy discussions. allocating specific times during project schedules for activities that foster empathy, such as team check-ins, requirements clarification sessions, or feedback loops. Empathy training in onboarding and as part of professional development and allocating time within regular team meetings.  integrate empathy practices into the daily workflow in a way that doesn’t slow down progress. This could involve setting aside specific times for user research or incorporating empathy-focused exercises into regular team meetings to make empathy a habit, not an additional task.
- Empathy as Part of KPIs: Teams can integrate empathetic behaviors into their Key Performance Indicators (KPIs), ensuring that empathy-driven activities are not viewed as "extra" tasks but as essential to success.
</t>
  </si>
  <si>
    <r>
      <rPr>
        <b/>
        <sz val="10"/>
        <color theme="1"/>
        <rFont val="Calibri"/>
      </rPr>
      <t xml:space="preserve">Difficulty of clearly seeing the real world impact
</t>
    </r>
    <r>
      <rPr>
        <sz val="10"/>
        <color theme="1"/>
        <rFont val="Calibri"/>
      </rPr>
      <t xml:space="preserve">- Varying interest in real-world impacts
- Difficulty in quantifying the impact of empathy practices: lack clear measures to evaluate success, making progress difficult to track. 
- Require substantial organizational investment and time to show results: for example, Some guidelines, such as DEI initiatives.
- Difficulty measuring empathy. 
</t>
    </r>
  </si>
  <si>
    <t xml:space="preserve">- Clear empathy metrics: Metrics can highlight the impact of work. Providing measurable outcomes, such as improved user satisfaction or team productivity, can make the benefits clearer. Use KPIs like employee satisfaction, retention rates, and feedback to track success. 
- Empathy Scale: Develop tools to assess empathy in a team. 
</t>
  </si>
  <si>
    <r>
      <rPr>
        <b/>
        <sz val="10"/>
        <color theme="1"/>
        <rFont val="Calibri"/>
      </rPr>
      <t xml:space="preserve">Resistance to change
</t>
    </r>
    <r>
      <rPr>
        <sz val="10"/>
        <color theme="1"/>
        <rFont val="Calibri"/>
      </rPr>
      <t xml:space="preserve">- Resistance from the team: Resistance to change from some employees. different personalities and egos between the different parties is more like resistance to change and cultural shift. Some team members or stakeholders may be resistant to adopting empathy-based practices, particularly in environments that have historically prioritized efficiency over user experience or collaboration. Some may view this as redundant or unnecessary. In highly technical teams, focusing on empathy might be seen as secondary to technical expertise. potential resistance from stakeholders who may undervalue empathy, perceiving it as secondary to technical expertise.
- Cultural and Organizational Resistance: Potential resistance from leadership who may see these guidelines as non-essential. Resistance to change in rigid or results-driven organizations may hinder adoption. 
</t>
    </r>
  </si>
  <si>
    <t xml:space="preserve">- Empathy training and tools: offering practical tools, such as personas or empathy maps, along with hands-on workshops, can make adoption easier and more actionable for teams. These guidelines can be utilized as part of self development goals and incorporate these learnings in real time work / projects.
- Implementation strategy: Implementing the changes gradually It will encourage people to change, joining the shared journey as the benefits quickly become apparent and understood. It’s very important to get people to change gradually so it feels like a small step and not a difficult huge leap. A more structured approach to change management, such as training workshops or incremental integration of empathy practices, could help overcome this resistance. Integrate guidelines into agile processes and provide ongoing training, ensuring they are consistently applied in daily work. Engaging influential team members as empathy champions can help shift the culture. integrate empathy into company values. Establish "Empathy" as a core company value, ensuring it is consistently upheld in workplace culture and employee conduct. Communicate this value clearly during onboarding and reinforce it as an integral part of daily interactions and decision-making.
- Demonstrating tangible benefits:  demonstrating tangible benefits, like improved product quality or user satisfaction, improved productivity, better outcomes, and happier team, team collaboration , could make these practices more appealing. Educate and inform about the benefits of empathy for team work. Demonstrate the tangible benefits of empathy on productivity and team dynamics through case studies or pilot programs.
- Leadership support: with leadership playing a key role in promoting cultural change. It's essential to have strong support from leadership to make empathy a core part of the company’s culture. This could be achieved by educating leadership on the tangible benefits of empathy for team performance, retention, and innovation. training and reinforcement from the leadership. 
-  Empathy as a Performance Metric: Integrating empathy into performance reviews or success metrics (such as team collaboration or feedback from peers) can incentivize its practice and make it more visible as a valuable skill.  Incorporate empathy metrics into team evaluations to track improvements. </t>
  </si>
  <si>
    <r>
      <rPr>
        <b/>
        <sz val="10"/>
        <color theme="1"/>
        <rFont val="Calibri"/>
      </rPr>
      <t xml:space="preserve">Task and result oriented nature of software teams
</t>
    </r>
    <r>
      <rPr>
        <sz val="10"/>
        <color theme="1"/>
        <rFont val="Calibri"/>
      </rPr>
      <t xml:space="preserve">- Result and Task oriented nature of software development: adapting the guidelines to the unique demands of software engineering environments. Technical focus of several tech-heavy roles: Not everyone naturally values empathy or soft skills, so some team members might not take these guidelines seriously, especially in tech-heavy roles.
- Prioritising revenue building: Reducing friction amongst stakeholders, collaborative problem solving and communicating business goals could be difficult too because if a company is in a high growth stage, it's difficult to put these processes in place when the priority is revenue. Empathy practices, like team bonding and open communication, can seem secondary to delivering features on time. 
</t>
    </r>
  </si>
  <si>
    <t xml:space="preserve">- Embedding empathy into existing workflows: These practices should be integrated into existing workflows, such as stand-ups and retrospectives, making empathy a seamless part of the development process rather than an added burden.
- Empathy fatigue: addressing challenges like empathy fatigue
- Promote empathy building: Having quick check-ins during meetings and doing team-building activities to help everyone understand and practice empathy more easily. make the guidelines accessible to developers. teach developers the benefits of the empathy.
- Leadership support: It's something HR and the leadership team would have to change. </t>
  </si>
  <si>
    <r>
      <rPr>
        <b/>
        <sz val="10"/>
        <color theme="1"/>
        <rFont val="Calibri"/>
      </rPr>
      <t xml:space="preserve">Lack of Managerial support
</t>
    </r>
    <r>
      <rPr>
        <sz val="10"/>
        <color theme="1"/>
        <rFont val="Calibri"/>
      </rPr>
      <t xml:space="preserve">- Reliance on managerial support
- Lack of leadership support: Hierarchy can also be tricky, some manager or executive don't see the value in empathy, they want result and fast, and don't think long term, how safe space can lead to better work in the long run, with employees more willing to stay in the company for many years for example. Without senior leadership advocating for these practices, implementation may be inconsistent. Resistance from leadership team
</t>
    </r>
  </si>
  <si>
    <t>- Leadership support: focusing on leadership modeling. Leadership Advocacy: Ensure leaders model and prioritize empathy-focused initiatives.
- Setting measurable goals and more awareness about empathy.</t>
  </si>
  <si>
    <r>
      <rPr>
        <b/>
        <sz val="10"/>
        <color theme="1"/>
        <rFont val="Calibri"/>
      </rPr>
      <t xml:space="preserve">Skill Gaps
</t>
    </r>
    <r>
      <rPr>
        <sz val="10"/>
        <color theme="1"/>
        <rFont val="Calibri"/>
      </rPr>
      <t xml:space="preserve">- Communication Skills: Explaining technical concepts to non-technical stakeholders requires strong communication skills, which not all practitioners may possess or have the opportunity to develop. the relationship with customers and outsiders.
- Skill Gaps: Many practitioners need training to effectively integrate empathy into their roles. Many engineers may not have received training on how to cultivate empathy, making it harder for them to adopt these practices naturally. Without proper training or awareness, some practitioners may find it difficult to recognize when empathy is needed or how to apply it effectively, especially in high-pressure situations. 
</t>
    </r>
  </si>
  <si>
    <t>- Empathy Training: Offer role-specific (tailored) empathy training to address diverse team needs. Courses on public speaking for those in charge of talking with them. Set up a standard template for product design as a basic tool (one that takes into consideration the differences in technical ability between software teams and customers). Organizations could integrate empathy training into onboarding and ongoing professional development programs for developers, team leads, and managers. 
- Mentorship Programs: Senior practitioners could mentor junior engineers on how to incorporate empathy into technical discussions and feedback processes, sharing real-life examples to demonstrate its importance.</t>
  </si>
  <si>
    <r>
      <rPr>
        <b/>
        <sz val="10"/>
        <color theme="1"/>
        <rFont val="Calibri"/>
      </rPr>
      <t xml:space="preserve">Empathy fatigue
</t>
    </r>
    <r>
      <rPr>
        <sz val="10"/>
        <color theme="1"/>
        <rFont val="Calibri"/>
      </rPr>
      <t xml:space="preserve">-  Empathy Fatigue: Empathy fatigue could arise if practitioners are overburdened with emotional demands, particularly in high-pressure environments. practitioners may feel overwhelmed by constantly addressing others' needs. Overemphasis on empathy without boundaries can lead to burnout. Overemphasis on empathy without addressing emotional strain can lead to burnout, especially in roles that require constant collaboration or stakeholder interaction. 
</t>
    </r>
  </si>
  <si>
    <t xml:space="preserve">- Empathy training: Provide empathy training with a focus on managing boundaries and self-care. training on managing empathy fatigue. 
- Mental health support resources: Allocate resources for mental health support to manage empathy fatigue effectively. Establish clear boundaries and provide mental health support to prevent burnout. Regularly check in on team well-being and ensure a healthy work-life balance. Encourage breaks. Encourage self-awareness.
</t>
  </si>
  <si>
    <r>
      <t xml:space="preserve">
This appendix presents the full details of the data analysis conducted for the large-scale practitioner survey. It includes the demographic information of the participants </t>
    </r>
    <r>
      <rPr>
        <i/>
        <sz val="14"/>
        <color theme="1"/>
        <rFont val="Calibri"/>
        <family val="2"/>
      </rPr>
      <t>(Demographics Analysis sheet)</t>
    </r>
    <r>
      <rPr>
        <sz val="14"/>
        <color theme="1"/>
        <rFont val="Calibri"/>
        <family val="2"/>
      </rPr>
      <t xml:space="preserve"> and a comprehensive quantitative analysis of practitioners’ ratings of the empathy guidelines across three dimensions: perceived importance, ease of implementation, and willingness to adopt </t>
    </r>
    <r>
      <rPr>
        <i/>
        <sz val="14"/>
        <color theme="1"/>
        <rFont val="Calibri"/>
        <family val="2"/>
      </rPr>
      <t>(Guidelines Analysis - Quant sheet)</t>
    </r>
    <r>
      <rPr>
        <sz val="14"/>
        <color theme="1"/>
        <rFont val="Calibri"/>
        <family val="2"/>
      </rPr>
      <t xml:space="preserve">. These analyses collectively informed the development of the implementation prioritisation framework </t>
    </r>
    <r>
      <rPr>
        <i/>
        <sz val="14"/>
        <color theme="1"/>
        <rFont val="Calibri"/>
        <family val="2"/>
      </rPr>
      <t>(Detailed Guidelines Analysis - Quant sheet)</t>
    </r>
    <r>
      <rPr>
        <sz val="14"/>
        <color theme="1"/>
        <rFont val="Calibri"/>
        <family val="2"/>
      </rPr>
      <t xml:space="preserve">.
In addition, this appendix provides the final analysis of practitioners’ suggested approaches for implementing the guidelines in real-world settings as shown in Figures 3-6 </t>
    </r>
    <r>
      <rPr>
        <i/>
        <sz val="14"/>
        <color theme="1"/>
        <rFont val="Calibri"/>
        <family val="2"/>
      </rPr>
      <t>(Guidelines Analysis - Qual - Practical Imp Ways sheet)</t>
    </r>
    <r>
      <rPr>
        <sz val="14"/>
        <color theme="1"/>
        <rFont val="Calibri"/>
        <family val="2"/>
      </rPr>
      <t xml:space="preserve">. We also summarise the key challenges practitioners anticipated when adopting these guidelines in practice, along with the corresponding strategies to address these challenges as shown in Figure 7 </t>
    </r>
    <r>
      <rPr>
        <i/>
        <sz val="14"/>
        <color theme="1"/>
        <rFont val="Calibri"/>
        <family val="2"/>
      </rPr>
      <t>(Guide. Analysis - Qual - Limitations &amp; Improvement sheet)</t>
    </r>
    <r>
      <rPr>
        <sz val="14"/>
        <color theme="1"/>
        <rFont val="Calibri"/>
        <family val="2"/>
      </rPr>
      <t>. Together, these components offer a transparent account of how the data were interpreted and how the final set of recommendations and improvement strategies was derived.</t>
    </r>
  </si>
  <si>
    <r>
      <t xml:space="preserve">
</t>
    </r>
    <r>
      <rPr>
        <b/>
        <sz val="36"/>
        <color theme="1"/>
        <rFont val="Calibri"/>
        <family val="2"/>
      </rPr>
      <t>Appendix B - Data Analysis
Empathy Guidelines for Software Practitioners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</si>
</sst>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sz val="10"/>
      <color theme="1"/>
      <name val="Calibri"/>
    </font>
    <font>
      <sz val="11"/>
      <color rgb="FF000000"/>
      <name val="Calibri"/>
    </font>
    <font>
      <b/>
      <sz val="11"/>
      <color rgb="FF000000"/>
      <name val="Calibri"/>
    </font>
    <font>
      <b/>
      <sz val="10"/>
      <color theme="1"/>
      <name val="Calibri"/>
    </font>
    <font>
      <strike/>
      <sz val="10"/>
      <color theme="1"/>
      <name val="Calibri"/>
    </font>
    <font>
      <sz val="10"/>
      <color theme="1"/>
      <name val="Calibri"/>
    </font>
    <font>
      <sz val="10"/>
      <color rgb="FF000000"/>
      <name val="Calibri"/>
    </font>
    <font>
      <sz val="10"/>
      <name val="Arial"/>
    </font>
    <font>
      <sz val="10"/>
      <color theme="1"/>
      <name val="Arial"/>
      <scheme val="minor"/>
    </font>
    <font>
      <b/>
      <sz val="10"/>
      <color rgb="FF000000"/>
      <name val="Calibri"/>
    </font>
    <font>
      <b/>
      <sz val="10"/>
      <color theme="1"/>
      <name val="Calibri"/>
    </font>
    <font>
      <sz val="11"/>
      <color theme="1"/>
      <name val="Calibri"/>
    </font>
    <font>
      <b/>
      <sz val="10"/>
      <color rgb="FFFF00FF"/>
      <name val="Calibri"/>
    </font>
    <font>
      <sz val="10"/>
      <color theme="1"/>
      <name val="Calibri"/>
      <family val="2"/>
    </font>
    <font>
      <sz val="14"/>
      <color theme="1"/>
      <name val="Calibri"/>
      <family val="2"/>
    </font>
    <font>
      <i/>
      <sz val="14"/>
      <color theme="1"/>
      <name val="Calibri"/>
      <family val="2"/>
    </font>
    <font>
      <sz val="36"/>
      <color theme="1"/>
      <name val="Calibri"/>
      <family val="2"/>
    </font>
    <font>
      <b/>
      <sz val="36"/>
      <color theme="1"/>
      <name val="Calibri"/>
      <family val="2"/>
    </font>
  </fonts>
  <fills count="15">
    <fill>
      <patternFill patternType="none"/>
    </fill>
    <fill>
      <patternFill patternType="gray125"/>
    </fill>
    <fill>
      <patternFill patternType="solid">
        <fgColor rgb="FFC0C0C0"/>
        <bgColor rgb="FFC0C0C0"/>
      </patternFill>
    </fill>
    <fill>
      <patternFill patternType="solid">
        <fgColor rgb="FFD9EAD3"/>
        <bgColor rgb="FFD9EAD3"/>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D966"/>
        <bgColor rgb="FFFFD966"/>
      </patternFill>
    </fill>
    <fill>
      <patternFill patternType="solid">
        <fgColor rgb="FFFFF2CC"/>
        <bgColor rgb="FFFFF2CC"/>
      </patternFill>
    </fill>
    <fill>
      <patternFill patternType="solid">
        <fgColor rgb="FFF6B26B"/>
        <bgColor rgb="FFF6B26B"/>
      </patternFill>
    </fill>
    <fill>
      <patternFill patternType="solid">
        <fgColor theme="6"/>
        <bgColor theme="6"/>
      </patternFill>
    </fill>
    <fill>
      <patternFill patternType="solid">
        <fgColor rgb="FFB6D7A8"/>
        <bgColor rgb="FFB6D7A8"/>
      </patternFill>
    </fill>
    <fill>
      <patternFill patternType="solid">
        <fgColor rgb="FFCFE2F3"/>
        <bgColor rgb="FFCFE2F3"/>
      </patternFill>
    </fill>
    <fill>
      <patternFill patternType="solid">
        <fgColor rgb="FFEFEFEF"/>
        <bgColor rgb="FFEFEFEF"/>
      </patternFill>
    </fill>
    <fill>
      <patternFill patternType="solid">
        <fgColor theme="9"/>
        <bgColor theme="9"/>
      </patternFill>
    </fill>
  </fills>
  <borders count="2">
    <border>
      <left/>
      <right/>
      <top/>
      <bottom/>
      <diagonal/>
    </border>
    <border>
      <left/>
      <right style="thin">
        <color rgb="FF000000"/>
      </right>
      <top/>
      <bottom/>
      <diagonal/>
    </border>
  </borders>
  <cellStyleXfs count="1">
    <xf numFmtId="0" fontId="0" fillId="0" borderId="0"/>
  </cellStyleXfs>
  <cellXfs count="68">
    <xf numFmtId="0" fontId="0" fillId="0" borderId="0" xfId="0"/>
    <xf numFmtId="0" fontId="1" fillId="0" borderId="0" xfId="0" applyFont="1" applyAlignment="1">
      <alignment vertical="top"/>
    </xf>
    <xf numFmtId="0" fontId="2" fillId="0" borderId="0" xfId="0" applyFont="1"/>
    <xf numFmtId="0" fontId="3" fillId="2" borderId="0" xfId="0" applyFont="1" applyFill="1" applyAlignment="1">
      <alignment vertical="top" wrapText="1"/>
    </xf>
    <xf numFmtId="0" fontId="3" fillId="0" borderId="0" xfId="0" applyFont="1" applyAlignment="1">
      <alignment vertical="top" wrapText="1"/>
    </xf>
    <xf numFmtId="0" fontId="1" fillId="0" borderId="0" xfId="0" applyFont="1"/>
    <xf numFmtId="0" fontId="4" fillId="3" borderId="0" xfId="0" applyFont="1" applyFill="1"/>
    <xf numFmtId="0" fontId="4" fillId="3" borderId="0" xfId="0" applyFont="1" applyFill="1" applyAlignment="1">
      <alignment vertical="top"/>
    </xf>
    <xf numFmtId="0" fontId="5" fillId="0" borderId="0" xfId="0" applyFont="1"/>
    <xf numFmtId="0" fontId="5" fillId="0" borderId="0" xfId="0" applyFont="1" applyAlignment="1">
      <alignment vertical="top"/>
    </xf>
    <xf numFmtId="0" fontId="6" fillId="0" borderId="0" xfId="0" applyFont="1"/>
    <xf numFmtId="0" fontId="7" fillId="0" borderId="0" xfId="0" applyFont="1"/>
    <xf numFmtId="0" fontId="1" fillId="0" borderId="0" xfId="0" applyFont="1" applyAlignment="1">
      <alignment wrapText="1"/>
    </xf>
    <xf numFmtId="0" fontId="4" fillId="0" borderId="0" xfId="0" applyFont="1"/>
    <xf numFmtId="0" fontId="2" fillId="0" borderId="0" xfId="0" applyFont="1" applyAlignment="1">
      <alignment vertical="top" wrapText="1"/>
    </xf>
    <xf numFmtId="0" fontId="2" fillId="2" borderId="0" xfId="0" applyFont="1" applyFill="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9" fillId="0" borderId="0" xfId="0" applyFont="1" applyAlignment="1">
      <alignment vertical="top" wrapText="1"/>
    </xf>
    <xf numFmtId="0" fontId="3" fillId="3" borderId="0" xfId="0" applyFont="1" applyFill="1" applyAlignment="1">
      <alignment vertical="top"/>
    </xf>
    <xf numFmtId="0" fontId="4" fillId="4" borderId="0" xfId="0" applyFont="1" applyFill="1" applyAlignment="1">
      <alignment vertical="top"/>
    </xf>
    <xf numFmtId="0" fontId="1" fillId="0" borderId="0" xfId="0" applyFont="1" applyAlignment="1">
      <alignment vertical="top" wrapText="1"/>
    </xf>
    <xf numFmtId="0" fontId="1" fillId="8" borderId="0" xfId="0" applyFont="1" applyFill="1" applyAlignment="1">
      <alignment vertical="top" wrapText="1"/>
    </xf>
    <xf numFmtId="0" fontId="1" fillId="8" borderId="0" xfId="0" applyFont="1" applyFill="1" applyAlignment="1">
      <alignment vertical="top"/>
    </xf>
    <xf numFmtId="0" fontId="1" fillId="9" borderId="0" xfId="0" applyFont="1" applyFill="1" applyAlignment="1">
      <alignment vertical="top"/>
    </xf>
    <xf numFmtId="0" fontId="1" fillId="7" borderId="0" xfId="0" applyFont="1" applyFill="1" applyAlignment="1">
      <alignment vertical="top"/>
    </xf>
    <xf numFmtId="0" fontId="4" fillId="5" borderId="0" xfId="0" applyFont="1" applyFill="1" applyAlignment="1">
      <alignment vertical="top"/>
    </xf>
    <xf numFmtId="0" fontId="4" fillId="10" borderId="0" xfId="0" applyFont="1" applyFill="1" applyAlignment="1">
      <alignment vertical="top"/>
    </xf>
    <xf numFmtId="0" fontId="1" fillId="10" borderId="0" xfId="0" applyFont="1" applyFill="1" applyAlignment="1">
      <alignment vertical="top"/>
    </xf>
    <xf numFmtId="0" fontId="7" fillId="0" borderId="0" xfId="0" applyFont="1" applyAlignment="1">
      <alignment vertical="top" wrapText="1"/>
    </xf>
    <xf numFmtId="0" fontId="6" fillId="0" borderId="0" xfId="0" applyFont="1" applyAlignment="1">
      <alignment vertical="top"/>
    </xf>
    <xf numFmtId="0" fontId="10" fillId="0" borderId="0" xfId="0" applyFont="1" applyAlignment="1">
      <alignment vertical="top" wrapText="1"/>
    </xf>
    <xf numFmtId="0" fontId="4" fillId="7" borderId="0" xfId="0" applyFont="1" applyFill="1" applyAlignment="1">
      <alignment vertical="top"/>
    </xf>
    <xf numFmtId="0" fontId="4" fillId="0" borderId="0" xfId="0" applyFont="1" applyAlignment="1">
      <alignment wrapText="1"/>
    </xf>
    <xf numFmtId="0" fontId="4" fillId="0" borderId="0" xfId="0" applyFont="1" applyAlignment="1">
      <alignment vertical="top"/>
    </xf>
    <xf numFmtId="0" fontId="4" fillId="11" borderId="0" xfId="0" applyFont="1" applyFill="1" applyAlignment="1">
      <alignment vertical="top"/>
    </xf>
    <xf numFmtId="0" fontId="1" fillId="11" borderId="0" xfId="0" applyFont="1" applyFill="1" applyAlignment="1">
      <alignment vertical="top"/>
    </xf>
    <xf numFmtId="0" fontId="4" fillId="0" borderId="0" xfId="0" applyFont="1" applyAlignment="1">
      <alignment vertical="top" wrapText="1"/>
    </xf>
    <xf numFmtId="0" fontId="1" fillId="3" borderId="0" xfId="0" applyFont="1" applyFill="1" applyAlignment="1">
      <alignment vertical="top"/>
    </xf>
    <xf numFmtId="0" fontId="1" fillId="12" borderId="0" xfId="0" applyFont="1" applyFill="1" applyAlignment="1">
      <alignment vertical="top"/>
    </xf>
    <xf numFmtId="0" fontId="1" fillId="6" borderId="0" xfId="0" applyFont="1" applyFill="1" applyAlignment="1">
      <alignment vertical="top"/>
    </xf>
    <xf numFmtId="0" fontId="1" fillId="5" borderId="0" xfId="0" applyFont="1" applyFill="1" applyAlignment="1">
      <alignment vertical="top"/>
    </xf>
    <xf numFmtId="0" fontId="11" fillId="0" borderId="0" xfId="0" applyFont="1" applyAlignment="1">
      <alignment horizontal="left"/>
    </xf>
    <xf numFmtId="0" fontId="12" fillId="0" borderId="0" xfId="0" applyFont="1" applyAlignment="1">
      <alignment vertical="top" wrapText="1"/>
    </xf>
    <xf numFmtId="0" fontId="11" fillId="13" borderId="0" xfId="0" applyFont="1" applyFill="1" applyAlignment="1">
      <alignment vertical="top" wrapText="1"/>
    </xf>
    <xf numFmtId="0" fontId="11" fillId="3" borderId="0" xfId="0" applyFont="1" applyFill="1" applyAlignment="1">
      <alignment vertical="top" wrapText="1"/>
    </xf>
    <xf numFmtId="0" fontId="6" fillId="0" borderId="0" xfId="0" applyFont="1" applyAlignment="1">
      <alignment vertical="top" wrapText="1"/>
    </xf>
    <xf numFmtId="0" fontId="4" fillId="14" borderId="0" xfId="0" applyFont="1" applyFill="1"/>
    <xf numFmtId="0" fontId="9" fillId="14" borderId="0" xfId="0" applyFont="1" applyFill="1"/>
    <xf numFmtId="0" fontId="4" fillId="13" borderId="0" xfId="0" applyFont="1" applyFill="1" applyAlignment="1">
      <alignment vertical="top" wrapText="1"/>
    </xf>
    <xf numFmtId="0" fontId="3" fillId="3" borderId="0" xfId="0" applyFont="1" applyFill="1" applyAlignment="1">
      <alignment vertical="top" wrapText="1"/>
    </xf>
    <xf numFmtId="0" fontId="0" fillId="0" borderId="0" xfId="0"/>
    <xf numFmtId="0" fontId="8" fillId="0" borderId="1" xfId="0" applyFont="1" applyBorder="1"/>
    <xf numFmtId="0" fontId="3" fillId="4" borderId="0" xfId="0" applyFont="1" applyFill="1" applyAlignment="1">
      <alignment vertical="top" wrapText="1"/>
    </xf>
    <xf numFmtId="0" fontId="3" fillId="5" borderId="0" xfId="0" applyFont="1" applyFill="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3" borderId="0" xfId="0" applyFont="1" applyFill="1" applyAlignment="1">
      <alignment vertical="top"/>
    </xf>
    <xf numFmtId="0" fontId="4" fillId="4" borderId="0" xfId="0" applyFont="1" applyFill="1" applyAlignment="1">
      <alignment vertical="top"/>
    </xf>
    <xf numFmtId="0" fontId="4" fillId="5" borderId="0" xfId="0" applyFont="1" applyFill="1" applyAlignment="1">
      <alignment vertical="top"/>
    </xf>
    <xf numFmtId="0" fontId="1" fillId="0" borderId="0" xfId="0" applyFont="1" applyAlignment="1">
      <alignment vertical="top" wrapText="1"/>
    </xf>
    <xf numFmtId="0" fontId="15" fillId="0" borderId="0" xfId="0" applyFont="1" applyAlignment="1">
      <alignment vertical="top" wrapText="1"/>
    </xf>
    <xf numFmtId="0" fontId="17" fillId="0" borderId="0" xfId="0" applyFont="1" applyAlignment="1">
      <alignment horizontal="center" vertical="top" wrapText="1"/>
    </xf>
    <xf numFmtId="0" fontId="14" fillId="0" borderId="0" xfId="0" applyFont="1" applyAlignment="1">
      <alignment vertical="top" wrapText="1"/>
    </xf>
    <xf numFmtId="0" fontId="1" fillId="0" borderId="0" xfId="0" applyFont="1" applyAlignment="1">
      <alignment horizontal="left" vertical="top" wrapText="1"/>
    </xf>
    <xf numFmtId="0" fontId="0" fillId="0" borderId="0" xfId="0" applyAlignment="1">
      <alignment wrapText="1"/>
    </xf>
    <xf numFmtId="0" fontId="4" fillId="3" borderId="0" xfId="0" applyFont="1" applyFill="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percentStacked"/>
        <c:varyColors val="1"/>
        <c:ser>
          <c:idx val="0"/>
          <c:order val="0"/>
          <c:tx>
            <c:strRef>
              <c:f>'Guidelines Analysis - Quant'!$C$73</c:f>
              <c:strCache>
                <c:ptCount val="1"/>
                <c:pt idx="0">
                  <c:v>I am currently using it</c:v>
                </c:pt>
              </c:strCache>
            </c:strRef>
          </c:tx>
          <c:spPr>
            <a:solidFill>
              <a:srgbClr val="4285F4"/>
            </a:solidFill>
            <a:ln cmpd="sng">
              <a:solidFill>
                <a:srgbClr val="000000"/>
              </a:solidFill>
            </a:ln>
          </c:spPr>
          <c:invertIfNegative val="1"/>
          <c:cat>
            <c:strRef>
              <c:f>'Guidelines Analysis - Quant'!$A$74:$A$90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Quant'!$C$74:$C$90</c:f>
              <c:numCache>
                <c:formatCode>General</c:formatCode>
                <c:ptCount val="17"/>
                <c:pt idx="0">
                  <c:v>34</c:v>
                </c:pt>
                <c:pt idx="1">
                  <c:v>42</c:v>
                </c:pt>
                <c:pt idx="2">
                  <c:v>23</c:v>
                </c:pt>
                <c:pt idx="3">
                  <c:v>43</c:v>
                </c:pt>
                <c:pt idx="4">
                  <c:v>46</c:v>
                </c:pt>
                <c:pt idx="5">
                  <c:v>20</c:v>
                </c:pt>
                <c:pt idx="6">
                  <c:v>54</c:v>
                </c:pt>
                <c:pt idx="7">
                  <c:v>21</c:v>
                </c:pt>
                <c:pt idx="8">
                  <c:v>31</c:v>
                </c:pt>
                <c:pt idx="9">
                  <c:v>44</c:v>
                </c:pt>
                <c:pt idx="10">
                  <c:v>41</c:v>
                </c:pt>
                <c:pt idx="11">
                  <c:v>36</c:v>
                </c:pt>
                <c:pt idx="12">
                  <c:v>25</c:v>
                </c:pt>
                <c:pt idx="13">
                  <c:v>40</c:v>
                </c:pt>
                <c:pt idx="14">
                  <c:v>21</c:v>
                </c:pt>
                <c:pt idx="15">
                  <c:v>29</c:v>
                </c:pt>
                <c:pt idx="16">
                  <c:v>19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984-374D-8BEA-CBFDB99DF748}"/>
            </c:ext>
          </c:extLst>
        </c:ser>
        <c:ser>
          <c:idx val="1"/>
          <c:order val="1"/>
          <c:tx>
            <c:strRef>
              <c:f>'Guidelines Analysis - Quant'!$D$73</c:f>
              <c:strCache>
                <c:ptCount val="1"/>
                <c:pt idx="0">
                  <c:v>I will definitely use it</c:v>
                </c:pt>
              </c:strCache>
            </c:strRef>
          </c:tx>
          <c:spPr>
            <a:solidFill>
              <a:srgbClr val="EA4335"/>
            </a:solidFill>
            <a:ln cmpd="sng">
              <a:solidFill>
                <a:srgbClr val="000000"/>
              </a:solidFill>
            </a:ln>
          </c:spPr>
          <c:invertIfNegative val="1"/>
          <c:cat>
            <c:strRef>
              <c:f>'Guidelines Analysis - Quant'!$A$74:$A$90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Quant'!$D$74:$D$90</c:f>
              <c:numCache>
                <c:formatCode>General</c:formatCode>
                <c:ptCount val="17"/>
                <c:pt idx="0">
                  <c:v>28</c:v>
                </c:pt>
                <c:pt idx="1">
                  <c:v>27</c:v>
                </c:pt>
                <c:pt idx="2">
                  <c:v>34</c:v>
                </c:pt>
                <c:pt idx="3">
                  <c:v>28</c:v>
                </c:pt>
                <c:pt idx="4">
                  <c:v>29</c:v>
                </c:pt>
                <c:pt idx="5">
                  <c:v>38</c:v>
                </c:pt>
                <c:pt idx="6">
                  <c:v>32</c:v>
                </c:pt>
                <c:pt idx="7">
                  <c:v>29</c:v>
                </c:pt>
                <c:pt idx="8">
                  <c:v>31</c:v>
                </c:pt>
                <c:pt idx="9">
                  <c:v>35</c:v>
                </c:pt>
                <c:pt idx="10">
                  <c:v>39</c:v>
                </c:pt>
                <c:pt idx="11">
                  <c:v>31</c:v>
                </c:pt>
                <c:pt idx="12">
                  <c:v>46</c:v>
                </c:pt>
                <c:pt idx="13">
                  <c:v>34</c:v>
                </c:pt>
                <c:pt idx="14">
                  <c:v>32</c:v>
                </c:pt>
                <c:pt idx="15">
                  <c:v>22</c:v>
                </c:pt>
                <c:pt idx="16">
                  <c:v>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984-374D-8BEA-CBFDB99DF748}"/>
            </c:ext>
          </c:extLst>
        </c:ser>
        <c:ser>
          <c:idx val="2"/>
          <c:order val="2"/>
          <c:tx>
            <c:strRef>
              <c:f>'Guidelines Analysis - Quant'!$E$73</c:f>
              <c:strCache>
                <c:ptCount val="1"/>
                <c:pt idx="0">
                  <c:v>I am likely to regularly use it</c:v>
                </c:pt>
              </c:strCache>
            </c:strRef>
          </c:tx>
          <c:spPr>
            <a:solidFill>
              <a:srgbClr val="FBBC04"/>
            </a:solidFill>
            <a:ln cmpd="sng">
              <a:solidFill>
                <a:srgbClr val="000000"/>
              </a:solidFill>
            </a:ln>
          </c:spPr>
          <c:invertIfNegative val="1"/>
          <c:cat>
            <c:strRef>
              <c:f>'Guidelines Analysis - Quant'!$A$74:$A$90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Quant'!$E$74:$E$90</c:f>
              <c:numCache>
                <c:formatCode>General</c:formatCode>
                <c:ptCount val="17"/>
                <c:pt idx="0">
                  <c:v>27</c:v>
                </c:pt>
                <c:pt idx="1">
                  <c:v>21</c:v>
                </c:pt>
                <c:pt idx="2">
                  <c:v>28</c:v>
                </c:pt>
                <c:pt idx="3">
                  <c:v>23</c:v>
                </c:pt>
                <c:pt idx="4">
                  <c:v>16</c:v>
                </c:pt>
                <c:pt idx="5">
                  <c:v>20</c:v>
                </c:pt>
                <c:pt idx="6">
                  <c:v>10</c:v>
                </c:pt>
                <c:pt idx="7">
                  <c:v>19</c:v>
                </c:pt>
                <c:pt idx="8">
                  <c:v>23</c:v>
                </c:pt>
                <c:pt idx="9">
                  <c:v>13</c:v>
                </c:pt>
                <c:pt idx="10">
                  <c:v>9</c:v>
                </c:pt>
                <c:pt idx="11">
                  <c:v>25</c:v>
                </c:pt>
                <c:pt idx="12">
                  <c:v>18</c:v>
                </c:pt>
                <c:pt idx="13">
                  <c:v>16</c:v>
                </c:pt>
                <c:pt idx="14">
                  <c:v>24</c:v>
                </c:pt>
                <c:pt idx="15">
                  <c:v>24</c:v>
                </c:pt>
                <c:pt idx="16">
                  <c:v>19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984-374D-8BEA-CBFDB99DF748}"/>
            </c:ext>
          </c:extLst>
        </c:ser>
        <c:ser>
          <c:idx val="3"/>
          <c:order val="3"/>
          <c:tx>
            <c:strRef>
              <c:f>'Guidelines Analysis - Quant'!$F$73</c:f>
              <c:strCache>
                <c:ptCount val="1"/>
                <c:pt idx="0">
                  <c:v>I might occasionally use it</c:v>
                </c:pt>
              </c:strCache>
            </c:strRef>
          </c:tx>
          <c:spPr>
            <a:solidFill>
              <a:srgbClr val="34A853"/>
            </a:solidFill>
            <a:ln cmpd="sng">
              <a:solidFill>
                <a:srgbClr val="000000"/>
              </a:solidFill>
            </a:ln>
          </c:spPr>
          <c:invertIfNegative val="1"/>
          <c:cat>
            <c:strRef>
              <c:f>'Guidelines Analysis - Quant'!$A$74:$A$90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Quant'!$F$74:$F$90</c:f>
              <c:numCache>
                <c:formatCode>General</c:formatCode>
                <c:ptCount val="17"/>
                <c:pt idx="0">
                  <c:v>10</c:v>
                </c:pt>
                <c:pt idx="1">
                  <c:v>12</c:v>
                </c:pt>
                <c:pt idx="2">
                  <c:v>11</c:v>
                </c:pt>
                <c:pt idx="3">
                  <c:v>7</c:v>
                </c:pt>
                <c:pt idx="4">
                  <c:v>10</c:v>
                </c:pt>
                <c:pt idx="5">
                  <c:v>21</c:v>
                </c:pt>
                <c:pt idx="6">
                  <c:v>7</c:v>
                </c:pt>
                <c:pt idx="7">
                  <c:v>24</c:v>
                </c:pt>
                <c:pt idx="8">
                  <c:v>12</c:v>
                </c:pt>
                <c:pt idx="9">
                  <c:v>6</c:v>
                </c:pt>
                <c:pt idx="10">
                  <c:v>10</c:v>
                </c:pt>
                <c:pt idx="11">
                  <c:v>9</c:v>
                </c:pt>
                <c:pt idx="12">
                  <c:v>8</c:v>
                </c:pt>
                <c:pt idx="13">
                  <c:v>6</c:v>
                </c:pt>
                <c:pt idx="14">
                  <c:v>11</c:v>
                </c:pt>
                <c:pt idx="15">
                  <c:v>12</c:v>
                </c:pt>
                <c:pt idx="16">
                  <c:v>19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2984-374D-8BEA-CBFDB99DF748}"/>
            </c:ext>
          </c:extLst>
        </c:ser>
        <c:ser>
          <c:idx val="4"/>
          <c:order val="4"/>
          <c:tx>
            <c:strRef>
              <c:f>'Guidelines Analysis - Quant'!$G$73</c:f>
              <c:strCache>
                <c:ptCount val="1"/>
                <c:pt idx="0">
                  <c:v>I am unlikely to use it</c:v>
                </c:pt>
              </c:strCache>
            </c:strRef>
          </c:tx>
          <c:spPr>
            <a:solidFill>
              <a:srgbClr val="FF6D01"/>
            </a:solidFill>
            <a:ln cmpd="sng">
              <a:solidFill>
                <a:srgbClr val="000000"/>
              </a:solidFill>
            </a:ln>
          </c:spPr>
          <c:invertIfNegative val="1"/>
          <c:cat>
            <c:strRef>
              <c:f>'Guidelines Analysis - Quant'!$A$74:$A$90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Quant'!$G$74:$G$90</c:f>
              <c:numCache>
                <c:formatCode>General</c:formatCode>
                <c:ptCount val="17"/>
                <c:pt idx="0">
                  <c:v>3</c:v>
                </c:pt>
                <c:pt idx="1">
                  <c:v>1</c:v>
                </c:pt>
                <c:pt idx="2">
                  <c:v>5</c:v>
                </c:pt>
                <c:pt idx="3">
                  <c:v>2</c:v>
                </c:pt>
                <c:pt idx="4">
                  <c:v>1</c:v>
                </c:pt>
                <c:pt idx="5">
                  <c:v>2</c:v>
                </c:pt>
                <c:pt idx="6">
                  <c:v>0</c:v>
                </c:pt>
                <c:pt idx="7">
                  <c:v>9</c:v>
                </c:pt>
                <c:pt idx="8">
                  <c:v>5</c:v>
                </c:pt>
                <c:pt idx="9">
                  <c:v>4</c:v>
                </c:pt>
                <c:pt idx="10">
                  <c:v>4</c:v>
                </c:pt>
                <c:pt idx="11">
                  <c:v>2</c:v>
                </c:pt>
                <c:pt idx="12">
                  <c:v>5</c:v>
                </c:pt>
                <c:pt idx="13">
                  <c:v>6</c:v>
                </c:pt>
                <c:pt idx="14">
                  <c:v>14</c:v>
                </c:pt>
                <c:pt idx="15">
                  <c:v>13</c:v>
                </c:pt>
                <c:pt idx="16">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2984-374D-8BEA-CBFDB99DF748}"/>
            </c:ext>
          </c:extLst>
        </c:ser>
        <c:ser>
          <c:idx val="5"/>
          <c:order val="5"/>
          <c:tx>
            <c:strRef>
              <c:f>'Guidelines Analysis - Quant'!$H$73</c:f>
              <c:strCache>
                <c:ptCount val="1"/>
                <c:pt idx="0">
                  <c:v>I will never use it</c:v>
                </c:pt>
              </c:strCache>
            </c:strRef>
          </c:tx>
          <c:spPr>
            <a:solidFill>
              <a:srgbClr val="46BDC6"/>
            </a:solidFill>
            <a:ln cmpd="sng">
              <a:solidFill>
                <a:srgbClr val="000000"/>
              </a:solidFill>
            </a:ln>
          </c:spPr>
          <c:invertIfNegative val="1"/>
          <c:cat>
            <c:strRef>
              <c:f>'Guidelines Analysis - Quant'!$A$74:$A$90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Quant'!$H$74:$H$90</c:f>
              <c:numCache>
                <c:formatCode>General</c:formatCode>
                <c:ptCount val="17"/>
                <c:pt idx="0">
                  <c:v>1</c:v>
                </c:pt>
                <c:pt idx="1">
                  <c:v>0</c:v>
                </c:pt>
                <c:pt idx="2">
                  <c:v>2</c:v>
                </c:pt>
                <c:pt idx="3">
                  <c:v>0</c:v>
                </c:pt>
                <c:pt idx="4">
                  <c:v>1</c:v>
                </c:pt>
                <c:pt idx="5">
                  <c:v>2</c:v>
                </c:pt>
                <c:pt idx="6">
                  <c:v>0</c:v>
                </c:pt>
                <c:pt idx="7">
                  <c:v>1</c:v>
                </c:pt>
                <c:pt idx="8">
                  <c:v>1</c:v>
                </c:pt>
                <c:pt idx="9">
                  <c:v>1</c:v>
                </c:pt>
                <c:pt idx="10">
                  <c:v>0</c:v>
                </c:pt>
                <c:pt idx="11">
                  <c:v>0</c:v>
                </c:pt>
                <c:pt idx="12">
                  <c:v>1</c:v>
                </c:pt>
                <c:pt idx="13">
                  <c:v>1</c:v>
                </c:pt>
                <c:pt idx="14">
                  <c:v>1</c:v>
                </c:pt>
                <c:pt idx="15">
                  <c:v>3</c:v>
                </c:pt>
                <c:pt idx="16">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2984-374D-8BEA-CBFDB99DF748}"/>
            </c:ext>
          </c:extLst>
        </c:ser>
        <c:dLbls>
          <c:showLegendKey val="0"/>
          <c:showVal val="0"/>
          <c:showCatName val="0"/>
          <c:showSerName val="0"/>
          <c:showPercent val="0"/>
          <c:showBubbleSize val="0"/>
        </c:dLbls>
        <c:gapWidth val="150"/>
        <c:overlap val="100"/>
        <c:axId val="1499659389"/>
        <c:axId val="1103135145"/>
      </c:barChart>
      <c:catAx>
        <c:axId val="1499659389"/>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03135145"/>
        <c:crosses val="autoZero"/>
        <c:auto val="1"/>
        <c:lblAlgn val="ctr"/>
        <c:lblOffset val="100"/>
        <c:noMultiLvlLbl val="1"/>
      </c:catAx>
      <c:valAx>
        <c:axId val="11031351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49965938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AU" b="0">
                <a:solidFill>
                  <a:srgbClr val="757575"/>
                </a:solidFill>
                <a:latin typeface="+mn-lt"/>
              </a:rPr>
              <a:t>Very Easy</a:t>
            </a:r>
          </a:p>
        </c:rich>
      </c:tx>
      <c:overlay val="0"/>
    </c:title>
    <c:autoTitleDeleted val="0"/>
    <c:plotArea>
      <c:layout/>
      <c:barChart>
        <c:barDir val="bar"/>
        <c:grouping val="clustered"/>
        <c:varyColors val="1"/>
        <c:ser>
          <c:idx val="0"/>
          <c:order val="0"/>
          <c:tx>
            <c:strRef>
              <c:f>'Guidelines Analysis - Quant'!$C$50</c:f>
              <c:strCache>
                <c:ptCount val="1"/>
                <c:pt idx="0">
                  <c:v>Very Easy</c:v>
                </c:pt>
              </c:strCache>
            </c:strRef>
          </c:tx>
          <c:spPr>
            <a:solidFill>
              <a:srgbClr val="4285F4"/>
            </a:solidFill>
            <a:ln cmpd="sng">
              <a:solidFill>
                <a:srgbClr val="000000"/>
              </a:solidFill>
            </a:ln>
          </c:spPr>
          <c:invertIfNegative val="1"/>
          <c:cat>
            <c:strRef>
              <c:f>'Guidelines Analysis - Quant'!$A$51:$A$67</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Quant'!$C$51:$C$67</c:f>
              <c:numCache>
                <c:formatCode>General</c:formatCode>
                <c:ptCount val="17"/>
                <c:pt idx="0">
                  <c:v>7</c:v>
                </c:pt>
                <c:pt idx="1">
                  <c:v>6</c:v>
                </c:pt>
                <c:pt idx="2">
                  <c:v>4</c:v>
                </c:pt>
                <c:pt idx="3">
                  <c:v>6</c:v>
                </c:pt>
                <c:pt idx="4">
                  <c:v>12</c:v>
                </c:pt>
                <c:pt idx="5">
                  <c:v>8</c:v>
                </c:pt>
                <c:pt idx="6">
                  <c:v>12</c:v>
                </c:pt>
                <c:pt idx="7">
                  <c:v>11</c:v>
                </c:pt>
                <c:pt idx="8">
                  <c:v>11</c:v>
                </c:pt>
                <c:pt idx="9">
                  <c:v>17</c:v>
                </c:pt>
                <c:pt idx="10">
                  <c:v>11</c:v>
                </c:pt>
                <c:pt idx="11">
                  <c:v>10</c:v>
                </c:pt>
                <c:pt idx="12">
                  <c:v>8</c:v>
                </c:pt>
                <c:pt idx="13">
                  <c:v>3</c:v>
                </c:pt>
                <c:pt idx="14">
                  <c:v>8</c:v>
                </c:pt>
                <c:pt idx="15">
                  <c:v>9</c:v>
                </c:pt>
                <c:pt idx="16">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40B-BD49-8DE7-527550B8C27D}"/>
            </c:ext>
          </c:extLst>
        </c:ser>
        <c:dLbls>
          <c:showLegendKey val="0"/>
          <c:showVal val="0"/>
          <c:showCatName val="0"/>
          <c:showSerName val="0"/>
          <c:showPercent val="0"/>
          <c:showBubbleSize val="0"/>
        </c:dLbls>
        <c:gapWidth val="150"/>
        <c:axId val="2007134950"/>
        <c:axId val="261497693"/>
      </c:barChart>
      <c:catAx>
        <c:axId val="2007134950"/>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61497693"/>
        <c:crosses val="autoZero"/>
        <c:auto val="1"/>
        <c:lblAlgn val="ctr"/>
        <c:lblOffset val="100"/>
        <c:noMultiLvlLbl val="1"/>
      </c:catAx>
      <c:valAx>
        <c:axId val="2614976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0713495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AU" b="0">
                <a:solidFill>
                  <a:srgbClr val="757575"/>
                </a:solidFill>
                <a:latin typeface="+mn-lt"/>
              </a:rPr>
              <a:t>Easy</a:t>
            </a:r>
          </a:p>
        </c:rich>
      </c:tx>
      <c:overlay val="0"/>
    </c:title>
    <c:autoTitleDeleted val="0"/>
    <c:plotArea>
      <c:layout/>
      <c:barChart>
        <c:barDir val="bar"/>
        <c:grouping val="clustered"/>
        <c:varyColors val="1"/>
        <c:ser>
          <c:idx val="0"/>
          <c:order val="0"/>
          <c:tx>
            <c:strRef>
              <c:f>'Guidelines Analysis - Quant'!$D$50</c:f>
              <c:strCache>
                <c:ptCount val="1"/>
                <c:pt idx="0">
                  <c:v>Easy</c:v>
                </c:pt>
              </c:strCache>
            </c:strRef>
          </c:tx>
          <c:spPr>
            <a:solidFill>
              <a:srgbClr val="4285F4"/>
            </a:solidFill>
            <a:ln cmpd="sng">
              <a:solidFill>
                <a:srgbClr val="000000"/>
              </a:solidFill>
            </a:ln>
          </c:spPr>
          <c:invertIfNegative val="1"/>
          <c:cat>
            <c:strRef>
              <c:f>'Guidelines Analysis - Quant'!$A$51:$A$67</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Quant'!$D$51:$D$67</c:f>
              <c:numCache>
                <c:formatCode>General</c:formatCode>
                <c:ptCount val="17"/>
                <c:pt idx="0">
                  <c:v>31</c:v>
                </c:pt>
                <c:pt idx="1">
                  <c:v>29</c:v>
                </c:pt>
                <c:pt idx="2">
                  <c:v>22</c:v>
                </c:pt>
                <c:pt idx="3">
                  <c:v>47</c:v>
                </c:pt>
                <c:pt idx="4">
                  <c:v>49</c:v>
                </c:pt>
                <c:pt idx="5">
                  <c:v>40</c:v>
                </c:pt>
                <c:pt idx="6">
                  <c:v>37</c:v>
                </c:pt>
                <c:pt idx="7">
                  <c:v>40</c:v>
                </c:pt>
                <c:pt idx="8">
                  <c:v>48</c:v>
                </c:pt>
                <c:pt idx="9">
                  <c:v>48</c:v>
                </c:pt>
                <c:pt idx="10">
                  <c:v>23</c:v>
                </c:pt>
                <c:pt idx="11">
                  <c:v>37</c:v>
                </c:pt>
                <c:pt idx="12">
                  <c:v>37</c:v>
                </c:pt>
                <c:pt idx="13">
                  <c:v>27</c:v>
                </c:pt>
                <c:pt idx="14">
                  <c:v>42</c:v>
                </c:pt>
                <c:pt idx="15">
                  <c:v>35</c:v>
                </c:pt>
                <c:pt idx="16">
                  <c:v>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9BA-0E45-9247-312FEE2B23B2}"/>
            </c:ext>
          </c:extLst>
        </c:ser>
        <c:dLbls>
          <c:showLegendKey val="0"/>
          <c:showVal val="0"/>
          <c:showCatName val="0"/>
          <c:showSerName val="0"/>
          <c:showPercent val="0"/>
          <c:showBubbleSize val="0"/>
        </c:dLbls>
        <c:gapWidth val="150"/>
        <c:axId val="542993877"/>
        <c:axId val="1322458232"/>
      </c:barChart>
      <c:catAx>
        <c:axId val="542993877"/>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22458232"/>
        <c:crosses val="autoZero"/>
        <c:auto val="1"/>
        <c:lblAlgn val="ctr"/>
        <c:lblOffset val="100"/>
        <c:noMultiLvlLbl val="1"/>
      </c:catAx>
      <c:valAx>
        <c:axId val="13224582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4299387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AU" b="0">
                <a:solidFill>
                  <a:srgbClr val="757575"/>
                </a:solidFill>
                <a:latin typeface="+mn-lt"/>
              </a:rPr>
              <a:t>Difficult </a:t>
            </a:r>
          </a:p>
        </c:rich>
      </c:tx>
      <c:overlay val="0"/>
    </c:title>
    <c:autoTitleDeleted val="0"/>
    <c:plotArea>
      <c:layout/>
      <c:barChart>
        <c:barDir val="bar"/>
        <c:grouping val="clustered"/>
        <c:varyColors val="1"/>
        <c:ser>
          <c:idx val="0"/>
          <c:order val="0"/>
          <c:tx>
            <c:strRef>
              <c:f>'Guidelines Analysis - Quant'!$G$50</c:f>
              <c:strCache>
                <c:ptCount val="1"/>
                <c:pt idx="0">
                  <c:v>Difficult</c:v>
                </c:pt>
              </c:strCache>
            </c:strRef>
          </c:tx>
          <c:spPr>
            <a:solidFill>
              <a:srgbClr val="4285F4"/>
            </a:solidFill>
            <a:ln cmpd="sng">
              <a:solidFill>
                <a:srgbClr val="000000"/>
              </a:solidFill>
            </a:ln>
          </c:spPr>
          <c:invertIfNegative val="1"/>
          <c:cat>
            <c:strRef>
              <c:f>'Guidelines Analysis - Quant'!$A$51:$A$67</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Quant'!$G$51:$G$67</c:f>
              <c:numCache>
                <c:formatCode>General</c:formatCode>
                <c:ptCount val="17"/>
                <c:pt idx="0">
                  <c:v>37</c:v>
                </c:pt>
                <c:pt idx="1">
                  <c:v>29</c:v>
                </c:pt>
                <c:pt idx="2">
                  <c:v>38</c:v>
                </c:pt>
                <c:pt idx="3">
                  <c:v>26</c:v>
                </c:pt>
                <c:pt idx="4">
                  <c:v>18</c:v>
                </c:pt>
                <c:pt idx="5">
                  <c:v>30</c:v>
                </c:pt>
                <c:pt idx="6">
                  <c:v>28</c:v>
                </c:pt>
                <c:pt idx="7">
                  <c:v>27</c:v>
                </c:pt>
                <c:pt idx="8">
                  <c:v>19</c:v>
                </c:pt>
                <c:pt idx="9">
                  <c:v>20</c:v>
                </c:pt>
                <c:pt idx="10">
                  <c:v>23</c:v>
                </c:pt>
                <c:pt idx="11">
                  <c:v>31</c:v>
                </c:pt>
                <c:pt idx="12">
                  <c:v>24</c:v>
                </c:pt>
                <c:pt idx="13">
                  <c:v>35</c:v>
                </c:pt>
                <c:pt idx="14">
                  <c:v>24</c:v>
                </c:pt>
                <c:pt idx="15">
                  <c:v>23</c:v>
                </c:pt>
                <c:pt idx="16">
                  <c:v>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F64-2645-ABE8-16C47FE93138}"/>
            </c:ext>
          </c:extLst>
        </c:ser>
        <c:dLbls>
          <c:showLegendKey val="0"/>
          <c:showVal val="0"/>
          <c:showCatName val="0"/>
          <c:showSerName val="0"/>
          <c:showPercent val="0"/>
          <c:showBubbleSize val="0"/>
        </c:dLbls>
        <c:gapWidth val="150"/>
        <c:axId val="1692022371"/>
        <c:axId val="1903698001"/>
      </c:barChart>
      <c:catAx>
        <c:axId val="1692022371"/>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03698001"/>
        <c:crosses val="autoZero"/>
        <c:auto val="1"/>
        <c:lblAlgn val="ctr"/>
        <c:lblOffset val="100"/>
        <c:noMultiLvlLbl val="1"/>
      </c:catAx>
      <c:valAx>
        <c:axId val="19036980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AU" b="0">
                    <a:solidFill>
                      <a:srgbClr val="000000"/>
                    </a:solidFill>
                    <a:latin typeface="+mn-lt"/>
                  </a:rPr>
                  <a:t>Difficult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69202237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AU" b="0">
                <a:solidFill>
                  <a:srgbClr val="757575"/>
                </a:solidFill>
                <a:latin typeface="+mn-lt"/>
              </a:rPr>
              <a:t>Very Difficult </a:t>
            </a:r>
          </a:p>
        </c:rich>
      </c:tx>
      <c:overlay val="0"/>
    </c:title>
    <c:autoTitleDeleted val="0"/>
    <c:plotArea>
      <c:layout/>
      <c:barChart>
        <c:barDir val="bar"/>
        <c:grouping val="clustered"/>
        <c:varyColors val="1"/>
        <c:ser>
          <c:idx val="0"/>
          <c:order val="0"/>
          <c:tx>
            <c:strRef>
              <c:f>'Guidelines Analysis - Quant'!$H$50</c:f>
              <c:strCache>
                <c:ptCount val="1"/>
                <c:pt idx="0">
                  <c:v>Very Difficult</c:v>
                </c:pt>
              </c:strCache>
            </c:strRef>
          </c:tx>
          <c:spPr>
            <a:solidFill>
              <a:srgbClr val="4285F4"/>
            </a:solidFill>
            <a:ln cmpd="sng">
              <a:solidFill>
                <a:srgbClr val="000000"/>
              </a:solidFill>
            </a:ln>
          </c:spPr>
          <c:invertIfNegative val="1"/>
          <c:cat>
            <c:strRef>
              <c:f>'Guidelines Analysis - Quant'!$A$51:$A$67</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Quant'!$H$51:$H$67</c:f>
              <c:numCache>
                <c:formatCode>General</c:formatCode>
                <c:ptCount val="17"/>
                <c:pt idx="0">
                  <c:v>17</c:v>
                </c:pt>
                <c:pt idx="1">
                  <c:v>20</c:v>
                </c:pt>
                <c:pt idx="2">
                  <c:v>20</c:v>
                </c:pt>
                <c:pt idx="3">
                  <c:v>8</c:v>
                </c:pt>
                <c:pt idx="4">
                  <c:v>15</c:v>
                </c:pt>
                <c:pt idx="5">
                  <c:v>7</c:v>
                </c:pt>
                <c:pt idx="6">
                  <c:v>14</c:v>
                </c:pt>
                <c:pt idx="7">
                  <c:v>6</c:v>
                </c:pt>
                <c:pt idx="8">
                  <c:v>8</c:v>
                </c:pt>
                <c:pt idx="9">
                  <c:v>8</c:v>
                </c:pt>
                <c:pt idx="10">
                  <c:v>29</c:v>
                </c:pt>
                <c:pt idx="11">
                  <c:v>15</c:v>
                </c:pt>
                <c:pt idx="12">
                  <c:v>12</c:v>
                </c:pt>
                <c:pt idx="13">
                  <c:v>16</c:v>
                </c:pt>
                <c:pt idx="14">
                  <c:v>10</c:v>
                </c:pt>
                <c:pt idx="15">
                  <c:v>15</c:v>
                </c:pt>
                <c:pt idx="16">
                  <c:v>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2E-264C-9B3D-C63ABE707091}"/>
            </c:ext>
          </c:extLst>
        </c:ser>
        <c:dLbls>
          <c:showLegendKey val="0"/>
          <c:showVal val="0"/>
          <c:showCatName val="0"/>
          <c:showSerName val="0"/>
          <c:showPercent val="0"/>
          <c:showBubbleSize val="0"/>
        </c:dLbls>
        <c:gapWidth val="150"/>
        <c:axId val="1394446738"/>
        <c:axId val="853673478"/>
      </c:barChart>
      <c:catAx>
        <c:axId val="1394446738"/>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53673478"/>
        <c:crosses val="autoZero"/>
        <c:auto val="1"/>
        <c:lblAlgn val="ctr"/>
        <c:lblOffset val="100"/>
        <c:noMultiLvlLbl val="1"/>
      </c:catAx>
      <c:valAx>
        <c:axId val="8536734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AU" b="0">
                    <a:solidFill>
                      <a:srgbClr val="000000"/>
                    </a:solidFill>
                    <a:latin typeface="+mn-lt"/>
                  </a:rPr>
                  <a:t>Very Difficult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9444673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percentStacked"/>
        <c:varyColors val="1"/>
        <c:ser>
          <c:idx val="0"/>
          <c:order val="0"/>
          <c:tx>
            <c:strRef>
              <c:f>'Guidelines Analysis - Quant'!$C$3</c:f>
              <c:strCache>
                <c:ptCount val="1"/>
                <c:pt idx="0">
                  <c:v>Critical to Have</c:v>
                </c:pt>
              </c:strCache>
            </c:strRef>
          </c:tx>
          <c:spPr>
            <a:solidFill>
              <a:srgbClr val="4285F4"/>
            </a:solidFill>
            <a:ln cmpd="sng">
              <a:solidFill>
                <a:srgbClr val="000000"/>
              </a:solidFill>
            </a:ln>
          </c:spPr>
          <c:invertIfNegative val="1"/>
          <c:cat>
            <c:strRef>
              <c:f>'Guidelines Analysis - Quant'!$A$4:$A$20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Quant'!$C$4:$C$20</c:f>
              <c:numCache>
                <c:formatCode>General</c:formatCode>
                <c:ptCount val="17"/>
                <c:pt idx="0">
                  <c:v>29</c:v>
                </c:pt>
                <c:pt idx="1">
                  <c:v>34</c:v>
                </c:pt>
                <c:pt idx="2">
                  <c:v>25</c:v>
                </c:pt>
                <c:pt idx="3">
                  <c:v>39</c:v>
                </c:pt>
                <c:pt idx="4">
                  <c:v>37</c:v>
                </c:pt>
                <c:pt idx="5">
                  <c:v>10</c:v>
                </c:pt>
                <c:pt idx="6">
                  <c:v>41</c:v>
                </c:pt>
                <c:pt idx="7">
                  <c:v>13</c:v>
                </c:pt>
                <c:pt idx="8">
                  <c:v>28</c:v>
                </c:pt>
                <c:pt idx="9">
                  <c:v>43</c:v>
                </c:pt>
                <c:pt idx="10">
                  <c:v>42</c:v>
                </c:pt>
                <c:pt idx="11">
                  <c:v>27</c:v>
                </c:pt>
                <c:pt idx="12">
                  <c:v>20</c:v>
                </c:pt>
                <c:pt idx="13">
                  <c:v>32</c:v>
                </c:pt>
                <c:pt idx="14">
                  <c:v>21</c:v>
                </c:pt>
                <c:pt idx="15">
                  <c:v>21</c:v>
                </c:pt>
                <c:pt idx="16">
                  <c:v>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238-C247-A020-A86951DA362F}"/>
            </c:ext>
          </c:extLst>
        </c:ser>
        <c:ser>
          <c:idx val="1"/>
          <c:order val="1"/>
          <c:tx>
            <c:strRef>
              <c:f>'Guidelines Analysis - Quant'!$D$3</c:f>
              <c:strCache>
                <c:ptCount val="1"/>
                <c:pt idx="0">
                  <c:v>Very Important to Have</c:v>
                </c:pt>
              </c:strCache>
            </c:strRef>
          </c:tx>
          <c:spPr>
            <a:solidFill>
              <a:srgbClr val="EA4335"/>
            </a:solidFill>
            <a:ln cmpd="sng">
              <a:solidFill>
                <a:srgbClr val="000000"/>
              </a:solidFill>
            </a:ln>
          </c:spPr>
          <c:invertIfNegative val="1"/>
          <c:cat>
            <c:strRef>
              <c:f>'Guidelines Analysis - Quant'!$A$4:$A$20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Quant'!$D$4:$D$20</c:f>
              <c:numCache>
                <c:formatCode>General</c:formatCode>
                <c:ptCount val="17"/>
                <c:pt idx="0">
                  <c:v>51</c:v>
                </c:pt>
                <c:pt idx="1">
                  <c:v>45</c:v>
                </c:pt>
                <c:pt idx="2">
                  <c:v>42</c:v>
                </c:pt>
                <c:pt idx="3">
                  <c:v>35</c:v>
                </c:pt>
                <c:pt idx="4">
                  <c:v>37</c:v>
                </c:pt>
                <c:pt idx="5">
                  <c:v>47</c:v>
                </c:pt>
                <c:pt idx="6">
                  <c:v>34</c:v>
                </c:pt>
                <c:pt idx="7">
                  <c:v>36</c:v>
                </c:pt>
                <c:pt idx="8">
                  <c:v>41</c:v>
                </c:pt>
                <c:pt idx="9">
                  <c:v>29</c:v>
                </c:pt>
                <c:pt idx="10">
                  <c:v>32</c:v>
                </c:pt>
                <c:pt idx="11">
                  <c:v>43</c:v>
                </c:pt>
                <c:pt idx="12">
                  <c:v>36</c:v>
                </c:pt>
                <c:pt idx="13">
                  <c:v>34</c:v>
                </c:pt>
                <c:pt idx="14">
                  <c:v>36</c:v>
                </c:pt>
                <c:pt idx="15">
                  <c:v>28</c:v>
                </c:pt>
                <c:pt idx="16">
                  <c:v>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238-C247-A020-A86951DA362F}"/>
            </c:ext>
          </c:extLst>
        </c:ser>
        <c:ser>
          <c:idx val="2"/>
          <c:order val="2"/>
          <c:tx>
            <c:strRef>
              <c:f>'Guidelines Analysis - Quant'!$E$3</c:f>
              <c:strCache>
                <c:ptCount val="1"/>
                <c:pt idx="0">
                  <c:v>Not Necessary to Have</c:v>
                </c:pt>
              </c:strCache>
            </c:strRef>
          </c:tx>
          <c:spPr>
            <a:solidFill>
              <a:srgbClr val="FBBC04"/>
            </a:solidFill>
            <a:ln cmpd="sng">
              <a:solidFill>
                <a:srgbClr val="000000"/>
              </a:solidFill>
            </a:ln>
          </c:spPr>
          <c:invertIfNegative val="1"/>
          <c:cat>
            <c:strRef>
              <c:f>'Guidelines Analysis - Quant'!$A$4:$A$20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Quant'!$E$4:$E$20</c:f>
              <c:numCache>
                <c:formatCode>General</c:formatCode>
                <c:ptCount val="17"/>
                <c:pt idx="0">
                  <c:v>4</c:v>
                </c:pt>
                <c:pt idx="1">
                  <c:v>6</c:v>
                </c:pt>
                <c:pt idx="2">
                  <c:v>9</c:v>
                </c:pt>
                <c:pt idx="3">
                  <c:v>7</c:v>
                </c:pt>
                <c:pt idx="4">
                  <c:v>7</c:v>
                </c:pt>
                <c:pt idx="5">
                  <c:v>13</c:v>
                </c:pt>
                <c:pt idx="6">
                  <c:v>5</c:v>
                </c:pt>
                <c:pt idx="7">
                  <c:v>19</c:v>
                </c:pt>
                <c:pt idx="8">
                  <c:v>6</c:v>
                </c:pt>
                <c:pt idx="9">
                  <c:v>4</c:v>
                </c:pt>
                <c:pt idx="10">
                  <c:v>9</c:v>
                </c:pt>
                <c:pt idx="11">
                  <c:v>7</c:v>
                </c:pt>
                <c:pt idx="12">
                  <c:v>9</c:v>
                </c:pt>
                <c:pt idx="13">
                  <c:v>9</c:v>
                </c:pt>
                <c:pt idx="14">
                  <c:v>11</c:v>
                </c:pt>
                <c:pt idx="15">
                  <c:v>20</c:v>
                </c:pt>
                <c:pt idx="16">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238-C247-A020-A86951DA362F}"/>
            </c:ext>
          </c:extLst>
        </c:ser>
        <c:ser>
          <c:idx val="3"/>
          <c:order val="3"/>
          <c:tx>
            <c:strRef>
              <c:f>'Guidelines Analysis - Quant'!$F$3</c:f>
              <c:strCache>
                <c:ptCount val="1"/>
                <c:pt idx="0">
                  <c:v>Somewhat Important to Have</c:v>
                </c:pt>
              </c:strCache>
            </c:strRef>
          </c:tx>
          <c:spPr>
            <a:solidFill>
              <a:srgbClr val="34A853"/>
            </a:solidFill>
            <a:ln cmpd="sng">
              <a:solidFill>
                <a:srgbClr val="000000"/>
              </a:solidFill>
            </a:ln>
          </c:spPr>
          <c:invertIfNegative val="1"/>
          <c:cat>
            <c:strRef>
              <c:f>'Guidelines Analysis - Quant'!$A$4:$A$20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Quant'!$F$4:$F$20</c:f>
              <c:numCache>
                <c:formatCode>General</c:formatCode>
                <c:ptCount val="17"/>
                <c:pt idx="0">
                  <c:v>14</c:v>
                </c:pt>
                <c:pt idx="1">
                  <c:v>11</c:v>
                </c:pt>
                <c:pt idx="2">
                  <c:v>18</c:v>
                </c:pt>
                <c:pt idx="3">
                  <c:v>12</c:v>
                </c:pt>
                <c:pt idx="4">
                  <c:v>17</c:v>
                </c:pt>
                <c:pt idx="5">
                  <c:v>24</c:v>
                </c:pt>
                <c:pt idx="6">
                  <c:v>13</c:v>
                </c:pt>
                <c:pt idx="7">
                  <c:v>27</c:v>
                </c:pt>
                <c:pt idx="8">
                  <c:v>15</c:v>
                </c:pt>
                <c:pt idx="9">
                  <c:v>15</c:v>
                </c:pt>
                <c:pt idx="10">
                  <c:v>9</c:v>
                </c:pt>
                <c:pt idx="11">
                  <c:v>14</c:v>
                </c:pt>
                <c:pt idx="12">
                  <c:v>24</c:v>
                </c:pt>
                <c:pt idx="13">
                  <c:v>17</c:v>
                </c:pt>
                <c:pt idx="14">
                  <c:v>22</c:v>
                </c:pt>
                <c:pt idx="15">
                  <c:v>18</c:v>
                </c:pt>
                <c:pt idx="16">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238-C247-A020-A86951DA362F}"/>
            </c:ext>
          </c:extLst>
        </c:ser>
        <c:ser>
          <c:idx val="4"/>
          <c:order val="4"/>
          <c:tx>
            <c:strRef>
              <c:f>'Guidelines Analysis - Quant'!$G$3</c:f>
              <c:strCache>
                <c:ptCount val="1"/>
                <c:pt idx="0">
                  <c:v>Nice to Have</c:v>
                </c:pt>
              </c:strCache>
            </c:strRef>
          </c:tx>
          <c:spPr>
            <a:solidFill>
              <a:srgbClr val="FF6D01"/>
            </a:solidFill>
            <a:ln cmpd="sng">
              <a:solidFill>
                <a:srgbClr val="000000"/>
              </a:solidFill>
            </a:ln>
          </c:spPr>
          <c:invertIfNegative val="1"/>
          <c:cat>
            <c:strRef>
              <c:f>'Guidelines Analysis - Quant'!$A$4:$A$20</c:f>
              <c:strCache>
                <c:ptCount val="17"/>
                <c:pt idx="0">
                  <c:v>G1</c:v>
                </c:pt>
                <c:pt idx="1">
                  <c:v>G2</c:v>
                </c:pt>
                <c:pt idx="2">
                  <c:v>G3</c:v>
                </c:pt>
                <c:pt idx="3">
                  <c:v>G4</c:v>
                </c:pt>
                <c:pt idx="4">
                  <c:v>G5</c:v>
                </c:pt>
                <c:pt idx="5">
                  <c:v>G6</c:v>
                </c:pt>
                <c:pt idx="6">
                  <c:v>G7</c:v>
                </c:pt>
                <c:pt idx="7">
                  <c:v>G8</c:v>
                </c:pt>
                <c:pt idx="8">
                  <c:v>G9</c:v>
                </c:pt>
                <c:pt idx="9">
                  <c:v>G10</c:v>
                </c:pt>
                <c:pt idx="10">
                  <c:v>G11</c:v>
                </c:pt>
                <c:pt idx="11">
                  <c:v>G12</c:v>
                </c:pt>
                <c:pt idx="12">
                  <c:v>G13</c:v>
                </c:pt>
                <c:pt idx="13">
                  <c:v>G14</c:v>
                </c:pt>
                <c:pt idx="14">
                  <c:v>G15</c:v>
                </c:pt>
                <c:pt idx="15">
                  <c:v>G16</c:v>
                </c:pt>
                <c:pt idx="16">
                  <c:v>G17</c:v>
                </c:pt>
              </c:strCache>
            </c:strRef>
          </c:cat>
          <c:val>
            <c:numRef>
              <c:f>'Guidelines Analysis - Quant'!$G$4:$G$20</c:f>
              <c:numCache>
                <c:formatCode>General</c:formatCode>
                <c:ptCount val="17"/>
                <c:pt idx="0">
                  <c:v>5</c:v>
                </c:pt>
                <c:pt idx="1">
                  <c:v>7</c:v>
                </c:pt>
                <c:pt idx="2">
                  <c:v>9</c:v>
                </c:pt>
                <c:pt idx="3">
                  <c:v>10</c:v>
                </c:pt>
                <c:pt idx="4">
                  <c:v>5</c:v>
                </c:pt>
                <c:pt idx="5">
                  <c:v>9</c:v>
                </c:pt>
                <c:pt idx="6">
                  <c:v>10</c:v>
                </c:pt>
                <c:pt idx="7">
                  <c:v>8</c:v>
                </c:pt>
                <c:pt idx="8">
                  <c:v>13</c:v>
                </c:pt>
                <c:pt idx="9">
                  <c:v>12</c:v>
                </c:pt>
                <c:pt idx="10">
                  <c:v>11</c:v>
                </c:pt>
                <c:pt idx="11">
                  <c:v>12</c:v>
                </c:pt>
                <c:pt idx="12">
                  <c:v>14</c:v>
                </c:pt>
                <c:pt idx="13">
                  <c:v>11</c:v>
                </c:pt>
                <c:pt idx="14">
                  <c:v>13</c:v>
                </c:pt>
                <c:pt idx="15">
                  <c:v>16</c:v>
                </c:pt>
                <c:pt idx="16">
                  <c:v>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238-C247-A020-A86951DA362F}"/>
            </c:ext>
          </c:extLst>
        </c:ser>
        <c:dLbls>
          <c:showLegendKey val="0"/>
          <c:showVal val="0"/>
          <c:showCatName val="0"/>
          <c:showSerName val="0"/>
          <c:showPercent val="0"/>
          <c:showBubbleSize val="0"/>
        </c:dLbls>
        <c:gapWidth val="150"/>
        <c:overlap val="100"/>
        <c:axId val="423868313"/>
        <c:axId val="358518724"/>
      </c:barChart>
      <c:catAx>
        <c:axId val="423868313"/>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58518724"/>
        <c:crosses val="autoZero"/>
        <c:auto val="1"/>
        <c:lblAlgn val="ctr"/>
        <c:lblOffset val="100"/>
        <c:noMultiLvlLbl val="1"/>
      </c:catAx>
      <c:valAx>
        <c:axId val="35851872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42386831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142875</xdr:colOff>
      <xdr:row>70</xdr:row>
      <xdr:rowOff>180975</xdr:rowOff>
    </xdr:from>
    <xdr:ext cx="7648575" cy="4724400"/>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695325</xdr:colOff>
      <xdr:row>48</xdr:row>
      <xdr:rowOff>76200</xdr:rowOff>
    </xdr:from>
    <xdr:ext cx="3352800" cy="2066925"/>
    <xdr:graphicFrame macro="">
      <xdr:nvGraphicFramePr>
        <xdr:cNvPr id="3" name="Chart 2"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695325</xdr:colOff>
      <xdr:row>58</xdr:row>
      <xdr:rowOff>171450</xdr:rowOff>
    </xdr:from>
    <xdr:ext cx="3057525" cy="1885950"/>
    <xdr:graphicFrame macro="">
      <xdr:nvGraphicFramePr>
        <xdr:cNvPr id="4" name="Chart 3"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15</xdr:col>
      <xdr:colOff>419100</xdr:colOff>
      <xdr:row>58</xdr:row>
      <xdr:rowOff>171450</xdr:rowOff>
    </xdr:from>
    <xdr:ext cx="3276600" cy="2028825"/>
    <xdr:graphicFrame macro="">
      <xdr:nvGraphicFramePr>
        <xdr:cNvPr id="5" name="Chart 4" titl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15</xdr:col>
      <xdr:colOff>419100</xdr:colOff>
      <xdr:row>48</xdr:row>
      <xdr:rowOff>180975</xdr:rowOff>
    </xdr:from>
    <xdr:ext cx="3276600" cy="2028825"/>
    <xdr:graphicFrame macro="">
      <xdr:nvGraphicFramePr>
        <xdr:cNvPr id="6" name="Chart 5" titl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47625</xdr:colOff>
      <xdr:row>0</xdr:row>
      <xdr:rowOff>190500</xdr:rowOff>
    </xdr:from>
    <xdr:ext cx="7277100" cy="4505325"/>
    <xdr:graphicFrame macro="">
      <xdr:nvGraphicFramePr>
        <xdr:cNvPr id="7" name="Chart 6" titl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942975</xdr:colOff>
      <xdr:row>92</xdr:row>
      <xdr:rowOff>-142875</xdr:rowOff>
    </xdr:from>
    <xdr:ext cx="6915150" cy="5543550"/>
    <xdr:pic>
      <xdr:nvPicPr>
        <xdr:cNvPr id="2" name="image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942975</xdr:colOff>
      <xdr:row>137</xdr:row>
      <xdr:rowOff>171450</xdr:rowOff>
    </xdr:from>
    <xdr:ext cx="7362825" cy="5886450"/>
    <xdr:pic>
      <xdr:nvPicPr>
        <xdr:cNvPr id="3" name="image2.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A2" sqref="A2"/>
    </sheetView>
  </sheetViews>
  <sheetFormatPr baseColWidth="10" defaultColWidth="12.6640625" defaultRowHeight="15.75" customHeight="1" x14ac:dyDescent="0.15"/>
  <cols>
    <col min="1" max="1" width="155.5" customWidth="1"/>
  </cols>
  <sheetData>
    <row r="1" spans="1:26" ht="192" x14ac:dyDescent="0.15">
      <c r="A1" s="62" t="s">
        <v>1017</v>
      </c>
      <c r="B1" s="1"/>
      <c r="C1" s="1"/>
      <c r="D1" s="1"/>
      <c r="E1" s="1"/>
      <c r="F1" s="1"/>
      <c r="G1" s="1"/>
      <c r="H1" s="1"/>
      <c r="I1" s="1"/>
      <c r="J1" s="1"/>
      <c r="K1" s="1"/>
      <c r="L1" s="1"/>
      <c r="M1" s="1"/>
      <c r="N1" s="1"/>
      <c r="O1" s="1"/>
      <c r="P1" s="1"/>
      <c r="Q1" s="1"/>
      <c r="R1" s="1"/>
      <c r="S1" s="1"/>
      <c r="T1" s="1"/>
      <c r="U1" s="1"/>
      <c r="V1" s="1"/>
      <c r="W1" s="1"/>
      <c r="X1" s="1"/>
      <c r="Y1" s="1"/>
      <c r="Z1" s="1"/>
    </row>
    <row r="2" spans="1:26" ht="269" customHeight="1" x14ac:dyDescent="0.15">
      <c r="A2" s="61" t="s">
        <v>1016</v>
      </c>
      <c r="B2" s="1"/>
      <c r="C2" s="1"/>
      <c r="D2" s="1"/>
      <c r="E2" s="1"/>
      <c r="F2" s="1"/>
      <c r="G2" s="1"/>
      <c r="H2" s="1"/>
      <c r="I2" s="1"/>
      <c r="J2" s="1"/>
      <c r="K2" s="1"/>
      <c r="L2" s="1"/>
      <c r="M2" s="1"/>
      <c r="N2" s="1"/>
      <c r="O2" s="1"/>
      <c r="P2" s="1"/>
      <c r="Q2" s="1"/>
      <c r="R2" s="1"/>
      <c r="S2" s="1"/>
      <c r="T2" s="1"/>
      <c r="U2" s="1"/>
      <c r="V2" s="1"/>
      <c r="W2" s="1"/>
      <c r="X2" s="1"/>
      <c r="Y2" s="1"/>
      <c r="Z2" s="1"/>
    </row>
    <row r="3" spans="1:26" ht="14" x14ac:dyDescent="0.15">
      <c r="A3" s="1"/>
      <c r="B3" s="1"/>
      <c r="C3" s="1"/>
      <c r="D3" s="1"/>
      <c r="E3" s="1"/>
      <c r="F3" s="1"/>
      <c r="G3" s="1"/>
      <c r="H3" s="1"/>
      <c r="I3" s="1"/>
      <c r="J3" s="1"/>
      <c r="K3" s="1"/>
      <c r="L3" s="1"/>
      <c r="M3" s="1"/>
      <c r="N3" s="1"/>
      <c r="O3" s="1"/>
      <c r="P3" s="1"/>
      <c r="Q3" s="1"/>
      <c r="R3" s="1"/>
      <c r="S3" s="1"/>
      <c r="T3" s="1"/>
      <c r="U3" s="1"/>
      <c r="V3" s="1"/>
      <c r="W3" s="1"/>
      <c r="X3" s="1"/>
      <c r="Y3" s="1"/>
      <c r="Z3" s="1"/>
    </row>
    <row r="4" spans="1:26" ht="14" x14ac:dyDescent="0.15">
      <c r="A4" s="1"/>
      <c r="B4" s="1"/>
      <c r="C4" s="1"/>
      <c r="D4" s="1"/>
      <c r="E4" s="1"/>
      <c r="F4" s="1"/>
      <c r="G4" s="1"/>
      <c r="H4" s="1"/>
      <c r="I4" s="1"/>
      <c r="J4" s="1"/>
      <c r="K4" s="1"/>
      <c r="L4" s="1"/>
      <c r="M4" s="1"/>
      <c r="N4" s="1"/>
      <c r="O4" s="1"/>
      <c r="P4" s="1"/>
      <c r="Q4" s="1"/>
      <c r="R4" s="1"/>
      <c r="S4" s="1"/>
      <c r="T4" s="1"/>
      <c r="U4" s="1"/>
      <c r="V4" s="1"/>
      <c r="W4" s="1"/>
      <c r="X4" s="1"/>
      <c r="Y4" s="1"/>
      <c r="Z4" s="1"/>
    </row>
    <row r="5" spans="1:26" ht="14" x14ac:dyDescent="0.15">
      <c r="A5" s="1"/>
      <c r="B5" s="1"/>
      <c r="C5" s="1"/>
      <c r="D5" s="1"/>
      <c r="E5" s="1"/>
      <c r="F5" s="1"/>
      <c r="G5" s="1"/>
      <c r="H5" s="1"/>
      <c r="I5" s="1"/>
      <c r="J5" s="1"/>
      <c r="K5" s="1"/>
      <c r="L5" s="1"/>
      <c r="M5" s="1"/>
      <c r="N5" s="1"/>
      <c r="O5" s="1"/>
      <c r="P5" s="1"/>
      <c r="Q5" s="1"/>
      <c r="R5" s="1"/>
      <c r="S5" s="1"/>
      <c r="T5" s="1"/>
      <c r="U5" s="1"/>
      <c r="V5" s="1"/>
      <c r="W5" s="1"/>
      <c r="X5" s="1"/>
      <c r="Y5" s="1"/>
      <c r="Z5" s="1"/>
    </row>
    <row r="6" spans="1:26" ht="14" x14ac:dyDescent="0.15">
      <c r="A6" s="1"/>
      <c r="B6" s="1"/>
      <c r="C6" s="1"/>
      <c r="D6" s="1"/>
      <c r="E6" s="1"/>
      <c r="F6" s="1"/>
      <c r="G6" s="1"/>
      <c r="H6" s="1"/>
      <c r="I6" s="1"/>
      <c r="J6" s="1"/>
      <c r="K6" s="1"/>
      <c r="L6" s="1"/>
      <c r="M6" s="1"/>
      <c r="N6" s="1"/>
      <c r="O6" s="1"/>
      <c r="P6" s="1"/>
      <c r="Q6" s="1"/>
      <c r="R6" s="1"/>
      <c r="S6" s="1"/>
      <c r="T6" s="1"/>
      <c r="U6" s="1"/>
      <c r="V6" s="1"/>
      <c r="W6" s="1"/>
      <c r="X6" s="1"/>
      <c r="Y6" s="1"/>
      <c r="Z6" s="1"/>
    </row>
    <row r="7" spans="1:26" ht="14" x14ac:dyDescent="0.15">
      <c r="A7" s="1"/>
      <c r="B7" s="1"/>
      <c r="C7" s="1"/>
      <c r="D7" s="1"/>
      <c r="E7" s="1"/>
      <c r="F7" s="1"/>
      <c r="G7" s="1"/>
      <c r="H7" s="1"/>
      <c r="I7" s="1"/>
      <c r="J7" s="1"/>
      <c r="K7" s="1"/>
      <c r="L7" s="1"/>
      <c r="M7" s="1"/>
      <c r="N7" s="1"/>
      <c r="O7" s="1"/>
      <c r="P7" s="1"/>
      <c r="Q7" s="1"/>
      <c r="R7" s="1"/>
      <c r="S7" s="1"/>
      <c r="T7" s="1"/>
      <c r="U7" s="1"/>
      <c r="V7" s="1"/>
      <c r="W7" s="1"/>
      <c r="X7" s="1"/>
      <c r="Y7" s="1"/>
      <c r="Z7" s="1"/>
    </row>
    <row r="8" spans="1:26" ht="14" x14ac:dyDescent="0.15">
      <c r="A8" s="1"/>
      <c r="B8" s="1"/>
      <c r="C8" s="1"/>
      <c r="D8" s="1"/>
      <c r="E8" s="1"/>
      <c r="F8" s="1"/>
      <c r="G8" s="1"/>
      <c r="H8" s="1"/>
      <c r="I8" s="1"/>
      <c r="J8" s="1"/>
      <c r="K8" s="1"/>
      <c r="L8" s="1"/>
      <c r="M8" s="1"/>
      <c r="N8" s="1"/>
      <c r="O8" s="1"/>
      <c r="P8" s="1"/>
      <c r="Q8" s="1"/>
      <c r="R8" s="1"/>
      <c r="S8" s="1"/>
      <c r="T8" s="1"/>
      <c r="U8" s="1"/>
      <c r="V8" s="1"/>
      <c r="W8" s="1"/>
      <c r="X8" s="1"/>
      <c r="Y8" s="1"/>
      <c r="Z8" s="1"/>
    </row>
    <row r="9" spans="1:26" ht="14" x14ac:dyDescent="0.15">
      <c r="A9" s="1"/>
      <c r="B9" s="1"/>
      <c r="C9" s="1"/>
      <c r="D9" s="1"/>
      <c r="E9" s="1"/>
      <c r="F9" s="1"/>
      <c r="G9" s="1"/>
      <c r="H9" s="1"/>
      <c r="I9" s="1"/>
      <c r="J9" s="1"/>
      <c r="K9" s="1"/>
      <c r="L9" s="1"/>
      <c r="M9" s="1"/>
      <c r="N9" s="1"/>
      <c r="O9" s="1"/>
      <c r="P9" s="1"/>
      <c r="Q9" s="1"/>
      <c r="R9" s="1"/>
      <c r="S9" s="1"/>
      <c r="T9" s="1"/>
      <c r="U9" s="1"/>
      <c r="V9" s="1"/>
      <c r="W9" s="1"/>
      <c r="X9" s="1"/>
      <c r="Y9" s="1"/>
      <c r="Z9" s="1"/>
    </row>
    <row r="10" spans="1:26" ht="14" x14ac:dyDescent="0.1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 x14ac:dyDescent="0.1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 x14ac:dyDescent="0.1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 x14ac:dyDescent="0.1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 x14ac:dyDescent="0.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 x14ac:dyDescent="0.1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 x14ac:dyDescent="0.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 x14ac:dyDescent="0.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 x14ac:dyDescent="0.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 x14ac:dyDescent="0.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 x14ac:dyDescent="0.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 x14ac:dyDescent="0.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 x14ac:dyDescent="0.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 x14ac:dyDescent="0.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 x14ac:dyDescent="0.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 x14ac:dyDescent="0.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 x14ac:dyDescent="0.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 x14ac:dyDescent="0.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 x14ac:dyDescent="0.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 x14ac:dyDescent="0.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 x14ac:dyDescent="0.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 x14ac:dyDescent="0.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 x14ac:dyDescent="0.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 x14ac:dyDescent="0.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 x14ac:dyDescent="0.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 x14ac:dyDescent="0.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 x14ac:dyDescent="0.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 x14ac:dyDescent="0.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 x14ac:dyDescent="0.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 x14ac:dyDescent="0.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 x14ac:dyDescent="0.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 x14ac:dyDescent="0.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 x14ac:dyDescent="0.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 x14ac:dyDescent="0.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 x14ac:dyDescent="0.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 x14ac:dyDescent="0.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 x14ac:dyDescent="0.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 x14ac:dyDescent="0.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 x14ac:dyDescent="0.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 x14ac:dyDescent="0.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 x14ac:dyDescent="0.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 x14ac:dyDescent="0.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 x14ac:dyDescent="0.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Z105"/>
  <sheetViews>
    <sheetView workbookViewId="0"/>
  </sheetViews>
  <sheetFormatPr baseColWidth="10" defaultColWidth="12.6640625" defaultRowHeight="15.75" customHeight="1" x14ac:dyDescent="0.15"/>
  <cols>
    <col min="2" max="2" width="21.1640625" customWidth="1"/>
    <col min="3" max="3" width="43" customWidth="1"/>
    <col min="4" max="4" width="20.1640625" customWidth="1"/>
    <col min="5" max="5" width="62.1640625" customWidth="1"/>
    <col min="6" max="6" width="81.83203125" customWidth="1"/>
    <col min="7" max="7" width="40.83203125" customWidth="1"/>
    <col min="8" max="8" width="44.1640625" customWidth="1"/>
    <col min="9" max="9" width="31.1640625" customWidth="1"/>
    <col min="10" max="10" width="20.83203125" customWidth="1"/>
    <col min="15" max="15" width="15.33203125" customWidth="1"/>
  </cols>
  <sheetData>
    <row r="1" spans="1:78"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row>
    <row r="2" spans="1:78" ht="15.75" customHeight="1" x14ac:dyDescent="0.15">
      <c r="A2" s="3" t="s">
        <v>0</v>
      </c>
      <c r="B2" s="3" t="s">
        <v>1</v>
      </c>
      <c r="C2" s="3" t="s">
        <v>2</v>
      </c>
      <c r="D2" s="3" t="s">
        <v>3</v>
      </c>
      <c r="E2" s="3" t="s">
        <v>4</v>
      </c>
      <c r="F2" s="3" t="s">
        <v>5</v>
      </c>
      <c r="G2" s="3" t="s">
        <v>6</v>
      </c>
      <c r="H2" s="3" t="s">
        <v>7</v>
      </c>
      <c r="I2" s="3" t="s">
        <v>8</v>
      </c>
      <c r="J2" s="3" t="s">
        <v>9</v>
      </c>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1:78" x14ac:dyDescent="0.2">
      <c r="A3" s="2" t="s">
        <v>10</v>
      </c>
      <c r="B3" s="2" t="s">
        <v>11</v>
      </c>
      <c r="C3" s="2" t="s">
        <v>12</v>
      </c>
      <c r="D3" s="2" t="s">
        <v>13</v>
      </c>
      <c r="E3" s="2" t="s">
        <v>14</v>
      </c>
      <c r="F3" s="2" t="s">
        <v>15</v>
      </c>
      <c r="G3" s="2" t="s">
        <v>16</v>
      </c>
      <c r="H3" s="2" t="s">
        <v>17</v>
      </c>
      <c r="I3" s="2" t="s">
        <v>18</v>
      </c>
      <c r="J3" s="2" t="s">
        <v>19</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spans="1:78" x14ac:dyDescent="0.2">
      <c r="A4" s="2" t="s">
        <v>20</v>
      </c>
      <c r="B4" s="2" t="s">
        <v>11</v>
      </c>
      <c r="C4" s="2" t="s">
        <v>21</v>
      </c>
      <c r="D4" s="2" t="s">
        <v>22</v>
      </c>
      <c r="E4" s="2" t="s">
        <v>23</v>
      </c>
      <c r="F4" s="2" t="s">
        <v>24</v>
      </c>
      <c r="G4" s="2" t="s">
        <v>25</v>
      </c>
      <c r="H4" s="2" t="s">
        <v>26</v>
      </c>
      <c r="I4" s="2" t="s">
        <v>27</v>
      </c>
      <c r="J4" s="2" t="s">
        <v>28</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row>
    <row r="5" spans="1:78" x14ac:dyDescent="0.2">
      <c r="A5" s="2" t="s">
        <v>20</v>
      </c>
      <c r="B5" s="2" t="s">
        <v>11</v>
      </c>
      <c r="C5" s="2" t="s">
        <v>29</v>
      </c>
      <c r="D5" s="2" t="s">
        <v>13</v>
      </c>
      <c r="E5" s="2" t="s">
        <v>30</v>
      </c>
      <c r="F5" s="2" t="s">
        <v>31</v>
      </c>
      <c r="G5" s="2" t="s">
        <v>16</v>
      </c>
      <c r="H5" s="2" t="s">
        <v>32</v>
      </c>
      <c r="I5" s="2" t="s">
        <v>27</v>
      </c>
      <c r="J5" s="2" t="s">
        <v>28</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row>
    <row r="6" spans="1:78" x14ac:dyDescent="0.2">
      <c r="A6" s="2" t="s">
        <v>20</v>
      </c>
      <c r="B6" s="2" t="s">
        <v>11</v>
      </c>
      <c r="C6" s="2" t="s">
        <v>21</v>
      </c>
      <c r="D6" s="2" t="s">
        <v>33</v>
      </c>
      <c r="E6" s="2" t="s">
        <v>34</v>
      </c>
      <c r="F6" s="2" t="s">
        <v>35</v>
      </c>
      <c r="G6" s="2" t="s">
        <v>36</v>
      </c>
      <c r="H6" s="2" t="s">
        <v>37</v>
      </c>
      <c r="I6" s="2" t="s">
        <v>18</v>
      </c>
      <c r="J6" s="2" t="s">
        <v>19</v>
      </c>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x14ac:dyDescent="0.2">
      <c r="A7" s="2" t="s">
        <v>20</v>
      </c>
      <c r="B7" s="2" t="s">
        <v>11</v>
      </c>
      <c r="C7" s="2" t="s">
        <v>12</v>
      </c>
      <c r="D7" s="2" t="s">
        <v>22</v>
      </c>
      <c r="E7" s="2" t="s">
        <v>38</v>
      </c>
      <c r="F7" s="2" t="s">
        <v>39</v>
      </c>
      <c r="G7" s="2" t="s">
        <v>16</v>
      </c>
      <c r="H7" s="2" t="s">
        <v>26</v>
      </c>
      <c r="I7" s="2" t="s">
        <v>18</v>
      </c>
      <c r="J7" s="2" t="s">
        <v>28</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x14ac:dyDescent="0.2">
      <c r="A8" s="2" t="s">
        <v>40</v>
      </c>
      <c r="B8" s="2" t="s">
        <v>11</v>
      </c>
      <c r="C8" s="2" t="s">
        <v>21</v>
      </c>
      <c r="D8" s="2" t="s">
        <v>33</v>
      </c>
      <c r="E8" s="2" t="s">
        <v>41</v>
      </c>
      <c r="F8" s="2" t="s">
        <v>42</v>
      </c>
      <c r="G8" s="2" t="s">
        <v>16</v>
      </c>
      <c r="H8" s="2" t="s">
        <v>26</v>
      </c>
      <c r="I8" s="2" t="s">
        <v>43</v>
      </c>
      <c r="J8" s="2" t="s">
        <v>19</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x14ac:dyDescent="0.2">
      <c r="A9" s="2" t="s">
        <v>44</v>
      </c>
      <c r="B9" s="2" t="s">
        <v>11</v>
      </c>
      <c r="C9" s="2" t="s">
        <v>21</v>
      </c>
      <c r="D9" s="2" t="s">
        <v>45</v>
      </c>
      <c r="E9" s="2" t="s">
        <v>46</v>
      </c>
      <c r="F9" s="2" t="s">
        <v>47</v>
      </c>
      <c r="G9" s="2" t="s">
        <v>48</v>
      </c>
      <c r="H9" s="2" t="s">
        <v>49</v>
      </c>
      <c r="I9" s="2" t="s">
        <v>43</v>
      </c>
      <c r="J9" s="2" t="s">
        <v>19</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x14ac:dyDescent="0.2">
      <c r="A10" s="2" t="s">
        <v>20</v>
      </c>
      <c r="B10" s="2" t="s">
        <v>11</v>
      </c>
      <c r="C10" s="2" t="s">
        <v>21</v>
      </c>
      <c r="D10" s="2" t="s">
        <v>33</v>
      </c>
      <c r="E10" s="2" t="s">
        <v>50</v>
      </c>
      <c r="F10" s="2" t="s">
        <v>51</v>
      </c>
      <c r="G10" s="2" t="s">
        <v>16</v>
      </c>
      <c r="H10" s="2" t="s">
        <v>26</v>
      </c>
      <c r="I10" s="2" t="s">
        <v>27</v>
      </c>
      <c r="J10" s="2" t="s">
        <v>52</v>
      </c>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x14ac:dyDescent="0.2">
      <c r="A11" s="2" t="s">
        <v>20</v>
      </c>
      <c r="B11" s="2" t="s">
        <v>11</v>
      </c>
      <c r="C11" s="2" t="s">
        <v>53</v>
      </c>
      <c r="D11" s="2" t="s">
        <v>13</v>
      </c>
      <c r="E11" s="2" t="s">
        <v>54</v>
      </c>
      <c r="F11" s="2" t="s">
        <v>55</v>
      </c>
      <c r="G11" s="2" t="s">
        <v>16</v>
      </c>
      <c r="H11" s="2" t="s">
        <v>56</v>
      </c>
      <c r="I11" s="2" t="s">
        <v>27</v>
      </c>
      <c r="J11" s="2" t="s">
        <v>57</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x14ac:dyDescent="0.2">
      <c r="A12" s="2" t="s">
        <v>10</v>
      </c>
      <c r="B12" s="2" t="s">
        <v>11</v>
      </c>
      <c r="C12" s="2" t="s">
        <v>58</v>
      </c>
      <c r="D12" s="2" t="s">
        <v>22</v>
      </c>
      <c r="E12" s="2" t="s">
        <v>59</v>
      </c>
      <c r="F12" s="2" t="s">
        <v>60</v>
      </c>
      <c r="G12" s="2" t="s">
        <v>61</v>
      </c>
      <c r="H12" s="2" t="s">
        <v>62</v>
      </c>
      <c r="I12" s="2" t="s">
        <v>18</v>
      </c>
      <c r="J12" s="2" t="s">
        <v>19</v>
      </c>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x14ac:dyDescent="0.2">
      <c r="A13" s="2" t="s">
        <v>20</v>
      </c>
      <c r="B13" s="2" t="s">
        <v>11</v>
      </c>
      <c r="C13" s="2" t="s">
        <v>21</v>
      </c>
      <c r="D13" s="2" t="s">
        <v>22</v>
      </c>
      <c r="E13" s="2" t="s">
        <v>63</v>
      </c>
      <c r="F13" s="2" t="s">
        <v>64</v>
      </c>
      <c r="G13" s="2" t="s">
        <v>65</v>
      </c>
      <c r="H13" s="2" t="s">
        <v>66</v>
      </c>
      <c r="I13" s="2" t="s">
        <v>27</v>
      </c>
      <c r="J13" s="2" t="s">
        <v>28</v>
      </c>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x14ac:dyDescent="0.2">
      <c r="A14" s="2" t="s">
        <v>20</v>
      </c>
      <c r="B14" s="2" t="s">
        <v>11</v>
      </c>
      <c r="C14" s="2" t="s">
        <v>58</v>
      </c>
      <c r="D14" s="2" t="s">
        <v>13</v>
      </c>
      <c r="E14" s="2" t="s">
        <v>67</v>
      </c>
      <c r="F14" s="2" t="s">
        <v>68</v>
      </c>
      <c r="G14" s="2" t="s">
        <v>69</v>
      </c>
      <c r="H14" s="2" t="s">
        <v>70</v>
      </c>
      <c r="I14" s="2" t="s">
        <v>18</v>
      </c>
      <c r="J14" s="2" t="s">
        <v>28</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x14ac:dyDescent="0.2">
      <c r="A15" s="2" t="s">
        <v>10</v>
      </c>
      <c r="B15" s="2" t="s">
        <v>11</v>
      </c>
      <c r="C15" s="2" t="s">
        <v>71</v>
      </c>
      <c r="D15" s="2" t="s">
        <v>13</v>
      </c>
      <c r="E15" s="2" t="s">
        <v>72</v>
      </c>
      <c r="F15" s="2" t="s">
        <v>73</v>
      </c>
      <c r="G15" s="2" t="s">
        <v>16</v>
      </c>
      <c r="H15" s="2" t="s">
        <v>74</v>
      </c>
      <c r="I15" s="2" t="s">
        <v>27</v>
      </c>
      <c r="J15" s="2" t="s">
        <v>28</v>
      </c>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x14ac:dyDescent="0.2">
      <c r="A16" s="2" t="s">
        <v>20</v>
      </c>
      <c r="B16" s="2" t="s">
        <v>11</v>
      </c>
      <c r="C16" s="2" t="s">
        <v>75</v>
      </c>
      <c r="D16" s="2" t="s">
        <v>22</v>
      </c>
      <c r="E16" s="2" t="s">
        <v>76</v>
      </c>
      <c r="F16" s="2" t="s">
        <v>77</v>
      </c>
      <c r="G16" s="2" t="s">
        <v>16</v>
      </c>
      <c r="H16" s="2" t="s">
        <v>78</v>
      </c>
      <c r="I16" s="2" t="s">
        <v>27</v>
      </c>
      <c r="J16" s="2" t="s">
        <v>28</v>
      </c>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x14ac:dyDescent="0.2">
      <c r="A17" s="2" t="s">
        <v>44</v>
      </c>
      <c r="B17" s="2" t="s">
        <v>11</v>
      </c>
      <c r="C17" s="2" t="s">
        <v>79</v>
      </c>
      <c r="D17" s="2" t="s">
        <v>22</v>
      </c>
      <c r="E17" s="2" t="s">
        <v>80</v>
      </c>
      <c r="F17" s="2" t="s">
        <v>81</v>
      </c>
      <c r="G17" s="2" t="s">
        <v>61</v>
      </c>
      <c r="H17" s="2" t="s">
        <v>78</v>
      </c>
      <c r="I17" s="2" t="s">
        <v>27</v>
      </c>
      <c r="J17" s="2" t="s">
        <v>28</v>
      </c>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x14ac:dyDescent="0.2">
      <c r="A18" s="2" t="s">
        <v>44</v>
      </c>
      <c r="B18" s="2" t="s">
        <v>82</v>
      </c>
      <c r="C18" s="2" t="s">
        <v>83</v>
      </c>
      <c r="D18" s="2" t="s">
        <v>84</v>
      </c>
      <c r="E18" s="2" t="s">
        <v>85</v>
      </c>
      <c r="F18" s="2" t="s">
        <v>86</v>
      </c>
      <c r="G18" s="2" t="s">
        <v>61</v>
      </c>
      <c r="H18" s="2" t="s">
        <v>56</v>
      </c>
      <c r="I18" s="2" t="s">
        <v>27</v>
      </c>
      <c r="J18" s="2" t="s">
        <v>52</v>
      </c>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x14ac:dyDescent="0.2">
      <c r="A19" s="2" t="s">
        <v>44</v>
      </c>
      <c r="B19" s="2" t="s">
        <v>11</v>
      </c>
      <c r="C19" s="2" t="s">
        <v>87</v>
      </c>
      <c r="D19" s="2" t="s">
        <v>22</v>
      </c>
      <c r="E19" s="2" t="s">
        <v>88</v>
      </c>
      <c r="F19" s="2" t="s">
        <v>89</v>
      </c>
      <c r="G19" s="2" t="s">
        <v>65</v>
      </c>
      <c r="H19" s="2" t="s">
        <v>90</v>
      </c>
      <c r="I19" s="2" t="s">
        <v>43</v>
      </c>
      <c r="J19" s="2" t="s">
        <v>19</v>
      </c>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x14ac:dyDescent="0.2">
      <c r="A20" s="2" t="s">
        <v>91</v>
      </c>
      <c r="B20" s="2" t="s">
        <v>11</v>
      </c>
      <c r="C20" s="2" t="s">
        <v>12</v>
      </c>
      <c r="D20" s="2" t="s">
        <v>84</v>
      </c>
      <c r="E20" s="2" t="s">
        <v>92</v>
      </c>
      <c r="F20" s="2" t="s">
        <v>93</v>
      </c>
      <c r="G20" s="2" t="s">
        <v>48</v>
      </c>
      <c r="H20" s="2" t="s">
        <v>94</v>
      </c>
      <c r="I20" s="2" t="s">
        <v>43</v>
      </c>
      <c r="J20" s="2" t="s">
        <v>28</v>
      </c>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x14ac:dyDescent="0.2">
      <c r="A21" s="2" t="s">
        <v>20</v>
      </c>
      <c r="B21" s="2" t="s">
        <v>11</v>
      </c>
      <c r="C21" s="2" t="s">
        <v>83</v>
      </c>
      <c r="D21" s="2" t="s">
        <v>22</v>
      </c>
      <c r="E21" s="2" t="s">
        <v>95</v>
      </c>
      <c r="F21" s="2" t="s">
        <v>96</v>
      </c>
      <c r="G21" s="2" t="s">
        <v>97</v>
      </c>
      <c r="H21" s="2" t="s">
        <v>70</v>
      </c>
      <c r="I21" s="2" t="s">
        <v>27</v>
      </c>
      <c r="J21" s="2" t="s">
        <v>28</v>
      </c>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x14ac:dyDescent="0.2">
      <c r="A22" s="2" t="s">
        <v>10</v>
      </c>
      <c r="B22" s="2" t="s">
        <v>11</v>
      </c>
      <c r="C22" s="2" t="s">
        <v>29</v>
      </c>
      <c r="D22" s="2" t="s">
        <v>13</v>
      </c>
      <c r="E22" s="2" t="s">
        <v>98</v>
      </c>
      <c r="F22" s="2" t="s">
        <v>99</v>
      </c>
      <c r="G22" s="2" t="s">
        <v>100</v>
      </c>
      <c r="H22" s="2" t="s">
        <v>101</v>
      </c>
      <c r="I22" s="2" t="s">
        <v>43</v>
      </c>
      <c r="J22" s="2" t="s">
        <v>28</v>
      </c>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x14ac:dyDescent="0.2">
      <c r="A23" s="2" t="s">
        <v>10</v>
      </c>
      <c r="B23" s="2" t="s">
        <v>11</v>
      </c>
      <c r="C23" s="2" t="s">
        <v>102</v>
      </c>
      <c r="D23" s="2" t="s">
        <v>22</v>
      </c>
      <c r="E23" s="2" t="s">
        <v>103</v>
      </c>
      <c r="F23" s="2" t="s">
        <v>104</v>
      </c>
      <c r="G23" s="2" t="s">
        <v>16</v>
      </c>
      <c r="H23" s="2" t="s">
        <v>70</v>
      </c>
      <c r="I23" s="2" t="s">
        <v>18</v>
      </c>
      <c r="J23" s="2" t="s">
        <v>19</v>
      </c>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x14ac:dyDescent="0.2">
      <c r="A24" s="2" t="s">
        <v>20</v>
      </c>
      <c r="B24" s="2" t="s">
        <v>11</v>
      </c>
      <c r="C24" s="2" t="s">
        <v>21</v>
      </c>
      <c r="D24" s="2" t="s">
        <v>84</v>
      </c>
      <c r="E24" s="2" t="s">
        <v>105</v>
      </c>
      <c r="F24" s="2" t="s">
        <v>106</v>
      </c>
      <c r="G24" s="2" t="s">
        <v>107</v>
      </c>
      <c r="H24" s="2" t="s">
        <v>56</v>
      </c>
      <c r="I24" s="2" t="s">
        <v>18</v>
      </c>
      <c r="J24" s="2" t="s">
        <v>28</v>
      </c>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x14ac:dyDescent="0.2">
      <c r="A25" s="2" t="s">
        <v>91</v>
      </c>
      <c r="B25" s="2" t="s">
        <v>11</v>
      </c>
      <c r="C25" s="2" t="s">
        <v>29</v>
      </c>
      <c r="D25" s="2" t="s">
        <v>108</v>
      </c>
      <c r="E25" s="2" t="s">
        <v>109</v>
      </c>
      <c r="F25" s="2" t="s">
        <v>110</v>
      </c>
      <c r="G25" s="2" t="s">
        <v>111</v>
      </c>
      <c r="H25" s="2" t="s">
        <v>112</v>
      </c>
      <c r="I25" s="2" t="s">
        <v>27</v>
      </c>
      <c r="J25" s="2" t="s">
        <v>52</v>
      </c>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x14ac:dyDescent="0.2">
      <c r="A26" s="2" t="s">
        <v>20</v>
      </c>
      <c r="B26" s="2" t="s">
        <v>11</v>
      </c>
      <c r="C26" s="2" t="s">
        <v>29</v>
      </c>
      <c r="D26" s="2" t="s">
        <v>13</v>
      </c>
      <c r="E26" s="2" t="s">
        <v>113</v>
      </c>
      <c r="F26" s="2" t="s">
        <v>114</v>
      </c>
      <c r="G26" s="2" t="s">
        <v>115</v>
      </c>
      <c r="H26" s="2" t="s">
        <v>26</v>
      </c>
      <c r="I26" s="2" t="s">
        <v>43</v>
      </c>
      <c r="J26" s="2" t="s">
        <v>28</v>
      </c>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x14ac:dyDescent="0.2">
      <c r="A27" s="2" t="s">
        <v>10</v>
      </c>
      <c r="B27" s="2" t="s">
        <v>11</v>
      </c>
      <c r="C27" s="2" t="s">
        <v>102</v>
      </c>
      <c r="D27" s="2" t="s">
        <v>13</v>
      </c>
      <c r="E27" s="2" t="s">
        <v>116</v>
      </c>
      <c r="F27" s="2" t="s">
        <v>117</v>
      </c>
      <c r="G27" s="2" t="s">
        <v>65</v>
      </c>
      <c r="H27" s="2" t="s">
        <v>26</v>
      </c>
      <c r="I27" s="2" t="s">
        <v>27</v>
      </c>
      <c r="J27" s="2" t="s">
        <v>28</v>
      </c>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x14ac:dyDescent="0.2">
      <c r="A28" s="2" t="s">
        <v>44</v>
      </c>
      <c r="B28" s="2" t="s">
        <v>82</v>
      </c>
      <c r="C28" s="2" t="s">
        <v>118</v>
      </c>
      <c r="D28" s="2" t="s">
        <v>33</v>
      </c>
      <c r="E28" s="2" t="s">
        <v>119</v>
      </c>
      <c r="F28" s="2" t="s">
        <v>120</v>
      </c>
      <c r="G28" s="2" t="s">
        <v>16</v>
      </c>
      <c r="H28" s="2" t="s">
        <v>26</v>
      </c>
      <c r="I28" s="2" t="s">
        <v>27</v>
      </c>
      <c r="J28" s="2" t="s">
        <v>52</v>
      </c>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x14ac:dyDescent="0.2">
      <c r="A29" s="2" t="s">
        <v>44</v>
      </c>
      <c r="B29" s="2" t="s">
        <v>11</v>
      </c>
      <c r="C29" s="2" t="s">
        <v>58</v>
      </c>
      <c r="D29" s="2" t="s">
        <v>108</v>
      </c>
      <c r="E29" s="2" t="s">
        <v>121</v>
      </c>
      <c r="F29" s="2" t="s">
        <v>122</v>
      </c>
      <c r="G29" s="2" t="s">
        <v>115</v>
      </c>
      <c r="H29" s="2" t="s">
        <v>123</v>
      </c>
      <c r="I29" s="2" t="s">
        <v>124</v>
      </c>
      <c r="J29" s="2" t="s">
        <v>28</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x14ac:dyDescent="0.2">
      <c r="A30" s="2" t="s">
        <v>44</v>
      </c>
      <c r="B30" s="2" t="s">
        <v>11</v>
      </c>
      <c r="C30" s="2" t="s">
        <v>83</v>
      </c>
      <c r="D30" s="2" t="s">
        <v>45</v>
      </c>
      <c r="E30" s="2" t="s">
        <v>125</v>
      </c>
      <c r="F30" s="2" t="s">
        <v>126</v>
      </c>
      <c r="G30" s="2" t="s">
        <v>69</v>
      </c>
      <c r="H30" s="2" t="s">
        <v>94</v>
      </c>
      <c r="I30" s="2" t="s">
        <v>18</v>
      </c>
      <c r="J30" s="2" t="s">
        <v>28</v>
      </c>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x14ac:dyDescent="0.2">
      <c r="A31" s="2" t="s">
        <v>44</v>
      </c>
      <c r="B31" s="2" t="s">
        <v>11</v>
      </c>
      <c r="C31" s="2" t="s">
        <v>83</v>
      </c>
      <c r="D31" s="2" t="s">
        <v>108</v>
      </c>
      <c r="E31" s="2" t="s">
        <v>127</v>
      </c>
      <c r="F31" s="2" t="s">
        <v>128</v>
      </c>
      <c r="G31" s="2" t="s">
        <v>16</v>
      </c>
      <c r="H31" s="2" t="s">
        <v>17</v>
      </c>
      <c r="I31" s="2" t="s">
        <v>27</v>
      </c>
      <c r="J31" s="2" t="s">
        <v>57</v>
      </c>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x14ac:dyDescent="0.2">
      <c r="A32" s="2" t="s">
        <v>20</v>
      </c>
      <c r="B32" s="2" t="s">
        <v>82</v>
      </c>
      <c r="C32" s="2" t="s">
        <v>129</v>
      </c>
      <c r="D32" s="2" t="s">
        <v>22</v>
      </c>
      <c r="E32" s="2" t="s">
        <v>130</v>
      </c>
      <c r="F32" s="2" t="s">
        <v>131</v>
      </c>
      <c r="G32" s="2" t="s">
        <v>61</v>
      </c>
      <c r="H32" s="2" t="s">
        <v>94</v>
      </c>
      <c r="I32" s="2" t="s">
        <v>27</v>
      </c>
      <c r="J32" s="2" t="s">
        <v>52</v>
      </c>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x14ac:dyDescent="0.2">
      <c r="A33" s="2" t="s">
        <v>10</v>
      </c>
      <c r="B33" s="2" t="s">
        <v>82</v>
      </c>
      <c r="C33" s="2" t="s">
        <v>83</v>
      </c>
      <c r="D33" s="2" t="s">
        <v>13</v>
      </c>
      <c r="E33" s="2" t="s">
        <v>132</v>
      </c>
      <c r="F33" s="2" t="s">
        <v>133</v>
      </c>
      <c r="G33" s="2" t="s">
        <v>48</v>
      </c>
      <c r="H33" s="2" t="s">
        <v>78</v>
      </c>
      <c r="I33" s="2" t="s">
        <v>27</v>
      </c>
      <c r="J33" s="2" t="s">
        <v>28</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x14ac:dyDescent="0.2">
      <c r="A34" s="2" t="s">
        <v>20</v>
      </c>
      <c r="B34" s="2" t="s">
        <v>82</v>
      </c>
      <c r="C34" s="2" t="s">
        <v>58</v>
      </c>
      <c r="D34" s="2" t="s">
        <v>13</v>
      </c>
      <c r="E34" s="2" t="s">
        <v>134</v>
      </c>
      <c r="F34" s="2" t="s">
        <v>135</v>
      </c>
      <c r="G34" s="2" t="s">
        <v>36</v>
      </c>
      <c r="H34" s="2" t="s">
        <v>136</v>
      </c>
      <c r="I34" s="2" t="s">
        <v>18</v>
      </c>
      <c r="J34" s="2" t="s">
        <v>28</v>
      </c>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x14ac:dyDescent="0.2">
      <c r="A35" s="2" t="s">
        <v>20</v>
      </c>
      <c r="B35" s="2" t="s">
        <v>82</v>
      </c>
      <c r="C35" s="2" t="s">
        <v>83</v>
      </c>
      <c r="D35" s="2" t="s">
        <v>13</v>
      </c>
      <c r="E35" s="2" t="s">
        <v>137</v>
      </c>
      <c r="F35" s="2" t="s">
        <v>138</v>
      </c>
      <c r="G35" s="2" t="s">
        <v>139</v>
      </c>
      <c r="H35" s="2" t="s">
        <v>26</v>
      </c>
      <c r="I35" s="2" t="s">
        <v>27</v>
      </c>
      <c r="J35" s="2" t="s">
        <v>28</v>
      </c>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x14ac:dyDescent="0.2">
      <c r="A36" s="2" t="s">
        <v>40</v>
      </c>
      <c r="B36" s="2" t="s">
        <v>82</v>
      </c>
      <c r="C36" s="2" t="s">
        <v>83</v>
      </c>
      <c r="D36" s="2" t="s">
        <v>33</v>
      </c>
      <c r="E36" s="2" t="s">
        <v>140</v>
      </c>
      <c r="F36" s="2" t="s">
        <v>141</v>
      </c>
      <c r="G36" s="2" t="s">
        <v>61</v>
      </c>
      <c r="H36" s="2" t="s">
        <v>142</v>
      </c>
      <c r="I36" s="2" t="s">
        <v>43</v>
      </c>
      <c r="J36" s="2" t="s">
        <v>52</v>
      </c>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x14ac:dyDescent="0.2">
      <c r="A37" s="2" t="s">
        <v>10</v>
      </c>
      <c r="B37" s="2" t="s">
        <v>82</v>
      </c>
      <c r="C37" s="2" t="s">
        <v>83</v>
      </c>
      <c r="D37" s="2" t="s">
        <v>22</v>
      </c>
      <c r="E37" s="2" t="s">
        <v>143</v>
      </c>
      <c r="F37" s="2" t="s">
        <v>144</v>
      </c>
      <c r="G37" s="2" t="s">
        <v>145</v>
      </c>
      <c r="H37" s="2" t="s">
        <v>146</v>
      </c>
      <c r="I37" s="2" t="s">
        <v>43</v>
      </c>
      <c r="J37" s="2" t="s">
        <v>52</v>
      </c>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x14ac:dyDescent="0.2">
      <c r="A38" s="2" t="s">
        <v>44</v>
      </c>
      <c r="B38" s="2" t="s">
        <v>82</v>
      </c>
      <c r="C38" s="2" t="s">
        <v>147</v>
      </c>
      <c r="D38" s="2" t="s">
        <v>33</v>
      </c>
      <c r="E38" s="2" t="s">
        <v>148</v>
      </c>
      <c r="F38" s="2" t="s">
        <v>149</v>
      </c>
      <c r="G38" s="2" t="s">
        <v>48</v>
      </c>
      <c r="H38" s="2" t="s">
        <v>70</v>
      </c>
      <c r="I38" s="2" t="s">
        <v>150</v>
      </c>
      <c r="J38" s="2" t="s">
        <v>19</v>
      </c>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x14ac:dyDescent="0.2">
      <c r="A39" s="2" t="s">
        <v>10</v>
      </c>
      <c r="B39" s="2" t="s">
        <v>82</v>
      </c>
      <c r="C39" s="2" t="s">
        <v>83</v>
      </c>
      <c r="D39" s="2" t="s">
        <v>22</v>
      </c>
      <c r="E39" s="2" t="s">
        <v>151</v>
      </c>
      <c r="F39" s="2" t="s">
        <v>152</v>
      </c>
      <c r="G39" s="2" t="s">
        <v>111</v>
      </c>
      <c r="H39" s="2" t="s">
        <v>153</v>
      </c>
      <c r="I39" s="2" t="s">
        <v>27</v>
      </c>
      <c r="J39" s="2" t="s">
        <v>57</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x14ac:dyDescent="0.2">
      <c r="A40" s="2" t="s">
        <v>20</v>
      </c>
      <c r="B40" s="2" t="s">
        <v>82</v>
      </c>
      <c r="C40" s="2" t="s">
        <v>53</v>
      </c>
      <c r="D40" s="2" t="s">
        <v>13</v>
      </c>
      <c r="E40" s="2" t="s">
        <v>80</v>
      </c>
      <c r="F40" s="2" t="s">
        <v>154</v>
      </c>
      <c r="G40" s="2" t="s">
        <v>16</v>
      </c>
      <c r="H40" s="2" t="s">
        <v>70</v>
      </c>
      <c r="I40" s="2" t="s">
        <v>43</v>
      </c>
      <c r="J40" s="2" t="s">
        <v>28</v>
      </c>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x14ac:dyDescent="0.2">
      <c r="A41" s="2" t="s">
        <v>20</v>
      </c>
      <c r="B41" s="2" t="s">
        <v>11</v>
      </c>
      <c r="C41" s="2" t="s">
        <v>58</v>
      </c>
      <c r="D41" s="2" t="s">
        <v>22</v>
      </c>
      <c r="E41" s="2" t="s">
        <v>155</v>
      </c>
      <c r="F41" s="2" t="s">
        <v>156</v>
      </c>
      <c r="G41" s="2" t="s">
        <v>48</v>
      </c>
      <c r="H41" s="2" t="s">
        <v>26</v>
      </c>
      <c r="I41" s="2" t="s">
        <v>27</v>
      </c>
      <c r="J41" s="2" t="s">
        <v>28</v>
      </c>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x14ac:dyDescent="0.2">
      <c r="A42" s="2" t="s">
        <v>44</v>
      </c>
      <c r="B42" s="2" t="s">
        <v>82</v>
      </c>
      <c r="C42" s="2" t="s">
        <v>87</v>
      </c>
      <c r="D42" s="2" t="s">
        <v>22</v>
      </c>
      <c r="E42" s="2" t="s">
        <v>157</v>
      </c>
      <c r="F42" s="2" t="s">
        <v>158</v>
      </c>
      <c r="G42" s="2" t="s">
        <v>25</v>
      </c>
      <c r="H42" s="2" t="s">
        <v>70</v>
      </c>
      <c r="I42" s="2" t="s">
        <v>27</v>
      </c>
      <c r="J42" s="2" t="s">
        <v>28</v>
      </c>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x14ac:dyDescent="0.2">
      <c r="A43" s="2" t="s">
        <v>44</v>
      </c>
      <c r="B43" s="2" t="s">
        <v>82</v>
      </c>
      <c r="C43" s="2" t="s">
        <v>58</v>
      </c>
      <c r="D43" s="2" t="s">
        <v>22</v>
      </c>
      <c r="E43" s="2" t="s">
        <v>159</v>
      </c>
      <c r="F43" s="2" t="s">
        <v>160</v>
      </c>
      <c r="G43" s="2" t="s">
        <v>61</v>
      </c>
      <c r="H43" s="2" t="s">
        <v>161</v>
      </c>
      <c r="I43" s="2" t="s">
        <v>18</v>
      </c>
      <c r="J43" s="2" t="s">
        <v>52</v>
      </c>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x14ac:dyDescent="0.2">
      <c r="A44" s="2" t="s">
        <v>10</v>
      </c>
      <c r="B44" s="2" t="s">
        <v>82</v>
      </c>
      <c r="C44" s="2" t="s">
        <v>83</v>
      </c>
      <c r="D44" s="2" t="s">
        <v>13</v>
      </c>
      <c r="E44" s="2" t="s">
        <v>162</v>
      </c>
      <c r="F44" s="2" t="s">
        <v>163</v>
      </c>
      <c r="G44" s="2" t="s">
        <v>48</v>
      </c>
      <c r="H44" s="2" t="s">
        <v>142</v>
      </c>
      <c r="I44" s="2" t="s">
        <v>43</v>
      </c>
      <c r="J44" s="2" t="s">
        <v>28</v>
      </c>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x14ac:dyDescent="0.2">
      <c r="A45" s="2" t="s">
        <v>91</v>
      </c>
      <c r="B45" s="2" t="s">
        <v>11</v>
      </c>
      <c r="C45" s="2" t="s">
        <v>58</v>
      </c>
      <c r="D45" s="2" t="s">
        <v>33</v>
      </c>
      <c r="E45" s="2" t="s">
        <v>164</v>
      </c>
      <c r="F45" s="2" t="s">
        <v>165</v>
      </c>
      <c r="G45" s="2" t="s">
        <v>16</v>
      </c>
      <c r="H45" s="2" t="s">
        <v>70</v>
      </c>
      <c r="I45" s="2" t="s">
        <v>43</v>
      </c>
      <c r="J45" s="2" t="s">
        <v>28</v>
      </c>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x14ac:dyDescent="0.2">
      <c r="A46" s="2" t="s">
        <v>44</v>
      </c>
      <c r="B46" s="2" t="s">
        <v>82</v>
      </c>
      <c r="C46" s="2" t="s">
        <v>29</v>
      </c>
      <c r="D46" s="2" t="s">
        <v>33</v>
      </c>
      <c r="E46" s="2" t="s">
        <v>134</v>
      </c>
      <c r="F46" s="2" t="s">
        <v>166</v>
      </c>
      <c r="G46" s="2" t="s">
        <v>16</v>
      </c>
      <c r="H46" s="2" t="s">
        <v>26</v>
      </c>
      <c r="I46" s="2" t="s">
        <v>27</v>
      </c>
      <c r="J46" s="2" t="s">
        <v>28</v>
      </c>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x14ac:dyDescent="0.2">
      <c r="A47" s="2" t="s">
        <v>10</v>
      </c>
      <c r="B47" s="2" t="s">
        <v>11</v>
      </c>
      <c r="C47" s="2" t="s">
        <v>83</v>
      </c>
      <c r="D47" s="2" t="s">
        <v>22</v>
      </c>
      <c r="E47" s="2" t="s">
        <v>143</v>
      </c>
      <c r="F47" s="2" t="s">
        <v>167</v>
      </c>
      <c r="G47" s="2" t="s">
        <v>36</v>
      </c>
      <c r="H47" s="2" t="s">
        <v>146</v>
      </c>
      <c r="I47" s="2" t="s">
        <v>43</v>
      </c>
      <c r="J47" s="2" t="s">
        <v>52</v>
      </c>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x14ac:dyDescent="0.2">
      <c r="A48" s="2" t="s">
        <v>10</v>
      </c>
      <c r="B48" s="2" t="s">
        <v>11</v>
      </c>
      <c r="C48" s="2" t="s">
        <v>87</v>
      </c>
      <c r="D48" s="2" t="s">
        <v>13</v>
      </c>
      <c r="E48" s="2" t="s">
        <v>168</v>
      </c>
      <c r="F48" s="2" t="s">
        <v>169</v>
      </c>
      <c r="G48" s="2" t="s">
        <v>170</v>
      </c>
      <c r="H48" s="2" t="s">
        <v>70</v>
      </c>
      <c r="I48" s="2" t="s">
        <v>27</v>
      </c>
      <c r="J48" s="2" t="s">
        <v>28</v>
      </c>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x14ac:dyDescent="0.2">
      <c r="A49" s="2" t="s">
        <v>20</v>
      </c>
      <c r="B49" s="2" t="s">
        <v>11</v>
      </c>
      <c r="C49" s="2" t="s">
        <v>87</v>
      </c>
      <c r="D49" s="2" t="s">
        <v>22</v>
      </c>
      <c r="E49" s="2" t="s">
        <v>171</v>
      </c>
      <c r="F49" s="2" t="s">
        <v>172</v>
      </c>
      <c r="G49" s="2" t="s">
        <v>100</v>
      </c>
      <c r="H49" s="2" t="s">
        <v>173</v>
      </c>
      <c r="I49" s="2" t="s">
        <v>43</v>
      </c>
      <c r="J49" s="2" t="s">
        <v>19</v>
      </c>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x14ac:dyDescent="0.2">
      <c r="A50" s="2" t="s">
        <v>40</v>
      </c>
      <c r="B50" s="2" t="s">
        <v>82</v>
      </c>
      <c r="C50" s="2" t="s">
        <v>83</v>
      </c>
      <c r="D50" s="2" t="s">
        <v>22</v>
      </c>
      <c r="E50" s="2" t="s">
        <v>174</v>
      </c>
      <c r="F50" s="2" t="s">
        <v>175</v>
      </c>
      <c r="G50" s="2" t="s">
        <v>48</v>
      </c>
      <c r="H50" s="2" t="s">
        <v>78</v>
      </c>
      <c r="I50" s="2" t="s">
        <v>18</v>
      </c>
      <c r="J50" s="2" t="s">
        <v>19</v>
      </c>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5" x14ac:dyDescent="0.2">
      <c r="A51" s="2" t="s">
        <v>44</v>
      </c>
      <c r="B51" s="2" t="s">
        <v>11</v>
      </c>
      <c r="C51" s="2" t="s">
        <v>176</v>
      </c>
      <c r="D51" s="2" t="s">
        <v>108</v>
      </c>
      <c r="E51" s="2" t="s">
        <v>177</v>
      </c>
      <c r="F51" s="2" t="s">
        <v>178</v>
      </c>
      <c r="G51" s="2" t="s">
        <v>16</v>
      </c>
      <c r="H51" s="2" t="s">
        <v>179</v>
      </c>
      <c r="I51" s="2" t="s">
        <v>27</v>
      </c>
      <c r="J51" s="2" t="s">
        <v>57</v>
      </c>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5" x14ac:dyDescent="0.2">
      <c r="A52" s="2" t="s">
        <v>44</v>
      </c>
      <c r="B52" s="2" t="s">
        <v>82</v>
      </c>
      <c r="C52" s="2" t="s">
        <v>87</v>
      </c>
      <c r="D52" s="2" t="s">
        <v>22</v>
      </c>
      <c r="E52" s="2" t="s">
        <v>180</v>
      </c>
      <c r="F52" s="2" t="s">
        <v>181</v>
      </c>
      <c r="G52" s="2" t="s">
        <v>111</v>
      </c>
      <c r="H52" s="2" t="s">
        <v>182</v>
      </c>
      <c r="I52" s="2" t="s">
        <v>18</v>
      </c>
      <c r="J52" s="2" t="s">
        <v>28</v>
      </c>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5" x14ac:dyDescent="0.2">
      <c r="A53" s="2" t="s">
        <v>10</v>
      </c>
      <c r="B53" s="2" t="s">
        <v>11</v>
      </c>
      <c r="C53" s="2" t="s">
        <v>176</v>
      </c>
      <c r="D53" s="2" t="s">
        <v>13</v>
      </c>
      <c r="E53" s="2" t="s">
        <v>183</v>
      </c>
      <c r="F53" s="2" t="s">
        <v>184</v>
      </c>
      <c r="G53" s="2" t="s">
        <v>115</v>
      </c>
      <c r="H53" s="2" t="s">
        <v>185</v>
      </c>
      <c r="I53" s="2" t="s">
        <v>43</v>
      </c>
      <c r="J53" s="2" t="s">
        <v>19</v>
      </c>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5" x14ac:dyDescent="0.2">
      <c r="A54" s="2" t="s">
        <v>20</v>
      </c>
      <c r="B54" s="2" t="s">
        <v>82</v>
      </c>
      <c r="C54" s="2" t="s">
        <v>87</v>
      </c>
      <c r="D54" s="2" t="s">
        <v>22</v>
      </c>
      <c r="E54" s="2" t="s">
        <v>186</v>
      </c>
      <c r="F54" s="2" t="s">
        <v>187</v>
      </c>
      <c r="G54" s="2" t="s">
        <v>69</v>
      </c>
      <c r="H54" s="2" t="s">
        <v>78</v>
      </c>
      <c r="I54" s="2" t="s">
        <v>43</v>
      </c>
      <c r="J54" s="2" t="s">
        <v>52</v>
      </c>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5" x14ac:dyDescent="0.2">
      <c r="A55" s="2" t="s">
        <v>20</v>
      </c>
      <c r="B55" s="2" t="s">
        <v>82</v>
      </c>
      <c r="C55" s="2" t="s">
        <v>83</v>
      </c>
      <c r="D55" s="2" t="s">
        <v>188</v>
      </c>
      <c r="E55" s="2" t="s">
        <v>189</v>
      </c>
      <c r="F55" s="2" t="s">
        <v>190</v>
      </c>
      <c r="G55" s="2" t="s">
        <v>61</v>
      </c>
      <c r="H55" s="2" t="s">
        <v>191</v>
      </c>
      <c r="I55" s="2" t="s">
        <v>27</v>
      </c>
      <c r="J55" s="2" t="s">
        <v>19</v>
      </c>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5" x14ac:dyDescent="0.2">
      <c r="A56" s="2" t="s">
        <v>44</v>
      </c>
      <c r="B56" s="2" t="s">
        <v>82</v>
      </c>
      <c r="C56" s="2" t="s">
        <v>129</v>
      </c>
      <c r="D56" s="2" t="s">
        <v>22</v>
      </c>
      <c r="E56" s="2" t="s">
        <v>192</v>
      </c>
      <c r="F56" s="2" t="s">
        <v>193</v>
      </c>
      <c r="G56" s="2" t="s">
        <v>69</v>
      </c>
      <c r="H56" s="2" t="s">
        <v>194</v>
      </c>
      <c r="I56" s="2" t="s">
        <v>124</v>
      </c>
      <c r="J56" s="2" t="s">
        <v>19</v>
      </c>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5" x14ac:dyDescent="0.2">
      <c r="A57" s="2" t="s">
        <v>20</v>
      </c>
      <c r="B57" s="2" t="s">
        <v>82</v>
      </c>
      <c r="C57" s="2" t="s">
        <v>29</v>
      </c>
      <c r="D57" s="2" t="s">
        <v>13</v>
      </c>
      <c r="E57" s="2" t="s">
        <v>143</v>
      </c>
      <c r="F57" s="2" t="s">
        <v>195</v>
      </c>
      <c r="G57" s="2" t="s">
        <v>25</v>
      </c>
      <c r="H57" s="2" t="s">
        <v>70</v>
      </c>
      <c r="I57" s="2" t="s">
        <v>27</v>
      </c>
      <c r="J57" s="2" t="s">
        <v>57</v>
      </c>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5" x14ac:dyDescent="0.2">
      <c r="A58" s="2" t="s">
        <v>10</v>
      </c>
      <c r="B58" s="2" t="s">
        <v>11</v>
      </c>
      <c r="C58" s="2" t="s">
        <v>147</v>
      </c>
      <c r="D58" s="2" t="s">
        <v>188</v>
      </c>
      <c r="E58" s="2" t="s">
        <v>196</v>
      </c>
      <c r="F58" s="2" t="s">
        <v>197</v>
      </c>
      <c r="G58" s="2" t="s">
        <v>16</v>
      </c>
      <c r="H58" s="2" t="s">
        <v>26</v>
      </c>
      <c r="I58" s="2" t="s">
        <v>43</v>
      </c>
      <c r="J58" s="2" t="s">
        <v>52</v>
      </c>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5" x14ac:dyDescent="0.2">
      <c r="A59" s="2" t="s">
        <v>10</v>
      </c>
      <c r="B59" s="2" t="s">
        <v>11</v>
      </c>
      <c r="C59" s="2" t="s">
        <v>198</v>
      </c>
      <c r="D59" s="2" t="s">
        <v>13</v>
      </c>
      <c r="E59" s="2" t="s">
        <v>132</v>
      </c>
      <c r="F59" s="2" t="s">
        <v>199</v>
      </c>
      <c r="G59" s="2" t="s">
        <v>61</v>
      </c>
      <c r="H59" s="2" t="s">
        <v>78</v>
      </c>
      <c r="I59" s="2" t="s">
        <v>43</v>
      </c>
      <c r="J59" s="2" t="s">
        <v>28</v>
      </c>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5" x14ac:dyDescent="0.2">
      <c r="A60" s="2" t="s">
        <v>44</v>
      </c>
      <c r="B60" s="2" t="s">
        <v>82</v>
      </c>
      <c r="C60" s="2" t="s">
        <v>71</v>
      </c>
      <c r="D60" s="2" t="s">
        <v>200</v>
      </c>
      <c r="E60" s="2" t="s">
        <v>201</v>
      </c>
      <c r="F60" s="2" t="s">
        <v>202</v>
      </c>
      <c r="G60" s="2" t="s">
        <v>61</v>
      </c>
      <c r="H60" s="2" t="s">
        <v>203</v>
      </c>
      <c r="I60" s="2" t="s">
        <v>150</v>
      </c>
      <c r="J60" s="2" t="s">
        <v>19</v>
      </c>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5" x14ac:dyDescent="0.2">
      <c r="A61" s="2" t="s">
        <v>20</v>
      </c>
      <c r="B61" s="2" t="s">
        <v>82</v>
      </c>
      <c r="C61" s="2" t="s">
        <v>71</v>
      </c>
      <c r="D61" s="2" t="s">
        <v>22</v>
      </c>
      <c r="E61" s="2" t="s">
        <v>204</v>
      </c>
      <c r="F61" s="2" t="s">
        <v>205</v>
      </c>
      <c r="G61" s="2" t="s">
        <v>25</v>
      </c>
      <c r="H61" s="2" t="s">
        <v>17</v>
      </c>
      <c r="I61" s="2" t="s">
        <v>27</v>
      </c>
      <c r="J61" s="2" t="s">
        <v>28</v>
      </c>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5" x14ac:dyDescent="0.2">
      <c r="A62" s="2" t="s">
        <v>20</v>
      </c>
      <c r="B62" s="2" t="s">
        <v>11</v>
      </c>
      <c r="C62" s="2" t="s">
        <v>83</v>
      </c>
      <c r="D62" s="2" t="s">
        <v>13</v>
      </c>
      <c r="E62" s="2" t="s">
        <v>206</v>
      </c>
      <c r="F62" s="2" t="s">
        <v>207</v>
      </c>
      <c r="G62" s="2" t="s">
        <v>48</v>
      </c>
      <c r="H62" s="2" t="s">
        <v>208</v>
      </c>
      <c r="I62" s="2" t="s">
        <v>27</v>
      </c>
      <c r="J62" s="2" t="s">
        <v>52</v>
      </c>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5" x14ac:dyDescent="0.2">
      <c r="A63" s="2" t="s">
        <v>20</v>
      </c>
      <c r="B63" s="2" t="s">
        <v>11</v>
      </c>
      <c r="C63" s="2" t="s">
        <v>83</v>
      </c>
      <c r="D63" s="2" t="s">
        <v>13</v>
      </c>
      <c r="E63" s="2" t="s">
        <v>140</v>
      </c>
      <c r="F63" s="2" t="s">
        <v>209</v>
      </c>
      <c r="G63" s="2" t="s">
        <v>36</v>
      </c>
      <c r="H63" s="2" t="s">
        <v>210</v>
      </c>
      <c r="I63" s="2" t="s">
        <v>43</v>
      </c>
      <c r="J63" s="2" t="s">
        <v>52</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5" x14ac:dyDescent="0.2">
      <c r="A64" s="2" t="s">
        <v>10</v>
      </c>
      <c r="B64" s="2" t="s">
        <v>11</v>
      </c>
      <c r="C64" s="2" t="s">
        <v>211</v>
      </c>
      <c r="D64" s="2" t="s">
        <v>188</v>
      </c>
      <c r="E64" s="2" t="s">
        <v>212</v>
      </c>
      <c r="F64" s="2" t="s">
        <v>213</v>
      </c>
      <c r="G64" s="2" t="s">
        <v>100</v>
      </c>
      <c r="H64" s="2" t="s">
        <v>56</v>
      </c>
      <c r="I64" s="2" t="s">
        <v>18</v>
      </c>
      <c r="J64" s="2" t="s">
        <v>52</v>
      </c>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5" x14ac:dyDescent="0.2">
      <c r="A65" s="2" t="s">
        <v>20</v>
      </c>
      <c r="B65" s="2" t="s">
        <v>82</v>
      </c>
      <c r="C65" s="2" t="s">
        <v>12</v>
      </c>
      <c r="D65" s="2" t="s">
        <v>33</v>
      </c>
      <c r="E65" s="2" t="s">
        <v>214</v>
      </c>
      <c r="F65" s="2" t="s">
        <v>215</v>
      </c>
      <c r="G65" s="2" t="s">
        <v>16</v>
      </c>
      <c r="H65" s="2" t="s">
        <v>66</v>
      </c>
      <c r="I65" s="2" t="s">
        <v>18</v>
      </c>
      <c r="J65" s="2" t="s">
        <v>19</v>
      </c>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5" x14ac:dyDescent="0.2">
      <c r="A66" s="2" t="s">
        <v>20</v>
      </c>
      <c r="B66" s="2" t="s">
        <v>82</v>
      </c>
      <c r="C66" s="2" t="s">
        <v>83</v>
      </c>
      <c r="D66" s="2" t="s">
        <v>33</v>
      </c>
      <c r="E66" s="2" t="s">
        <v>59</v>
      </c>
      <c r="F66" s="2" t="s">
        <v>216</v>
      </c>
      <c r="G66" s="2" t="s">
        <v>25</v>
      </c>
      <c r="H66" s="2" t="s">
        <v>217</v>
      </c>
      <c r="I66" s="2" t="s">
        <v>27</v>
      </c>
      <c r="J66" s="2" t="s">
        <v>52</v>
      </c>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5" x14ac:dyDescent="0.2">
      <c r="A67" s="2" t="s">
        <v>10</v>
      </c>
      <c r="B67" s="2" t="s">
        <v>82</v>
      </c>
      <c r="C67" s="2" t="s">
        <v>176</v>
      </c>
      <c r="D67" s="2" t="s">
        <v>13</v>
      </c>
      <c r="E67" s="2" t="s">
        <v>218</v>
      </c>
      <c r="F67" s="2" t="s">
        <v>219</v>
      </c>
      <c r="G67" s="2" t="s">
        <v>97</v>
      </c>
      <c r="H67" s="2" t="s">
        <v>66</v>
      </c>
      <c r="I67" s="2" t="s">
        <v>18</v>
      </c>
      <c r="J67" s="2" t="s">
        <v>19</v>
      </c>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5" x14ac:dyDescent="0.2">
      <c r="A68" s="2" t="s">
        <v>10</v>
      </c>
      <c r="B68" s="2" t="s">
        <v>11</v>
      </c>
      <c r="C68" s="2" t="s">
        <v>29</v>
      </c>
      <c r="D68" s="2" t="s">
        <v>22</v>
      </c>
      <c r="E68" s="2" t="s">
        <v>220</v>
      </c>
      <c r="F68" s="2" t="s">
        <v>221</v>
      </c>
      <c r="G68" s="2" t="s">
        <v>111</v>
      </c>
      <c r="H68" s="2" t="s">
        <v>222</v>
      </c>
      <c r="I68" s="2" t="s">
        <v>43</v>
      </c>
      <c r="J68" s="2" t="s">
        <v>57</v>
      </c>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5" x14ac:dyDescent="0.2">
      <c r="A69" s="2" t="s">
        <v>91</v>
      </c>
      <c r="B69" s="2" t="s">
        <v>11</v>
      </c>
      <c r="C69" s="2" t="s">
        <v>223</v>
      </c>
      <c r="D69" s="2" t="s">
        <v>200</v>
      </c>
      <c r="E69" s="2" t="s">
        <v>224</v>
      </c>
      <c r="F69" s="2" t="s">
        <v>225</v>
      </c>
      <c r="G69" s="2" t="s">
        <v>16</v>
      </c>
      <c r="H69" s="2" t="s">
        <v>26</v>
      </c>
      <c r="I69" s="2" t="s">
        <v>18</v>
      </c>
      <c r="J69" s="2" t="s">
        <v>19</v>
      </c>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5" x14ac:dyDescent="0.2">
      <c r="A70" s="2" t="s">
        <v>91</v>
      </c>
      <c r="B70" s="2" t="s">
        <v>11</v>
      </c>
      <c r="C70" s="2" t="s">
        <v>102</v>
      </c>
      <c r="D70" s="2" t="s">
        <v>45</v>
      </c>
      <c r="E70" s="2" t="s">
        <v>226</v>
      </c>
      <c r="F70" s="2" t="s">
        <v>227</v>
      </c>
      <c r="G70" s="2" t="s">
        <v>16</v>
      </c>
      <c r="H70" s="2" t="s">
        <v>228</v>
      </c>
      <c r="I70" s="2" t="s">
        <v>43</v>
      </c>
      <c r="J70" s="2" t="s">
        <v>28</v>
      </c>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5" x14ac:dyDescent="0.2">
      <c r="A71" s="2" t="s">
        <v>10</v>
      </c>
      <c r="B71" s="2" t="s">
        <v>11</v>
      </c>
      <c r="C71" s="2" t="s">
        <v>223</v>
      </c>
      <c r="D71" s="2" t="s">
        <v>22</v>
      </c>
      <c r="E71" s="2" t="s">
        <v>229</v>
      </c>
      <c r="F71" s="2" t="s">
        <v>230</v>
      </c>
      <c r="G71" s="2" t="s">
        <v>61</v>
      </c>
      <c r="H71" s="2" t="s">
        <v>26</v>
      </c>
      <c r="I71" s="2" t="s">
        <v>27</v>
      </c>
      <c r="J71" s="2" t="s">
        <v>28</v>
      </c>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5" x14ac:dyDescent="0.2">
      <c r="A72" s="2" t="s">
        <v>91</v>
      </c>
      <c r="B72" s="2" t="s">
        <v>11</v>
      </c>
      <c r="C72" s="2" t="s">
        <v>29</v>
      </c>
      <c r="D72" s="2" t="s">
        <v>45</v>
      </c>
      <c r="E72" s="2" t="s">
        <v>140</v>
      </c>
      <c r="F72" s="2" t="s">
        <v>231</v>
      </c>
      <c r="G72" s="2" t="s">
        <v>48</v>
      </c>
      <c r="H72" s="2" t="s">
        <v>232</v>
      </c>
      <c r="I72" s="2" t="s">
        <v>43</v>
      </c>
      <c r="J72" s="2" t="s">
        <v>52</v>
      </c>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5" x14ac:dyDescent="0.2">
      <c r="A73" s="2" t="s">
        <v>20</v>
      </c>
      <c r="B73" s="2" t="s">
        <v>82</v>
      </c>
      <c r="C73" s="2" t="s">
        <v>147</v>
      </c>
      <c r="D73" s="2" t="s">
        <v>13</v>
      </c>
      <c r="E73" s="2" t="s">
        <v>233</v>
      </c>
      <c r="F73" s="2" t="s">
        <v>234</v>
      </c>
      <c r="G73" s="2" t="s">
        <v>69</v>
      </c>
      <c r="H73" s="2" t="s">
        <v>182</v>
      </c>
      <c r="I73" s="2" t="s">
        <v>18</v>
      </c>
      <c r="J73" s="2" t="s">
        <v>28</v>
      </c>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5" x14ac:dyDescent="0.2">
      <c r="A74" s="2" t="s">
        <v>44</v>
      </c>
      <c r="B74" s="2" t="s">
        <v>82</v>
      </c>
      <c r="C74" s="2" t="s">
        <v>235</v>
      </c>
      <c r="D74" s="2" t="s">
        <v>13</v>
      </c>
      <c r="E74" s="2" t="s">
        <v>236</v>
      </c>
      <c r="F74" s="2" t="s">
        <v>237</v>
      </c>
      <c r="G74" s="2" t="s">
        <v>48</v>
      </c>
      <c r="H74" s="2" t="s">
        <v>78</v>
      </c>
      <c r="I74" s="2" t="s">
        <v>27</v>
      </c>
      <c r="J74" s="2" t="s">
        <v>57</v>
      </c>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5" x14ac:dyDescent="0.2">
      <c r="A75" s="2" t="s">
        <v>10</v>
      </c>
      <c r="B75" s="2" t="s">
        <v>11</v>
      </c>
      <c r="C75" s="2" t="s">
        <v>83</v>
      </c>
      <c r="D75" s="2" t="s">
        <v>13</v>
      </c>
      <c r="E75" s="2" t="s">
        <v>17</v>
      </c>
      <c r="F75" s="2" t="s">
        <v>238</v>
      </c>
      <c r="G75" s="2" t="s">
        <v>16</v>
      </c>
      <c r="H75" s="2" t="s">
        <v>70</v>
      </c>
      <c r="I75" s="2" t="s">
        <v>27</v>
      </c>
      <c r="J75" s="2" t="s">
        <v>28</v>
      </c>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5" x14ac:dyDescent="0.2">
      <c r="A76" s="2" t="s">
        <v>44</v>
      </c>
      <c r="B76" s="2" t="s">
        <v>82</v>
      </c>
      <c r="C76" s="2" t="s">
        <v>87</v>
      </c>
      <c r="D76" s="2" t="s">
        <v>33</v>
      </c>
      <c r="E76" s="2" t="s">
        <v>88</v>
      </c>
      <c r="F76" s="2" t="s">
        <v>239</v>
      </c>
      <c r="G76" s="2" t="s">
        <v>69</v>
      </c>
      <c r="H76" s="2" t="s">
        <v>240</v>
      </c>
      <c r="I76" s="2" t="s">
        <v>43</v>
      </c>
      <c r="J76" s="2" t="s">
        <v>57</v>
      </c>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5" x14ac:dyDescent="0.2">
      <c r="A77" s="2" t="s">
        <v>10</v>
      </c>
      <c r="B77" s="2" t="s">
        <v>11</v>
      </c>
      <c r="C77" s="2" t="s">
        <v>83</v>
      </c>
      <c r="D77" s="2" t="s">
        <v>22</v>
      </c>
      <c r="E77" s="2" t="s">
        <v>241</v>
      </c>
      <c r="F77" s="2" t="s">
        <v>242</v>
      </c>
      <c r="G77" s="2" t="s">
        <v>16</v>
      </c>
      <c r="H77" s="2" t="s">
        <v>56</v>
      </c>
      <c r="I77" s="2" t="s">
        <v>43</v>
      </c>
      <c r="J77" s="2" t="s">
        <v>28</v>
      </c>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5" x14ac:dyDescent="0.2">
      <c r="A78" s="2" t="s">
        <v>20</v>
      </c>
      <c r="B78" s="2" t="s">
        <v>11</v>
      </c>
      <c r="C78" s="2" t="s">
        <v>83</v>
      </c>
      <c r="D78" s="2" t="s">
        <v>13</v>
      </c>
      <c r="E78" s="2" t="s">
        <v>243</v>
      </c>
      <c r="F78" s="2" t="s">
        <v>244</v>
      </c>
      <c r="G78" s="2" t="s">
        <v>16</v>
      </c>
      <c r="H78" s="2" t="s">
        <v>56</v>
      </c>
      <c r="I78" s="2" t="s">
        <v>27</v>
      </c>
      <c r="J78" s="2" t="s">
        <v>52</v>
      </c>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5" x14ac:dyDescent="0.2">
      <c r="A79" s="2" t="s">
        <v>10</v>
      </c>
      <c r="B79" s="2" t="s">
        <v>82</v>
      </c>
      <c r="C79" s="2" t="s">
        <v>83</v>
      </c>
      <c r="D79" s="2" t="s">
        <v>13</v>
      </c>
      <c r="E79" s="2" t="s">
        <v>63</v>
      </c>
      <c r="F79" s="2" t="s">
        <v>245</v>
      </c>
      <c r="G79" s="2" t="s">
        <v>48</v>
      </c>
      <c r="H79" s="2" t="s">
        <v>112</v>
      </c>
      <c r="I79" s="2" t="s">
        <v>18</v>
      </c>
      <c r="J79" s="2" t="s">
        <v>19</v>
      </c>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5" x14ac:dyDescent="0.2">
      <c r="A80" s="2" t="s">
        <v>20</v>
      </c>
      <c r="B80" s="2" t="s">
        <v>11</v>
      </c>
      <c r="C80" s="2" t="s">
        <v>83</v>
      </c>
      <c r="D80" s="2" t="s">
        <v>13</v>
      </c>
      <c r="E80" s="2" t="s">
        <v>246</v>
      </c>
      <c r="F80" s="2" t="s">
        <v>247</v>
      </c>
      <c r="G80" s="2" t="s">
        <v>48</v>
      </c>
      <c r="H80" s="2" t="s">
        <v>70</v>
      </c>
      <c r="I80" s="2" t="s">
        <v>18</v>
      </c>
      <c r="J80" s="2" t="s">
        <v>19</v>
      </c>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5" x14ac:dyDescent="0.2">
      <c r="A81" s="2" t="s">
        <v>20</v>
      </c>
      <c r="B81" s="2" t="s">
        <v>11</v>
      </c>
      <c r="C81" s="2" t="s">
        <v>83</v>
      </c>
      <c r="D81" s="2" t="s">
        <v>22</v>
      </c>
      <c r="E81" s="2" t="s">
        <v>248</v>
      </c>
      <c r="F81" s="2" t="s">
        <v>249</v>
      </c>
      <c r="G81" s="2" t="s">
        <v>16</v>
      </c>
      <c r="H81" s="2" t="s">
        <v>250</v>
      </c>
      <c r="I81" s="2" t="s">
        <v>27</v>
      </c>
      <c r="J81" s="2" t="s">
        <v>52</v>
      </c>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5" x14ac:dyDescent="0.2">
      <c r="A82" s="2" t="s">
        <v>251</v>
      </c>
      <c r="B82" s="2" t="s">
        <v>11</v>
      </c>
      <c r="C82" s="2" t="s">
        <v>83</v>
      </c>
      <c r="D82" s="2" t="s">
        <v>22</v>
      </c>
      <c r="E82" s="2" t="s">
        <v>174</v>
      </c>
      <c r="F82" s="2" t="s">
        <v>252</v>
      </c>
      <c r="G82" s="2" t="s">
        <v>48</v>
      </c>
      <c r="H82" s="2" t="s">
        <v>78</v>
      </c>
      <c r="I82" s="2" t="s">
        <v>18</v>
      </c>
      <c r="J82" s="2" t="s">
        <v>28</v>
      </c>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5" x14ac:dyDescent="0.2">
      <c r="A83" s="2" t="s">
        <v>20</v>
      </c>
      <c r="B83" s="2" t="s">
        <v>11</v>
      </c>
      <c r="C83" s="2" t="s">
        <v>87</v>
      </c>
      <c r="D83" s="2" t="s">
        <v>33</v>
      </c>
      <c r="E83" s="2" t="s">
        <v>253</v>
      </c>
      <c r="F83" s="2" t="s">
        <v>254</v>
      </c>
      <c r="G83" s="2" t="s">
        <v>111</v>
      </c>
      <c r="H83" s="2" t="s">
        <v>255</v>
      </c>
      <c r="I83" s="2" t="s">
        <v>27</v>
      </c>
      <c r="J83" s="2" t="s">
        <v>52</v>
      </c>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5" x14ac:dyDescent="0.2">
      <c r="A84" s="2" t="s">
        <v>91</v>
      </c>
      <c r="B84" s="2" t="s">
        <v>11</v>
      </c>
      <c r="C84" s="2" t="s">
        <v>58</v>
      </c>
      <c r="D84" s="2" t="s">
        <v>200</v>
      </c>
      <c r="E84" s="2" t="s">
        <v>256</v>
      </c>
      <c r="F84" s="2" t="s">
        <v>257</v>
      </c>
      <c r="G84" s="2" t="s">
        <v>48</v>
      </c>
      <c r="H84" s="2" t="s">
        <v>78</v>
      </c>
      <c r="I84" s="2" t="s">
        <v>27</v>
      </c>
      <c r="J84" s="2" t="s">
        <v>52</v>
      </c>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5" x14ac:dyDescent="0.2">
      <c r="A85" s="2" t="s">
        <v>20</v>
      </c>
      <c r="B85" s="2" t="s">
        <v>11</v>
      </c>
      <c r="C85" s="2" t="s">
        <v>83</v>
      </c>
      <c r="D85" s="2" t="s">
        <v>33</v>
      </c>
      <c r="E85" s="2" t="s">
        <v>258</v>
      </c>
      <c r="F85" s="2" t="s">
        <v>259</v>
      </c>
      <c r="G85" s="2" t="s">
        <v>260</v>
      </c>
      <c r="H85" s="2" t="s">
        <v>261</v>
      </c>
      <c r="I85" s="2" t="s">
        <v>27</v>
      </c>
      <c r="J85" s="2" t="s">
        <v>52</v>
      </c>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5" x14ac:dyDescent="0.2">
      <c r="A86" s="2" t="s">
        <v>20</v>
      </c>
      <c r="B86" s="2" t="s">
        <v>11</v>
      </c>
      <c r="C86" s="2" t="s">
        <v>87</v>
      </c>
      <c r="D86" s="2" t="s">
        <v>13</v>
      </c>
      <c r="E86" s="2" t="s">
        <v>262</v>
      </c>
      <c r="F86" s="2" t="s">
        <v>263</v>
      </c>
      <c r="G86" s="2" t="s">
        <v>65</v>
      </c>
      <c r="H86" s="2" t="s">
        <v>264</v>
      </c>
      <c r="I86" s="2" t="s">
        <v>43</v>
      </c>
      <c r="J86" s="2" t="s">
        <v>52</v>
      </c>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5" x14ac:dyDescent="0.2">
      <c r="A87" s="2" t="s">
        <v>10</v>
      </c>
      <c r="B87" s="2" t="s">
        <v>11</v>
      </c>
      <c r="C87" s="2" t="s">
        <v>29</v>
      </c>
      <c r="D87" s="2" t="s">
        <v>22</v>
      </c>
      <c r="E87" s="2" t="s">
        <v>265</v>
      </c>
      <c r="F87" s="2" t="s">
        <v>266</v>
      </c>
      <c r="G87" s="2" t="s">
        <v>115</v>
      </c>
      <c r="H87" s="2" t="s">
        <v>70</v>
      </c>
      <c r="I87" s="2" t="s">
        <v>43</v>
      </c>
      <c r="J87" s="2" t="s">
        <v>28</v>
      </c>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5" x14ac:dyDescent="0.2">
      <c r="A88" s="2" t="s">
        <v>44</v>
      </c>
      <c r="B88" s="2" t="s">
        <v>11</v>
      </c>
      <c r="C88" s="2" t="s">
        <v>71</v>
      </c>
      <c r="D88" s="2" t="s">
        <v>13</v>
      </c>
      <c r="E88" s="2" t="s">
        <v>267</v>
      </c>
      <c r="F88" s="2" t="s">
        <v>268</v>
      </c>
      <c r="G88" s="2" t="s">
        <v>16</v>
      </c>
      <c r="H88" s="2" t="s">
        <v>269</v>
      </c>
      <c r="I88" s="2" t="s">
        <v>27</v>
      </c>
      <c r="J88" s="2" t="s">
        <v>19</v>
      </c>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5" x14ac:dyDescent="0.2">
      <c r="A89" s="2" t="s">
        <v>20</v>
      </c>
      <c r="B89" s="2" t="s">
        <v>82</v>
      </c>
      <c r="C89" s="2" t="s">
        <v>83</v>
      </c>
      <c r="D89" s="2" t="s">
        <v>108</v>
      </c>
      <c r="E89" s="2" t="s">
        <v>270</v>
      </c>
      <c r="F89" s="2" t="s">
        <v>271</v>
      </c>
      <c r="G89" s="2" t="s">
        <v>48</v>
      </c>
      <c r="H89" s="2" t="s">
        <v>70</v>
      </c>
      <c r="I89" s="2" t="s">
        <v>27</v>
      </c>
      <c r="J89" s="2" t="s">
        <v>52</v>
      </c>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5" x14ac:dyDescent="0.2">
      <c r="A90" s="2" t="s">
        <v>10</v>
      </c>
      <c r="B90" s="2" t="s">
        <v>11</v>
      </c>
      <c r="C90" s="2" t="s">
        <v>83</v>
      </c>
      <c r="D90" s="2" t="s">
        <v>13</v>
      </c>
      <c r="E90" s="2" t="s">
        <v>272</v>
      </c>
      <c r="F90" s="2" t="s">
        <v>273</v>
      </c>
      <c r="G90" s="2" t="s">
        <v>65</v>
      </c>
      <c r="H90" s="2" t="s">
        <v>274</v>
      </c>
      <c r="I90" s="2" t="s">
        <v>27</v>
      </c>
      <c r="J90" s="2" t="s">
        <v>28</v>
      </c>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5" x14ac:dyDescent="0.2">
      <c r="A91" s="2" t="s">
        <v>44</v>
      </c>
      <c r="B91" s="2" t="s">
        <v>11</v>
      </c>
      <c r="C91" s="2" t="s">
        <v>83</v>
      </c>
      <c r="D91" s="2" t="s">
        <v>108</v>
      </c>
      <c r="E91" s="2" t="s">
        <v>275</v>
      </c>
      <c r="F91" s="2" t="s">
        <v>276</v>
      </c>
      <c r="G91" s="2" t="s">
        <v>36</v>
      </c>
      <c r="H91" s="2" t="s">
        <v>70</v>
      </c>
      <c r="I91" s="2" t="s">
        <v>27</v>
      </c>
      <c r="J91" s="2" t="s">
        <v>19</v>
      </c>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5" x14ac:dyDescent="0.2">
      <c r="A92" s="2" t="s">
        <v>10</v>
      </c>
      <c r="B92" s="2" t="s">
        <v>82</v>
      </c>
      <c r="C92" s="2" t="s">
        <v>83</v>
      </c>
      <c r="D92" s="2" t="s">
        <v>13</v>
      </c>
      <c r="E92" s="2" t="s">
        <v>277</v>
      </c>
      <c r="F92" s="2" t="s">
        <v>278</v>
      </c>
      <c r="G92" s="2" t="s">
        <v>65</v>
      </c>
      <c r="H92" s="2" t="s">
        <v>279</v>
      </c>
      <c r="I92" s="2" t="s">
        <v>27</v>
      </c>
      <c r="J92" s="2" t="s">
        <v>28</v>
      </c>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5" x14ac:dyDescent="0.2">
      <c r="A93" s="2" t="s">
        <v>44</v>
      </c>
      <c r="B93" s="2" t="s">
        <v>11</v>
      </c>
      <c r="C93" s="2" t="s">
        <v>87</v>
      </c>
      <c r="D93" s="2" t="s">
        <v>108</v>
      </c>
      <c r="E93" s="2" t="s">
        <v>280</v>
      </c>
      <c r="F93" s="2" t="s">
        <v>281</v>
      </c>
      <c r="G93" s="2" t="s">
        <v>36</v>
      </c>
      <c r="H93" s="2" t="s">
        <v>282</v>
      </c>
      <c r="I93" s="2" t="s">
        <v>43</v>
      </c>
      <c r="J93" s="2" t="s">
        <v>28</v>
      </c>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5" x14ac:dyDescent="0.2">
      <c r="A94" s="2" t="s">
        <v>10</v>
      </c>
      <c r="B94" s="2" t="s">
        <v>11</v>
      </c>
      <c r="C94" s="2" t="s">
        <v>83</v>
      </c>
      <c r="D94" s="2" t="s">
        <v>13</v>
      </c>
      <c r="E94" s="2" t="s">
        <v>63</v>
      </c>
      <c r="F94" s="2" t="s">
        <v>283</v>
      </c>
      <c r="G94" s="2" t="s">
        <v>260</v>
      </c>
      <c r="H94" s="2" t="s">
        <v>26</v>
      </c>
      <c r="I94" s="2" t="s">
        <v>124</v>
      </c>
      <c r="J94" s="2" t="s">
        <v>52</v>
      </c>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5" x14ac:dyDescent="0.2">
      <c r="A95" s="2" t="s">
        <v>44</v>
      </c>
      <c r="B95" s="2" t="s">
        <v>11</v>
      </c>
      <c r="C95" s="2" t="s">
        <v>71</v>
      </c>
      <c r="D95" s="2" t="s">
        <v>45</v>
      </c>
      <c r="E95" s="2" t="s">
        <v>284</v>
      </c>
      <c r="F95" s="2" t="s">
        <v>285</v>
      </c>
      <c r="G95" s="2" t="s">
        <v>16</v>
      </c>
      <c r="H95" s="2" t="s">
        <v>70</v>
      </c>
      <c r="I95" s="2" t="s">
        <v>27</v>
      </c>
      <c r="J95" s="2" t="s">
        <v>28</v>
      </c>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5" x14ac:dyDescent="0.2">
      <c r="A96" s="2" t="s">
        <v>10</v>
      </c>
      <c r="B96" s="2" t="s">
        <v>82</v>
      </c>
      <c r="C96" s="2" t="s">
        <v>83</v>
      </c>
      <c r="D96" s="2" t="s">
        <v>13</v>
      </c>
      <c r="E96" s="2" t="s">
        <v>286</v>
      </c>
      <c r="F96" s="2" t="s">
        <v>287</v>
      </c>
      <c r="G96" s="2" t="s">
        <v>48</v>
      </c>
      <c r="H96" s="2" t="s">
        <v>288</v>
      </c>
      <c r="I96" s="2" t="s">
        <v>27</v>
      </c>
      <c r="J96" s="2" t="s">
        <v>52</v>
      </c>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5" x14ac:dyDescent="0.2">
      <c r="A97" s="2" t="s">
        <v>44</v>
      </c>
      <c r="B97" s="2" t="s">
        <v>82</v>
      </c>
      <c r="C97" s="2" t="s">
        <v>83</v>
      </c>
      <c r="D97" s="2" t="s">
        <v>22</v>
      </c>
      <c r="E97" s="2" t="s">
        <v>289</v>
      </c>
      <c r="F97" s="2" t="s">
        <v>290</v>
      </c>
      <c r="G97" s="2" t="s">
        <v>170</v>
      </c>
      <c r="H97" s="2" t="s">
        <v>289</v>
      </c>
      <c r="I97" s="2" t="s">
        <v>27</v>
      </c>
      <c r="J97" s="2" t="s">
        <v>57</v>
      </c>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5" x14ac:dyDescent="0.2">
      <c r="A98" s="2" t="s">
        <v>20</v>
      </c>
      <c r="B98" s="2" t="s">
        <v>11</v>
      </c>
      <c r="C98" s="2" t="s">
        <v>235</v>
      </c>
      <c r="D98" s="2" t="s">
        <v>33</v>
      </c>
      <c r="E98" s="2" t="s">
        <v>291</v>
      </c>
      <c r="F98" s="2" t="s">
        <v>292</v>
      </c>
      <c r="G98" s="2" t="s">
        <v>61</v>
      </c>
      <c r="H98" s="2" t="s">
        <v>78</v>
      </c>
      <c r="I98" s="2" t="s">
        <v>43</v>
      </c>
      <c r="J98" s="2" t="s">
        <v>28</v>
      </c>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5" x14ac:dyDescent="0.2">
      <c r="A99" s="2" t="s">
        <v>10</v>
      </c>
      <c r="B99" s="2" t="s">
        <v>11</v>
      </c>
      <c r="C99" s="2" t="s">
        <v>176</v>
      </c>
      <c r="D99" s="2" t="s">
        <v>22</v>
      </c>
      <c r="E99" s="2" t="s">
        <v>293</v>
      </c>
      <c r="F99" s="2" t="s">
        <v>294</v>
      </c>
      <c r="G99" s="2" t="s">
        <v>36</v>
      </c>
      <c r="H99" s="2" t="s">
        <v>217</v>
      </c>
      <c r="I99" s="2" t="s">
        <v>43</v>
      </c>
      <c r="J99" s="2" t="s">
        <v>28</v>
      </c>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5" x14ac:dyDescent="0.2">
      <c r="A100" s="2" t="s">
        <v>10</v>
      </c>
      <c r="B100" s="2" t="s">
        <v>11</v>
      </c>
      <c r="C100" s="2" t="s">
        <v>83</v>
      </c>
      <c r="D100" s="2" t="s">
        <v>22</v>
      </c>
      <c r="E100" s="2" t="s">
        <v>295</v>
      </c>
      <c r="F100" s="2" t="s">
        <v>296</v>
      </c>
      <c r="G100" s="2" t="s">
        <v>115</v>
      </c>
      <c r="H100" s="2" t="s">
        <v>70</v>
      </c>
      <c r="I100" s="2" t="s">
        <v>18</v>
      </c>
      <c r="J100" s="2" t="s">
        <v>19</v>
      </c>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5" x14ac:dyDescent="0.2">
      <c r="A101" s="2" t="s">
        <v>20</v>
      </c>
      <c r="B101" s="2" t="s">
        <v>11</v>
      </c>
      <c r="C101" s="2" t="s">
        <v>83</v>
      </c>
      <c r="D101" s="2" t="s">
        <v>22</v>
      </c>
      <c r="E101" s="2" t="s">
        <v>297</v>
      </c>
      <c r="F101" s="2" t="s">
        <v>59</v>
      </c>
      <c r="G101" s="2" t="s">
        <v>65</v>
      </c>
      <c r="H101" s="2" t="s">
        <v>66</v>
      </c>
      <c r="I101" s="2" t="s">
        <v>27</v>
      </c>
      <c r="J101" s="2" t="s">
        <v>52</v>
      </c>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row>
    <row r="102" spans="1:78" ht="15" x14ac:dyDescent="0.2">
      <c r="A102" s="2" t="s">
        <v>44</v>
      </c>
      <c r="B102" s="2" t="s">
        <v>11</v>
      </c>
      <c r="C102" s="2" t="s">
        <v>29</v>
      </c>
      <c r="D102" s="2" t="s">
        <v>108</v>
      </c>
      <c r="E102" s="2" t="s">
        <v>132</v>
      </c>
      <c r="F102" s="2" t="s">
        <v>298</v>
      </c>
      <c r="G102" s="2" t="s">
        <v>48</v>
      </c>
      <c r="H102" s="2" t="s">
        <v>26</v>
      </c>
      <c r="I102" s="2" t="s">
        <v>18</v>
      </c>
      <c r="J102" s="2" t="s">
        <v>28</v>
      </c>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row>
    <row r="103" spans="1:78" ht="15" x14ac:dyDescent="0.2">
      <c r="A103" s="2" t="s">
        <v>10</v>
      </c>
      <c r="B103" s="2" t="s">
        <v>11</v>
      </c>
      <c r="C103" s="2" t="s">
        <v>83</v>
      </c>
      <c r="D103" s="2" t="s">
        <v>13</v>
      </c>
      <c r="E103" s="2" t="s">
        <v>183</v>
      </c>
      <c r="F103" s="2" t="s">
        <v>299</v>
      </c>
      <c r="G103" s="2" t="s">
        <v>111</v>
      </c>
      <c r="H103" s="2" t="s">
        <v>101</v>
      </c>
      <c r="I103" s="2" t="s">
        <v>27</v>
      </c>
      <c r="J103" s="2" t="s">
        <v>52</v>
      </c>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row>
    <row r="104" spans="1:78" ht="15" x14ac:dyDescent="0.2">
      <c r="A104" s="2" t="s">
        <v>10</v>
      </c>
      <c r="B104" s="2" t="s">
        <v>82</v>
      </c>
      <c r="C104" s="2" t="s">
        <v>87</v>
      </c>
      <c r="D104" s="2" t="s">
        <v>13</v>
      </c>
      <c r="E104" s="2" t="s">
        <v>300</v>
      </c>
      <c r="F104" s="2" t="s">
        <v>301</v>
      </c>
      <c r="G104" s="2" t="s">
        <v>16</v>
      </c>
      <c r="H104" s="2" t="s">
        <v>302</v>
      </c>
      <c r="I104" s="2" t="s">
        <v>43</v>
      </c>
      <c r="J104" s="2" t="s">
        <v>52</v>
      </c>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row>
    <row r="105" spans="1:78" ht="15" x14ac:dyDescent="0.2">
      <c r="A105" s="2" t="s">
        <v>10</v>
      </c>
      <c r="B105" s="2" t="s">
        <v>11</v>
      </c>
      <c r="C105" s="2" t="s">
        <v>83</v>
      </c>
      <c r="D105" s="2" t="s">
        <v>13</v>
      </c>
      <c r="E105" s="2" t="s">
        <v>183</v>
      </c>
      <c r="F105" s="2" t="s">
        <v>303</v>
      </c>
      <c r="G105" s="2" t="s">
        <v>111</v>
      </c>
      <c r="H105" s="2" t="s">
        <v>101</v>
      </c>
      <c r="I105" s="2" t="s">
        <v>27</v>
      </c>
      <c r="J105" s="2" t="s">
        <v>52</v>
      </c>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baseColWidth="10" defaultColWidth="12.6640625" defaultRowHeight="15.75" customHeight="1" x14ac:dyDescent="0.15"/>
  <cols>
    <col min="1" max="1" width="42.5" customWidth="1"/>
  </cols>
  <sheetData>
    <row r="1" spans="1:26" x14ac:dyDescent="0.2">
      <c r="A1" s="5"/>
      <c r="B1" s="1"/>
      <c r="C1" s="5"/>
      <c r="D1" s="5"/>
      <c r="E1" s="5"/>
      <c r="F1" s="5"/>
      <c r="G1" s="5"/>
      <c r="H1" s="5"/>
      <c r="I1" s="5"/>
      <c r="J1" s="5"/>
      <c r="K1" s="5"/>
      <c r="L1" s="5"/>
      <c r="M1" s="5"/>
      <c r="N1" s="5"/>
      <c r="O1" s="5"/>
      <c r="P1" s="5"/>
      <c r="Q1" s="5"/>
      <c r="R1" s="5"/>
      <c r="S1" s="5"/>
      <c r="T1" s="5"/>
      <c r="U1" s="5"/>
      <c r="V1" s="5"/>
      <c r="W1" s="5"/>
      <c r="X1" s="5"/>
      <c r="Y1" s="5"/>
      <c r="Z1" s="5"/>
    </row>
    <row r="2" spans="1:26" x14ac:dyDescent="0.2">
      <c r="A2" s="6" t="s">
        <v>304</v>
      </c>
      <c r="B2" s="7"/>
      <c r="C2" s="5"/>
      <c r="D2" s="5"/>
      <c r="E2" s="5"/>
      <c r="F2" s="5"/>
      <c r="G2" s="5"/>
      <c r="H2" s="5"/>
      <c r="I2" s="5"/>
      <c r="J2" s="5"/>
      <c r="K2" s="5"/>
      <c r="L2" s="5"/>
      <c r="M2" s="5"/>
      <c r="N2" s="5"/>
      <c r="O2" s="5"/>
      <c r="P2" s="5"/>
      <c r="Q2" s="5"/>
      <c r="R2" s="5"/>
      <c r="S2" s="5"/>
      <c r="T2" s="5"/>
      <c r="U2" s="5"/>
      <c r="V2" s="5"/>
      <c r="W2" s="5"/>
      <c r="X2" s="5"/>
      <c r="Y2" s="5"/>
      <c r="Z2" s="5"/>
    </row>
    <row r="3" spans="1:26" x14ac:dyDescent="0.2">
      <c r="A3" s="5" t="s">
        <v>305</v>
      </c>
      <c r="B3" s="1">
        <f>COUNTIF('Demographics - Data'!A$3:A$105,A3)</f>
        <v>0</v>
      </c>
      <c r="C3" s="5"/>
      <c r="D3" s="5"/>
      <c r="E3" s="5"/>
      <c r="F3" s="5"/>
      <c r="G3" s="5"/>
      <c r="H3" s="5"/>
      <c r="I3" s="5"/>
      <c r="J3" s="5"/>
      <c r="K3" s="5"/>
      <c r="L3" s="5"/>
      <c r="M3" s="5"/>
      <c r="N3" s="5"/>
      <c r="O3" s="5"/>
      <c r="P3" s="5"/>
      <c r="Q3" s="5"/>
      <c r="R3" s="5"/>
      <c r="S3" s="5"/>
      <c r="T3" s="5"/>
      <c r="U3" s="5"/>
      <c r="V3" s="5"/>
      <c r="W3" s="5"/>
      <c r="X3" s="5"/>
      <c r="Y3" s="5"/>
      <c r="Z3" s="5"/>
    </row>
    <row r="4" spans="1:26" x14ac:dyDescent="0.2">
      <c r="A4" s="5" t="s">
        <v>10</v>
      </c>
      <c r="B4" s="1">
        <f>COUNTIF('Demographics - Data'!A$3:A$105,A4)</f>
        <v>32</v>
      </c>
      <c r="C4" s="5"/>
      <c r="D4" s="5"/>
      <c r="E4" s="5"/>
      <c r="F4" s="5"/>
      <c r="G4" s="5"/>
      <c r="H4" s="5"/>
      <c r="I4" s="5"/>
      <c r="J4" s="5"/>
      <c r="K4" s="5"/>
      <c r="L4" s="5"/>
      <c r="M4" s="5"/>
      <c r="N4" s="5"/>
      <c r="O4" s="5"/>
      <c r="P4" s="5"/>
      <c r="Q4" s="5"/>
      <c r="R4" s="5"/>
      <c r="S4" s="5"/>
      <c r="T4" s="5"/>
      <c r="U4" s="5"/>
      <c r="V4" s="5"/>
      <c r="W4" s="5"/>
      <c r="X4" s="5"/>
      <c r="Y4" s="5"/>
      <c r="Z4" s="5"/>
    </row>
    <row r="5" spans="1:26" x14ac:dyDescent="0.2">
      <c r="A5" s="5" t="s">
        <v>20</v>
      </c>
      <c r="B5" s="1">
        <f>COUNTIF('Demographics - Data'!A$3:A$105,A5)</f>
        <v>36</v>
      </c>
      <c r="C5" s="5"/>
      <c r="D5" s="5"/>
      <c r="E5" s="5"/>
      <c r="F5" s="5"/>
      <c r="G5" s="5"/>
      <c r="H5" s="5"/>
      <c r="I5" s="5"/>
      <c r="J5" s="5"/>
      <c r="K5" s="5"/>
      <c r="L5" s="5"/>
      <c r="M5" s="5"/>
      <c r="N5" s="5"/>
      <c r="O5" s="5"/>
      <c r="P5" s="5"/>
      <c r="Q5" s="5"/>
      <c r="R5" s="5"/>
      <c r="S5" s="5"/>
      <c r="T5" s="5"/>
      <c r="U5" s="5"/>
      <c r="V5" s="5"/>
      <c r="W5" s="5"/>
      <c r="X5" s="5"/>
      <c r="Y5" s="5"/>
      <c r="Z5" s="5"/>
    </row>
    <row r="6" spans="1:26" x14ac:dyDescent="0.2">
      <c r="A6" s="5" t="s">
        <v>44</v>
      </c>
      <c r="B6" s="1">
        <f>COUNTIF('Demographics - Data'!A$3:A$105,A6)</f>
        <v>24</v>
      </c>
      <c r="C6" s="5"/>
      <c r="D6" s="5"/>
      <c r="E6" s="5"/>
      <c r="F6" s="5"/>
      <c r="G6" s="5"/>
      <c r="H6" s="5"/>
      <c r="I6" s="5"/>
      <c r="J6" s="5"/>
      <c r="K6" s="5"/>
      <c r="L6" s="5"/>
      <c r="M6" s="5"/>
      <c r="N6" s="5"/>
      <c r="O6" s="5"/>
      <c r="P6" s="5"/>
      <c r="Q6" s="5"/>
      <c r="R6" s="5"/>
      <c r="S6" s="5"/>
      <c r="T6" s="5"/>
      <c r="U6" s="5"/>
      <c r="V6" s="5"/>
      <c r="W6" s="5"/>
      <c r="X6" s="5"/>
      <c r="Y6" s="5"/>
      <c r="Z6" s="5"/>
    </row>
    <row r="7" spans="1:26" x14ac:dyDescent="0.2">
      <c r="A7" s="5" t="s">
        <v>91</v>
      </c>
      <c r="B7" s="1">
        <f>COUNTIF('Demographics - Data'!A$3:A$105,A7)</f>
        <v>7</v>
      </c>
      <c r="C7" s="5"/>
      <c r="D7" s="5"/>
      <c r="E7" s="5"/>
      <c r="F7" s="5"/>
      <c r="G7" s="5"/>
      <c r="H7" s="5"/>
      <c r="I7" s="5"/>
      <c r="J7" s="5"/>
      <c r="K7" s="5"/>
      <c r="L7" s="5"/>
      <c r="M7" s="5"/>
      <c r="N7" s="5"/>
      <c r="O7" s="5"/>
      <c r="P7" s="5"/>
      <c r="Q7" s="5"/>
      <c r="R7" s="5"/>
      <c r="S7" s="5"/>
      <c r="T7" s="5"/>
      <c r="U7" s="5"/>
      <c r="V7" s="5"/>
      <c r="W7" s="5"/>
      <c r="X7" s="5"/>
      <c r="Y7" s="5"/>
      <c r="Z7" s="5"/>
    </row>
    <row r="8" spans="1:26" x14ac:dyDescent="0.2">
      <c r="A8" s="5" t="s">
        <v>40</v>
      </c>
      <c r="B8" s="1">
        <f>COUNTIF('Demographics - Data'!A$3:A$105,A8)</f>
        <v>3</v>
      </c>
      <c r="C8" s="5"/>
      <c r="D8" s="5"/>
      <c r="E8" s="5"/>
      <c r="F8" s="5"/>
      <c r="G8" s="5"/>
      <c r="H8" s="5"/>
      <c r="I8" s="5"/>
      <c r="J8" s="5"/>
      <c r="K8" s="5"/>
      <c r="L8" s="5"/>
      <c r="M8" s="5"/>
      <c r="N8" s="5"/>
      <c r="O8" s="5"/>
      <c r="P8" s="5"/>
      <c r="Q8" s="5"/>
      <c r="R8" s="5"/>
      <c r="S8" s="5"/>
      <c r="T8" s="5"/>
      <c r="U8" s="5"/>
      <c r="V8" s="5"/>
      <c r="W8" s="5"/>
      <c r="X8" s="5"/>
      <c r="Y8" s="5"/>
      <c r="Z8" s="5"/>
    </row>
    <row r="9" spans="1:26" x14ac:dyDescent="0.2">
      <c r="A9" s="5" t="s">
        <v>251</v>
      </c>
      <c r="B9" s="1">
        <f>COUNTIF('Demographics - Data'!A$3:A$105,A9)</f>
        <v>1</v>
      </c>
      <c r="C9" s="5"/>
      <c r="D9" s="5"/>
      <c r="E9" s="5"/>
      <c r="F9" s="5"/>
      <c r="G9" s="5"/>
      <c r="H9" s="5"/>
      <c r="I9" s="5"/>
      <c r="J9" s="5"/>
      <c r="K9" s="5"/>
      <c r="L9" s="5"/>
      <c r="M9" s="5"/>
      <c r="N9" s="5"/>
      <c r="O9" s="5"/>
      <c r="P9" s="5"/>
      <c r="Q9" s="5"/>
      <c r="R9" s="5"/>
      <c r="S9" s="5"/>
      <c r="T9" s="5"/>
      <c r="U9" s="5"/>
      <c r="V9" s="5"/>
      <c r="W9" s="5"/>
      <c r="X9" s="5"/>
      <c r="Y9" s="5"/>
      <c r="Z9" s="5"/>
    </row>
    <row r="10" spans="1:26" x14ac:dyDescent="0.2">
      <c r="A10" s="5" t="s">
        <v>306</v>
      </c>
      <c r="B10" s="1">
        <f>COUNTIF('Demographics - Data'!A$3:A$105,A10)</f>
        <v>0</v>
      </c>
      <c r="C10" s="5"/>
      <c r="D10" s="5"/>
      <c r="E10" s="5"/>
      <c r="F10" s="5"/>
      <c r="G10" s="5"/>
      <c r="H10" s="5"/>
      <c r="I10" s="5"/>
      <c r="J10" s="5"/>
      <c r="K10" s="5"/>
      <c r="L10" s="5"/>
      <c r="M10" s="5"/>
      <c r="N10" s="5"/>
      <c r="O10" s="5"/>
      <c r="P10" s="5"/>
      <c r="Q10" s="5"/>
      <c r="R10" s="5"/>
      <c r="S10" s="5"/>
      <c r="T10" s="5"/>
      <c r="U10" s="5"/>
      <c r="V10" s="5"/>
      <c r="W10" s="5"/>
      <c r="X10" s="5"/>
      <c r="Y10" s="5"/>
      <c r="Z10" s="5"/>
    </row>
    <row r="11" spans="1:26" x14ac:dyDescent="0.2">
      <c r="A11" s="5"/>
      <c r="B11" s="1"/>
      <c r="C11" s="5">
        <f>SUM(B3:B10)</f>
        <v>103</v>
      </c>
      <c r="D11" s="5"/>
      <c r="E11" s="5"/>
      <c r="F11" s="5"/>
      <c r="G11" s="5"/>
      <c r="H11" s="5"/>
      <c r="I11" s="5"/>
      <c r="J11" s="5"/>
      <c r="K11" s="5"/>
      <c r="L11" s="5"/>
      <c r="M11" s="5"/>
      <c r="N11" s="5"/>
      <c r="O11" s="5"/>
      <c r="P11" s="5"/>
      <c r="Q11" s="5"/>
      <c r="R11" s="5"/>
      <c r="S11" s="5"/>
      <c r="T11" s="5"/>
      <c r="U11" s="5"/>
      <c r="V11" s="5"/>
      <c r="W11" s="5"/>
      <c r="X11" s="5"/>
      <c r="Y11" s="5"/>
      <c r="Z11" s="5"/>
    </row>
    <row r="12" spans="1:26" x14ac:dyDescent="0.2">
      <c r="A12" s="5"/>
      <c r="B12" s="1"/>
      <c r="C12" s="5"/>
      <c r="D12" s="5"/>
      <c r="E12" s="5"/>
      <c r="F12" s="5"/>
      <c r="G12" s="5"/>
      <c r="H12" s="5"/>
      <c r="I12" s="5"/>
      <c r="J12" s="5"/>
      <c r="K12" s="5"/>
      <c r="L12" s="5"/>
      <c r="M12" s="5"/>
      <c r="N12" s="5"/>
      <c r="O12" s="5"/>
      <c r="P12" s="5"/>
      <c r="Q12" s="5"/>
      <c r="R12" s="5"/>
      <c r="S12" s="5"/>
      <c r="T12" s="5"/>
      <c r="U12" s="5"/>
      <c r="V12" s="5"/>
      <c r="W12" s="5"/>
      <c r="X12" s="5"/>
      <c r="Y12" s="5"/>
      <c r="Z12" s="5"/>
    </row>
    <row r="13" spans="1:26" x14ac:dyDescent="0.2">
      <c r="A13" s="6" t="s">
        <v>1</v>
      </c>
      <c r="B13" s="7"/>
      <c r="C13" s="5"/>
      <c r="D13" s="5"/>
      <c r="E13" s="5"/>
      <c r="F13" s="5"/>
      <c r="G13" s="5"/>
      <c r="H13" s="5"/>
      <c r="I13" s="5"/>
      <c r="J13" s="5"/>
      <c r="K13" s="5"/>
      <c r="L13" s="5"/>
      <c r="M13" s="5"/>
      <c r="N13" s="5"/>
      <c r="O13" s="5"/>
      <c r="P13" s="5"/>
      <c r="Q13" s="5"/>
      <c r="R13" s="5"/>
      <c r="S13" s="5"/>
      <c r="T13" s="5"/>
      <c r="U13" s="5"/>
      <c r="V13" s="5"/>
      <c r="W13" s="5"/>
      <c r="X13" s="5"/>
      <c r="Y13" s="5"/>
      <c r="Z13" s="5"/>
    </row>
    <row r="14" spans="1:26" x14ac:dyDescent="0.2">
      <c r="A14" s="5" t="s">
        <v>82</v>
      </c>
      <c r="B14" s="1">
        <f>COUNTIF('Demographics - Data'!B$3:B$105,A14)</f>
        <v>35</v>
      </c>
      <c r="C14" s="5"/>
      <c r="D14" s="5"/>
      <c r="E14" s="5"/>
      <c r="F14" s="5"/>
      <c r="G14" s="5"/>
      <c r="H14" s="5"/>
      <c r="I14" s="5"/>
      <c r="J14" s="5"/>
      <c r="K14" s="5"/>
      <c r="L14" s="5"/>
      <c r="M14" s="5"/>
      <c r="N14" s="5"/>
      <c r="O14" s="5"/>
      <c r="P14" s="5"/>
      <c r="Q14" s="5"/>
      <c r="R14" s="5"/>
      <c r="S14" s="5"/>
      <c r="T14" s="5"/>
      <c r="U14" s="5"/>
      <c r="V14" s="5"/>
      <c r="W14" s="5"/>
      <c r="X14" s="5"/>
      <c r="Y14" s="5"/>
      <c r="Z14" s="5"/>
    </row>
    <row r="15" spans="1:26" x14ac:dyDescent="0.2">
      <c r="A15" s="5" t="s">
        <v>11</v>
      </c>
      <c r="B15" s="1">
        <f>COUNTIF('Demographics - Data'!B$3:B$105,A15)</f>
        <v>68</v>
      </c>
      <c r="C15" s="5"/>
      <c r="D15" s="5"/>
      <c r="E15" s="5"/>
      <c r="F15" s="5"/>
      <c r="G15" s="5"/>
      <c r="H15" s="5"/>
      <c r="I15" s="5"/>
      <c r="J15" s="5"/>
      <c r="K15" s="5"/>
      <c r="L15" s="5"/>
      <c r="M15" s="5"/>
      <c r="N15" s="5"/>
      <c r="O15" s="5"/>
      <c r="P15" s="5"/>
      <c r="Q15" s="5"/>
      <c r="R15" s="5"/>
      <c r="S15" s="5"/>
      <c r="T15" s="5"/>
      <c r="U15" s="5"/>
      <c r="V15" s="5"/>
      <c r="W15" s="5"/>
      <c r="X15" s="5"/>
      <c r="Y15" s="5"/>
      <c r="Z15" s="5"/>
    </row>
    <row r="16" spans="1:26" x14ac:dyDescent="0.2">
      <c r="A16" s="5"/>
      <c r="B16" s="1"/>
      <c r="C16" s="5">
        <f>SUM(B14:B15)</f>
        <v>103</v>
      </c>
      <c r="D16" s="5"/>
      <c r="E16" s="5"/>
      <c r="F16" s="5"/>
      <c r="G16" s="5"/>
      <c r="H16" s="5"/>
      <c r="I16" s="5"/>
      <c r="J16" s="5"/>
      <c r="K16" s="5"/>
      <c r="L16" s="5"/>
      <c r="M16" s="5"/>
      <c r="N16" s="5"/>
      <c r="O16" s="5"/>
      <c r="P16" s="5"/>
      <c r="Q16" s="5"/>
      <c r="R16" s="5"/>
      <c r="S16" s="5"/>
      <c r="T16" s="5"/>
      <c r="U16" s="5"/>
      <c r="V16" s="5"/>
      <c r="W16" s="5"/>
      <c r="X16" s="5"/>
      <c r="Y16" s="5"/>
      <c r="Z16" s="5"/>
    </row>
    <row r="17" spans="1:26" x14ac:dyDescent="0.2">
      <c r="A17" s="5"/>
      <c r="B17" s="1"/>
      <c r="C17" s="5"/>
      <c r="D17" s="5"/>
      <c r="E17" s="5"/>
      <c r="F17" s="5"/>
      <c r="G17" s="5"/>
      <c r="H17" s="5"/>
      <c r="I17" s="5"/>
      <c r="J17" s="5"/>
      <c r="K17" s="5"/>
      <c r="L17" s="5"/>
      <c r="M17" s="5"/>
      <c r="N17" s="5"/>
      <c r="O17" s="5"/>
      <c r="P17" s="5"/>
      <c r="Q17" s="5"/>
      <c r="R17" s="5"/>
      <c r="S17" s="5"/>
      <c r="T17" s="5"/>
      <c r="U17" s="5"/>
      <c r="V17" s="5"/>
      <c r="W17" s="5"/>
      <c r="X17" s="5"/>
      <c r="Y17" s="5"/>
      <c r="Z17" s="5"/>
    </row>
    <row r="18" spans="1:26" x14ac:dyDescent="0.2">
      <c r="A18" s="6" t="s">
        <v>307</v>
      </c>
      <c r="B18" s="7"/>
      <c r="C18" s="5"/>
      <c r="D18" s="5"/>
      <c r="E18" s="5"/>
      <c r="F18" s="5"/>
      <c r="G18" s="5"/>
      <c r="H18" s="5"/>
      <c r="I18" s="5"/>
      <c r="J18" s="5"/>
      <c r="K18" s="5"/>
      <c r="L18" s="5"/>
      <c r="M18" s="5"/>
      <c r="N18" s="5"/>
      <c r="O18" s="5"/>
      <c r="P18" s="5"/>
      <c r="Q18" s="5"/>
      <c r="R18" s="5"/>
      <c r="S18" s="5"/>
      <c r="T18" s="5"/>
      <c r="U18" s="5"/>
      <c r="V18" s="5"/>
      <c r="W18" s="5"/>
      <c r="X18" s="5"/>
      <c r="Y18" s="5"/>
      <c r="Z18" s="5"/>
    </row>
    <row r="19" spans="1:26" x14ac:dyDescent="0.2">
      <c r="A19" s="5" t="s">
        <v>223</v>
      </c>
      <c r="B19" s="1">
        <f>COUNTIF('Demographics - Data'!C$3:C$105,A19)</f>
        <v>2</v>
      </c>
      <c r="C19" s="5"/>
      <c r="D19" s="5"/>
      <c r="E19" s="5"/>
      <c r="F19" s="5"/>
      <c r="G19" s="5"/>
      <c r="H19" s="5"/>
      <c r="I19" s="5"/>
      <c r="J19" s="5"/>
      <c r="K19" s="5"/>
      <c r="L19" s="5"/>
      <c r="M19" s="5"/>
      <c r="N19" s="5"/>
      <c r="O19" s="5"/>
      <c r="P19" s="5"/>
      <c r="Q19" s="5"/>
      <c r="R19" s="5"/>
      <c r="S19" s="5"/>
      <c r="T19" s="5"/>
      <c r="U19" s="5"/>
      <c r="V19" s="5"/>
      <c r="W19" s="5"/>
      <c r="X19" s="5"/>
      <c r="Y19" s="5"/>
      <c r="Z19" s="5"/>
    </row>
    <row r="20" spans="1:26" x14ac:dyDescent="0.2">
      <c r="A20" s="5" t="s">
        <v>198</v>
      </c>
      <c r="B20" s="1">
        <f>COUNTIF('Demographics - Data'!C$3:C$105,A20)</f>
        <v>1</v>
      </c>
      <c r="C20" s="5"/>
      <c r="D20" s="5"/>
      <c r="E20" s="5"/>
      <c r="F20" s="5"/>
      <c r="G20" s="5"/>
      <c r="H20" s="5"/>
      <c r="I20" s="5"/>
      <c r="J20" s="5"/>
      <c r="K20" s="5"/>
      <c r="L20" s="5"/>
      <c r="M20" s="5"/>
      <c r="N20" s="5"/>
      <c r="O20" s="5"/>
      <c r="P20" s="5"/>
      <c r="Q20" s="5"/>
      <c r="R20" s="5"/>
      <c r="S20" s="5"/>
      <c r="T20" s="5"/>
      <c r="U20" s="5"/>
      <c r="V20" s="5"/>
      <c r="W20" s="5"/>
      <c r="X20" s="5"/>
      <c r="Y20" s="5"/>
      <c r="Z20" s="5"/>
    </row>
    <row r="21" spans="1:26" x14ac:dyDescent="0.2">
      <c r="A21" s="5" t="s">
        <v>29</v>
      </c>
      <c r="B21" s="1">
        <f>COUNTIF('Demographics - Data'!C$3:C$105,A21)</f>
        <v>10</v>
      </c>
      <c r="C21" s="5"/>
      <c r="D21" s="5"/>
      <c r="E21" s="5"/>
      <c r="F21" s="5"/>
      <c r="G21" s="5"/>
      <c r="H21" s="5"/>
      <c r="I21" s="5"/>
      <c r="J21" s="5"/>
      <c r="K21" s="5"/>
      <c r="L21" s="5"/>
      <c r="M21" s="5"/>
      <c r="N21" s="5"/>
      <c r="O21" s="5"/>
      <c r="P21" s="5"/>
      <c r="Q21" s="5"/>
      <c r="R21" s="5"/>
      <c r="S21" s="5"/>
      <c r="T21" s="5"/>
      <c r="U21" s="5"/>
      <c r="V21" s="5"/>
      <c r="W21" s="5"/>
      <c r="X21" s="5"/>
      <c r="Y21" s="5"/>
      <c r="Z21" s="5"/>
    </row>
    <row r="22" spans="1:26" x14ac:dyDescent="0.2">
      <c r="A22" s="5" t="s">
        <v>102</v>
      </c>
      <c r="B22" s="1">
        <f>COUNTIF('Demographics - Data'!C$3:C$105,A22)</f>
        <v>3</v>
      </c>
      <c r="C22" s="5"/>
      <c r="D22" s="5"/>
      <c r="E22" s="5"/>
      <c r="F22" s="5"/>
      <c r="G22" s="5"/>
      <c r="H22" s="5"/>
      <c r="I22" s="5"/>
      <c r="J22" s="5"/>
      <c r="K22" s="5"/>
      <c r="L22" s="5"/>
      <c r="M22" s="5"/>
      <c r="N22" s="5"/>
      <c r="O22" s="5"/>
      <c r="P22" s="5"/>
      <c r="Q22" s="5"/>
      <c r="R22" s="5"/>
      <c r="S22" s="5"/>
      <c r="T22" s="5"/>
      <c r="U22" s="5"/>
      <c r="V22" s="5"/>
      <c r="W22" s="5"/>
      <c r="X22" s="5"/>
      <c r="Y22" s="5"/>
      <c r="Z22" s="5"/>
    </row>
    <row r="23" spans="1:26" x14ac:dyDescent="0.2">
      <c r="A23" s="5" t="s">
        <v>147</v>
      </c>
      <c r="B23" s="1">
        <f>COUNTIF('Demographics - Data'!C$3:C$105,A23)</f>
        <v>3</v>
      </c>
      <c r="C23" s="5"/>
      <c r="D23" s="5"/>
      <c r="E23" s="5"/>
      <c r="F23" s="5"/>
      <c r="G23" s="5"/>
      <c r="H23" s="5"/>
      <c r="I23" s="5"/>
      <c r="J23" s="5"/>
      <c r="K23" s="5"/>
      <c r="L23" s="5"/>
      <c r="M23" s="5"/>
      <c r="N23" s="5"/>
      <c r="O23" s="5"/>
      <c r="P23" s="5"/>
      <c r="Q23" s="5"/>
      <c r="R23" s="5"/>
      <c r="S23" s="5"/>
      <c r="T23" s="5"/>
      <c r="U23" s="5"/>
      <c r="V23" s="5"/>
      <c r="W23" s="5"/>
      <c r="X23" s="5"/>
      <c r="Y23" s="5"/>
      <c r="Z23" s="5"/>
    </row>
    <row r="24" spans="1:26" x14ac:dyDescent="0.2">
      <c r="A24" s="5" t="s">
        <v>176</v>
      </c>
      <c r="B24" s="1">
        <f>COUNTIF('Demographics - Data'!C$3:C$105,A24)</f>
        <v>4</v>
      </c>
      <c r="C24" s="5"/>
      <c r="D24" s="5"/>
      <c r="E24" s="5"/>
      <c r="F24" s="5"/>
      <c r="G24" s="5"/>
      <c r="H24" s="5"/>
      <c r="I24" s="5"/>
      <c r="J24" s="5"/>
      <c r="K24" s="5"/>
      <c r="L24" s="5"/>
      <c r="M24" s="5"/>
      <c r="N24" s="5"/>
      <c r="O24" s="5"/>
      <c r="P24" s="5"/>
      <c r="Q24" s="5"/>
      <c r="R24" s="5"/>
      <c r="S24" s="5"/>
      <c r="T24" s="5"/>
      <c r="U24" s="5"/>
      <c r="V24" s="5"/>
      <c r="W24" s="5"/>
      <c r="X24" s="5"/>
      <c r="Y24" s="5"/>
      <c r="Z24" s="5"/>
    </row>
    <row r="25" spans="1:26" x14ac:dyDescent="0.2">
      <c r="A25" s="5" t="s">
        <v>129</v>
      </c>
      <c r="B25" s="1">
        <f>COUNTIF('Demographics - Data'!C$3:C$105,A25)</f>
        <v>2</v>
      </c>
      <c r="C25" s="5"/>
      <c r="D25" s="5"/>
      <c r="E25" s="5"/>
      <c r="F25" s="5"/>
      <c r="G25" s="5"/>
      <c r="H25" s="5"/>
      <c r="I25" s="5"/>
      <c r="J25" s="5"/>
      <c r="K25" s="5"/>
      <c r="L25" s="5"/>
      <c r="M25" s="5"/>
      <c r="N25" s="5"/>
      <c r="O25" s="5"/>
      <c r="P25" s="5"/>
      <c r="Q25" s="5"/>
      <c r="R25" s="5"/>
      <c r="S25" s="5"/>
      <c r="T25" s="5"/>
      <c r="U25" s="5"/>
      <c r="V25" s="5"/>
      <c r="W25" s="5"/>
      <c r="X25" s="5"/>
      <c r="Y25" s="5"/>
      <c r="Z25" s="5"/>
    </row>
    <row r="26" spans="1:26" x14ac:dyDescent="0.2">
      <c r="A26" s="5" t="s">
        <v>53</v>
      </c>
      <c r="B26" s="1">
        <f>COUNTIF('Demographics - Data'!C$3:C$105,A26)</f>
        <v>2</v>
      </c>
      <c r="C26" s="5"/>
      <c r="D26" s="5"/>
      <c r="E26" s="5"/>
      <c r="F26" s="5"/>
      <c r="G26" s="5"/>
      <c r="H26" s="5"/>
      <c r="I26" s="5"/>
      <c r="J26" s="5"/>
      <c r="K26" s="5"/>
      <c r="L26" s="5"/>
      <c r="M26" s="5"/>
      <c r="N26" s="5"/>
      <c r="O26" s="5"/>
      <c r="P26" s="5"/>
      <c r="Q26" s="5"/>
      <c r="R26" s="5"/>
      <c r="S26" s="5"/>
      <c r="T26" s="5"/>
      <c r="U26" s="5"/>
      <c r="V26" s="5"/>
      <c r="W26" s="5"/>
      <c r="X26" s="5"/>
      <c r="Y26" s="5"/>
      <c r="Z26" s="5"/>
    </row>
    <row r="27" spans="1:26" x14ac:dyDescent="0.2">
      <c r="A27" s="5" t="s">
        <v>118</v>
      </c>
      <c r="B27" s="1">
        <f>COUNTIF('Demographics - Data'!C$3:C$105,A27)</f>
        <v>1</v>
      </c>
      <c r="C27" s="5"/>
      <c r="D27" s="5"/>
      <c r="E27" s="5"/>
      <c r="F27" s="5"/>
      <c r="G27" s="5"/>
      <c r="H27" s="5"/>
      <c r="I27" s="5"/>
      <c r="J27" s="5"/>
      <c r="K27" s="5"/>
      <c r="L27" s="5"/>
      <c r="M27" s="5"/>
      <c r="N27" s="5"/>
      <c r="O27" s="5"/>
      <c r="P27" s="5"/>
      <c r="Q27" s="5"/>
      <c r="R27" s="5"/>
      <c r="S27" s="5"/>
      <c r="T27" s="5"/>
      <c r="U27" s="5"/>
      <c r="V27" s="5"/>
      <c r="W27" s="5"/>
      <c r="X27" s="5"/>
      <c r="Y27" s="5"/>
      <c r="Z27" s="5"/>
    </row>
    <row r="28" spans="1:26" x14ac:dyDescent="0.2">
      <c r="A28" s="5" t="s">
        <v>58</v>
      </c>
      <c r="B28" s="1">
        <f>COUNTIF('Demographics - Data'!C$3:C$105,A28)</f>
        <v>8</v>
      </c>
      <c r="C28" s="5"/>
      <c r="D28" s="5"/>
      <c r="E28" s="5"/>
      <c r="F28" s="5"/>
      <c r="G28" s="5"/>
      <c r="H28" s="5"/>
      <c r="I28" s="5"/>
      <c r="J28" s="5"/>
      <c r="K28" s="5"/>
      <c r="L28" s="5"/>
      <c r="M28" s="5"/>
      <c r="N28" s="5"/>
      <c r="O28" s="5"/>
      <c r="P28" s="5"/>
      <c r="Q28" s="5"/>
      <c r="R28" s="5"/>
      <c r="S28" s="5"/>
      <c r="T28" s="5"/>
      <c r="U28" s="5"/>
      <c r="V28" s="5"/>
      <c r="W28" s="5"/>
      <c r="X28" s="5"/>
      <c r="Y28" s="5"/>
      <c r="Z28" s="5"/>
    </row>
    <row r="29" spans="1:26" x14ac:dyDescent="0.2">
      <c r="A29" s="5" t="s">
        <v>12</v>
      </c>
      <c r="B29" s="1">
        <f>COUNTIF('Demographics - Data'!C$3:C$105,A29)</f>
        <v>4</v>
      </c>
      <c r="C29" s="5"/>
      <c r="D29" s="5"/>
      <c r="E29" s="5"/>
      <c r="F29" s="5"/>
      <c r="G29" s="5"/>
      <c r="H29" s="5"/>
      <c r="I29" s="5"/>
      <c r="J29" s="5"/>
      <c r="K29" s="5"/>
      <c r="L29" s="5"/>
      <c r="M29" s="5"/>
      <c r="N29" s="5"/>
      <c r="O29" s="5"/>
      <c r="P29" s="5"/>
      <c r="Q29" s="5"/>
      <c r="R29" s="5"/>
      <c r="S29" s="5"/>
      <c r="T29" s="5"/>
      <c r="U29" s="5"/>
      <c r="V29" s="5"/>
      <c r="W29" s="5"/>
      <c r="X29" s="5"/>
      <c r="Y29" s="5"/>
      <c r="Z29" s="5"/>
    </row>
    <row r="30" spans="1:26" x14ac:dyDescent="0.2">
      <c r="A30" s="5" t="s">
        <v>75</v>
      </c>
      <c r="B30" s="1">
        <f>COUNTIF('Demographics - Data'!C$3:C$105,A30)</f>
        <v>1</v>
      </c>
      <c r="C30" s="5"/>
      <c r="D30" s="5"/>
      <c r="E30" s="5"/>
      <c r="F30" s="5"/>
      <c r="G30" s="5"/>
      <c r="H30" s="5"/>
      <c r="I30" s="5"/>
      <c r="J30" s="5"/>
      <c r="K30" s="5"/>
      <c r="L30" s="5"/>
      <c r="M30" s="5"/>
      <c r="N30" s="5"/>
      <c r="O30" s="5"/>
      <c r="P30" s="5"/>
      <c r="Q30" s="5"/>
      <c r="R30" s="5"/>
      <c r="S30" s="5"/>
      <c r="T30" s="5"/>
      <c r="U30" s="5"/>
      <c r="V30" s="5"/>
      <c r="W30" s="5"/>
      <c r="X30" s="5"/>
      <c r="Y30" s="5"/>
      <c r="Z30" s="5"/>
    </row>
    <row r="31" spans="1:26" x14ac:dyDescent="0.2">
      <c r="A31" s="5" t="s">
        <v>21</v>
      </c>
      <c r="B31" s="1">
        <f>COUNTIF('Demographics - Data'!C$3:C$105,A31)</f>
        <v>7</v>
      </c>
      <c r="C31" s="5"/>
      <c r="D31" s="5"/>
      <c r="E31" s="5"/>
      <c r="F31" s="5"/>
      <c r="G31" s="5"/>
      <c r="H31" s="5"/>
      <c r="I31" s="5"/>
      <c r="J31" s="5"/>
      <c r="K31" s="5"/>
      <c r="L31" s="5"/>
      <c r="M31" s="5"/>
      <c r="N31" s="5"/>
      <c r="O31" s="5"/>
      <c r="P31" s="5"/>
      <c r="Q31" s="5"/>
      <c r="R31" s="5"/>
      <c r="S31" s="5"/>
      <c r="T31" s="5"/>
      <c r="U31" s="5"/>
      <c r="V31" s="5"/>
      <c r="W31" s="5"/>
      <c r="X31" s="5"/>
      <c r="Y31" s="5"/>
      <c r="Z31" s="5"/>
    </row>
    <row r="32" spans="1:26" x14ac:dyDescent="0.2">
      <c r="A32" s="5" t="s">
        <v>79</v>
      </c>
      <c r="B32" s="1">
        <f>COUNTIF('Demographics - Data'!C$3:C$105,A32)</f>
        <v>1</v>
      </c>
      <c r="C32" s="5"/>
      <c r="D32" s="5"/>
      <c r="E32" s="5"/>
      <c r="F32" s="5"/>
      <c r="G32" s="5"/>
      <c r="H32" s="5"/>
      <c r="I32" s="5"/>
      <c r="J32" s="5"/>
      <c r="K32" s="5"/>
      <c r="L32" s="5"/>
      <c r="M32" s="5"/>
      <c r="N32" s="5"/>
      <c r="O32" s="5"/>
      <c r="P32" s="5"/>
      <c r="Q32" s="5"/>
      <c r="R32" s="5"/>
      <c r="S32" s="5"/>
      <c r="T32" s="5"/>
      <c r="U32" s="5"/>
      <c r="V32" s="5"/>
      <c r="W32" s="5"/>
      <c r="X32" s="5"/>
      <c r="Y32" s="5"/>
      <c r="Z32" s="5"/>
    </row>
    <row r="33" spans="1:26" x14ac:dyDescent="0.2">
      <c r="A33" s="5" t="s">
        <v>71</v>
      </c>
      <c r="B33" s="1">
        <f>COUNTIF('Demographics - Data'!C$3:C$105,A33)</f>
        <v>5</v>
      </c>
      <c r="C33" s="5"/>
      <c r="D33" s="5"/>
      <c r="E33" s="5"/>
      <c r="F33" s="5"/>
      <c r="G33" s="5"/>
      <c r="H33" s="5"/>
      <c r="I33" s="5"/>
      <c r="J33" s="5"/>
      <c r="K33" s="5"/>
      <c r="L33" s="5"/>
      <c r="M33" s="5"/>
      <c r="N33" s="5"/>
      <c r="O33" s="5"/>
      <c r="P33" s="5"/>
      <c r="Q33" s="5"/>
      <c r="R33" s="5"/>
      <c r="S33" s="5"/>
      <c r="T33" s="5"/>
      <c r="U33" s="5"/>
      <c r="V33" s="5"/>
      <c r="W33" s="5"/>
      <c r="X33" s="5"/>
      <c r="Y33" s="5"/>
      <c r="Z33" s="5"/>
    </row>
    <row r="34" spans="1:26" x14ac:dyDescent="0.2">
      <c r="A34" s="8" t="s">
        <v>211</v>
      </c>
      <c r="B34" s="9">
        <f>COUNTIF('Demographics - Data'!C$3:C$105,A34)</f>
        <v>1</v>
      </c>
      <c r="C34" s="5"/>
      <c r="D34" s="5"/>
      <c r="E34" s="5"/>
      <c r="F34" s="5"/>
      <c r="G34" s="5"/>
      <c r="H34" s="5"/>
      <c r="I34" s="5"/>
      <c r="J34" s="5"/>
      <c r="K34" s="5"/>
      <c r="L34" s="5"/>
      <c r="M34" s="5"/>
      <c r="N34" s="5"/>
      <c r="O34" s="5"/>
      <c r="P34" s="5"/>
      <c r="Q34" s="5"/>
      <c r="R34" s="5"/>
      <c r="S34" s="5"/>
      <c r="T34" s="5"/>
      <c r="U34" s="5"/>
      <c r="V34" s="5"/>
      <c r="W34" s="5"/>
      <c r="X34" s="5"/>
      <c r="Y34" s="5"/>
      <c r="Z34" s="5"/>
    </row>
    <row r="35" spans="1:26" x14ac:dyDescent="0.2">
      <c r="A35" s="5" t="s">
        <v>235</v>
      </c>
      <c r="B35" s="1">
        <f>COUNTIF('Demographics - Data'!C$3:C$105,A35)</f>
        <v>2</v>
      </c>
      <c r="C35" s="5"/>
      <c r="D35" s="5"/>
      <c r="E35" s="5"/>
      <c r="F35" s="5"/>
      <c r="G35" s="5"/>
      <c r="H35" s="5"/>
      <c r="I35" s="5"/>
      <c r="J35" s="5"/>
      <c r="K35" s="5"/>
      <c r="L35" s="5"/>
      <c r="M35" s="5"/>
      <c r="N35" s="5"/>
      <c r="O35" s="5"/>
      <c r="P35" s="5"/>
      <c r="Q35" s="5"/>
      <c r="R35" s="5"/>
      <c r="S35" s="5"/>
      <c r="T35" s="5"/>
      <c r="U35" s="5"/>
      <c r="V35" s="5"/>
      <c r="W35" s="5"/>
      <c r="X35" s="5"/>
      <c r="Y35" s="5"/>
      <c r="Z35" s="5"/>
    </row>
    <row r="36" spans="1:26" x14ac:dyDescent="0.2">
      <c r="A36" s="5" t="s">
        <v>87</v>
      </c>
      <c r="B36" s="1">
        <f>COUNTIF('Demographics - Data'!C$3:C$105,A36)</f>
        <v>11</v>
      </c>
      <c r="C36" s="5"/>
      <c r="D36" s="5"/>
      <c r="E36" s="5"/>
      <c r="F36" s="5"/>
      <c r="G36" s="5"/>
      <c r="H36" s="5"/>
      <c r="I36" s="5"/>
      <c r="J36" s="5"/>
      <c r="K36" s="5"/>
      <c r="L36" s="5"/>
      <c r="M36" s="5"/>
      <c r="N36" s="5"/>
      <c r="O36" s="5"/>
      <c r="P36" s="5"/>
      <c r="Q36" s="5"/>
      <c r="R36" s="5"/>
      <c r="S36" s="5"/>
      <c r="T36" s="5"/>
      <c r="U36" s="5"/>
      <c r="V36" s="5"/>
      <c r="W36" s="5"/>
      <c r="X36" s="5"/>
      <c r="Y36" s="5"/>
      <c r="Z36" s="5"/>
    </row>
    <row r="37" spans="1:26" x14ac:dyDescent="0.2">
      <c r="A37" s="5" t="s">
        <v>83</v>
      </c>
      <c r="B37" s="1">
        <f>COUNTIF('Demographics - Data'!C$3:C$105,A37)</f>
        <v>35</v>
      </c>
      <c r="C37" s="5"/>
      <c r="D37" s="5"/>
      <c r="E37" s="5"/>
      <c r="F37" s="5"/>
      <c r="G37" s="5"/>
      <c r="H37" s="5"/>
      <c r="I37" s="5"/>
      <c r="J37" s="5"/>
      <c r="K37" s="5"/>
      <c r="L37" s="5"/>
      <c r="M37" s="5"/>
      <c r="N37" s="5"/>
      <c r="O37" s="5"/>
      <c r="P37" s="5"/>
      <c r="Q37" s="5"/>
      <c r="R37" s="5"/>
      <c r="S37" s="5"/>
      <c r="T37" s="5"/>
      <c r="U37" s="5"/>
      <c r="V37" s="5"/>
      <c r="W37" s="5"/>
      <c r="X37" s="5"/>
      <c r="Y37" s="5"/>
      <c r="Z37" s="5"/>
    </row>
    <row r="38" spans="1:26" x14ac:dyDescent="0.2">
      <c r="A38" s="5"/>
      <c r="B38" s="1"/>
      <c r="C38" s="5">
        <f>SUM(B19:B37)</f>
        <v>103</v>
      </c>
      <c r="D38" s="5"/>
      <c r="E38" s="5"/>
      <c r="F38" s="5"/>
      <c r="G38" s="5"/>
      <c r="H38" s="5"/>
      <c r="I38" s="5"/>
      <c r="J38" s="5"/>
      <c r="K38" s="5"/>
      <c r="L38" s="5"/>
      <c r="M38" s="5"/>
      <c r="N38" s="5"/>
      <c r="O38" s="5"/>
      <c r="P38" s="5"/>
      <c r="Q38" s="5"/>
      <c r="R38" s="5"/>
      <c r="S38" s="5"/>
      <c r="T38" s="5"/>
      <c r="U38" s="5"/>
      <c r="V38" s="5"/>
      <c r="W38" s="5"/>
      <c r="X38" s="5"/>
      <c r="Y38" s="5"/>
      <c r="Z38" s="5"/>
    </row>
    <row r="39" spans="1:26" x14ac:dyDescent="0.2">
      <c r="A39" s="5"/>
      <c r="B39" s="1"/>
      <c r="C39" s="5"/>
      <c r="D39" s="5"/>
      <c r="E39" s="5"/>
      <c r="F39" s="5"/>
      <c r="G39" s="5"/>
      <c r="H39" s="5"/>
      <c r="I39" s="5"/>
      <c r="J39" s="5"/>
      <c r="K39" s="5"/>
      <c r="L39" s="5"/>
      <c r="M39" s="5"/>
      <c r="N39" s="5"/>
      <c r="O39" s="5"/>
      <c r="P39" s="5"/>
      <c r="Q39" s="5"/>
      <c r="R39" s="5"/>
      <c r="S39" s="5"/>
      <c r="T39" s="5"/>
      <c r="U39" s="5"/>
      <c r="V39" s="5"/>
      <c r="W39" s="5"/>
      <c r="X39" s="5"/>
      <c r="Y39" s="5"/>
      <c r="Z39" s="5"/>
    </row>
    <row r="40" spans="1:26" x14ac:dyDescent="0.2">
      <c r="A40" s="6" t="s">
        <v>308</v>
      </c>
      <c r="B40" s="7"/>
      <c r="C40" s="5"/>
      <c r="D40" s="5"/>
      <c r="E40" s="5"/>
      <c r="F40" s="5"/>
      <c r="G40" s="5"/>
      <c r="H40" s="5"/>
      <c r="I40" s="5"/>
      <c r="J40" s="5"/>
      <c r="K40" s="5"/>
      <c r="L40" s="5"/>
      <c r="M40" s="5"/>
      <c r="N40" s="5"/>
      <c r="O40" s="5"/>
      <c r="P40" s="5"/>
      <c r="Q40" s="5"/>
      <c r="R40" s="5"/>
      <c r="S40" s="5"/>
      <c r="T40" s="5"/>
      <c r="U40" s="5"/>
      <c r="V40" s="5"/>
      <c r="W40" s="5"/>
      <c r="X40" s="5"/>
      <c r="Y40" s="5"/>
      <c r="Z40" s="5"/>
    </row>
    <row r="41" spans="1:26" x14ac:dyDescent="0.2">
      <c r="A41" s="10" t="s">
        <v>84</v>
      </c>
      <c r="B41" s="1">
        <f>COUNTIF('Demographics - Data'!D$3:D$105,A41)</f>
        <v>3</v>
      </c>
      <c r="C41" s="5"/>
      <c r="D41" s="5"/>
      <c r="E41" s="5"/>
      <c r="F41" s="5"/>
      <c r="G41" s="5"/>
      <c r="H41" s="5"/>
      <c r="I41" s="5"/>
      <c r="J41" s="5"/>
      <c r="K41" s="5"/>
      <c r="L41" s="5"/>
      <c r="M41" s="5"/>
      <c r="N41" s="5"/>
      <c r="O41" s="5"/>
      <c r="P41" s="5"/>
      <c r="Q41" s="5"/>
      <c r="R41" s="5"/>
      <c r="S41" s="5"/>
      <c r="T41" s="5"/>
      <c r="U41" s="5"/>
      <c r="V41" s="5"/>
      <c r="W41" s="5"/>
      <c r="X41" s="5"/>
      <c r="Y41" s="5"/>
      <c r="Z41" s="5"/>
    </row>
    <row r="42" spans="1:26" x14ac:dyDescent="0.2">
      <c r="A42" s="10" t="s">
        <v>188</v>
      </c>
      <c r="B42" s="1">
        <f>COUNTIF('Demographics - Data'!D$3:D$105,A42)</f>
        <v>3</v>
      </c>
      <c r="C42" s="5"/>
      <c r="D42" s="5"/>
      <c r="E42" s="5"/>
      <c r="F42" s="5"/>
      <c r="G42" s="5"/>
      <c r="H42" s="5"/>
      <c r="I42" s="5"/>
      <c r="J42" s="5"/>
      <c r="K42" s="5"/>
      <c r="L42" s="5"/>
      <c r="M42" s="5"/>
      <c r="N42" s="5"/>
      <c r="O42" s="5"/>
      <c r="P42" s="5"/>
      <c r="Q42" s="5"/>
      <c r="R42" s="5"/>
      <c r="S42" s="5"/>
      <c r="T42" s="5"/>
      <c r="U42" s="5"/>
      <c r="V42" s="5"/>
      <c r="W42" s="5"/>
      <c r="X42" s="5"/>
      <c r="Y42" s="5"/>
      <c r="Z42" s="5"/>
    </row>
    <row r="43" spans="1:26" x14ac:dyDescent="0.2">
      <c r="A43" s="11" t="s">
        <v>13</v>
      </c>
      <c r="B43" s="1">
        <f>COUNTIF('Demographics - Data'!D$3:D$105,A43)</f>
        <v>35</v>
      </c>
      <c r="C43" s="5"/>
      <c r="D43" s="5"/>
      <c r="E43" s="5"/>
      <c r="F43" s="5"/>
      <c r="G43" s="5"/>
      <c r="H43" s="5"/>
      <c r="I43" s="5"/>
      <c r="J43" s="5"/>
      <c r="K43" s="5"/>
      <c r="L43" s="5"/>
      <c r="M43" s="5"/>
      <c r="N43" s="5"/>
      <c r="O43" s="5"/>
      <c r="P43" s="5"/>
      <c r="Q43" s="5"/>
      <c r="R43" s="5"/>
      <c r="S43" s="5"/>
      <c r="T43" s="5"/>
      <c r="U43" s="5"/>
      <c r="V43" s="5"/>
      <c r="W43" s="5"/>
      <c r="X43" s="5"/>
      <c r="Y43" s="5"/>
      <c r="Z43" s="5"/>
    </row>
    <row r="44" spans="1:26" x14ac:dyDescent="0.2">
      <c r="A44" s="11" t="s">
        <v>22</v>
      </c>
      <c r="B44" s="1">
        <f>COUNTIF('Demographics - Data'!D$3:D$105,A44)</f>
        <v>32</v>
      </c>
      <c r="C44" s="5"/>
      <c r="D44" s="5"/>
      <c r="E44" s="5"/>
      <c r="F44" s="5"/>
      <c r="G44" s="5"/>
      <c r="H44" s="5"/>
      <c r="I44" s="5"/>
      <c r="J44" s="5"/>
      <c r="K44" s="5"/>
      <c r="L44" s="5"/>
      <c r="M44" s="5"/>
      <c r="N44" s="5"/>
      <c r="O44" s="5"/>
      <c r="P44" s="5"/>
      <c r="Q44" s="5"/>
      <c r="R44" s="5"/>
      <c r="S44" s="5"/>
      <c r="T44" s="5"/>
      <c r="U44" s="5"/>
      <c r="V44" s="5"/>
      <c r="W44" s="5"/>
      <c r="X44" s="5"/>
      <c r="Y44" s="5"/>
      <c r="Z44" s="5"/>
    </row>
    <row r="45" spans="1:26" x14ac:dyDescent="0.2">
      <c r="A45" s="11" t="s">
        <v>33</v>
      </c>
      <c r="B45" s="1">
        <f>COUNTIF('Demographics - Data'!D$3:D$105,A45)</f>
        <v>14</v>
      </c>
      <c r="C45" s="5"/>
      <c r="D45" s="5"/>
      <c r="E45" s="5"/>
      <c r="F45" s="5"/>
      <c r="G45" s="5"/>
      <c r="H45" s="5"/>
      <c r="I45" s="5"/>
      <c r="J45" s="5"/>
      <c r="K45" s="5"/>
      <c r="L45" s="5"/>
      <c r="M45" s="5"/>
      <c r="N45" s="5"/>
      <c r="O45" s="5"/>
      <c r="P45" s="5"/>
      <c r="Q45" s="5"/>
      <c r="R45" s="5"/>
      <c r="S45" s="5"/>
      <c r="T45" s="5"/>
      <c r="U45" s="5"/>
      <c r="V45" s="5"/>
      <c r="W45" s="5"/>
      <c r="X45" s="5"/>
      <c r="Y45" s="5"/>
      <c r="Z45" s="5"/>
    </row>
    <row r="46" spans="1:26" x14ac:dyDescent="0.2">
      <c r="A46" s="10" t="s">
        <v>108</v>
      </c>
      <c r="B46" s="1">
        <f>COUNTIF('Demographics - Data'!D$3:D$105,A46)</f>
        <v>8</v>
      </c>
      <c r="C46" s="5"/>
      <c r="D46" s="5"/>
      <c r="E46" s="5"/>
      <c r="F46" s="5"/>
      <c r="G46" s="5"/>
      <c r="H46" s="5"/>
      <c r="I46" s="5"/>
      <c r="J46" s="5"/>
      <c r="K46" s="5"/>
      <c r="L46" s="5"/>
      <c r="M46" s="5"/>
      <c r="N46" s="5"/>
      <c r="O46" s="5"/>
      <c r="P46" s="5"/>
      <c r="Q46" s="5"/>
      <c r="R46" s="5"/>
      <c r="S46" s="5"/>
      <c r="T46" s="5"/>
      <c r="U46" s="5"/>
      <c r="V46" s="5"/>
      <c r="W46" s="5"/>
      <c r="X46" s="5"/>
      <c r="Y46" s="5"/>
      <c r="Z46" s="5"/>
    </row>
    <row r="47" spans="1:26" x14ac:dyDescent="0.2">
      <c r="A47" s="10" t="s">
        <v>45</v>
      </c>
      <c r="B47" s="1">
        <f>COUNTIF('Demographics - Data'!D$3:D$105,A47)</f>
        <v>5</v>
      </c>
      <c r="C47" s="5"/>
      <c r="D47" s="5"/>
      <c r="E47" s="5"/>
      <c r="F47" s="5"/>
      <c r="G47" s="5"/>
      <c r="H47" s="5"/>
      <c r="I47" s="5"/>
      <c r="J47" s="5"/>
      <c r="K47" s="5"/>
      <c r="L47" s="5"/>
      <c r="M47" s="5"/>
      <c r="N47" s="5"/>
      <c r="O47" s="5"/>
      <c r="P47" s="5"/>
      <c r="Q47" s="5"/>
      <c r="R47" s="5"/>
      <c r="S47" s="5"/>
      <c r="T47" s="5"/>
      <c r="U47" s="5"/>
      <c r="V47" s="5"/>
      <c r="W47" s="5"/>
      <c r="X47" s="5"/>
      <c r="Y47" s="5"/>
      <c r="Z47" s="5"/>
    </row>
    <row r="48" spans="1:26" x14ac:dyDescent="0.2">
      <c r="A48" s="10" t="s">
        <v>200</v>
      </c>
      <c r="B48" s="1">
        <f>COUNTIF('Demographics - Data'!D$3:D$105,A48)</f>
        <v>3</v>
      </c>
      <c r="C48" s="5"/>
      <c r="D48" s="5"/>
      <c r="E48" s="5"/>
      <c r="F48" s="5"/>
      <c r="G48" s="5"/>
      <c r="H48" s="5"/>
      <c r="I48" s="5"/>
      <c r="J48" s="5"/>
      <c r="K48" s="5"/>
      <c r="L48" s="5"/>
      <c r="M48" s="5"/>
      <c r="N48" s="5"/>
      <c r="O48" s="5"/>
      <c r="P48" s="5"/>
      <c r="Q48" s="5"/>
      <c r="R48" s="5"/>
      <c r="S48" s="5"/>
      <c r="T48" s="5"/>
      <c r="U48" s="5"/>
      <c r="V48" s="5"/>
      <c r="W48" s="5"/>
      <c r="X48" s="5"/>
      <c r="Y48" s="5"/>
      <c r="Z48" s="5"/>
    </row>
    <row r="49" spans="1:26" x14ac:dyDescent="0.2">
      <c r="A49" s="10" t="s">
        <v>309</v>
      </c>
      <c r="B49" s="1">
        <f>COUNTIF('Demographics - Data'!D$3:D$105,A49)</f>
        <v>0</v>
      </c>
      <c r="C49" s="5"/>
      <c r="D49" s="5"/>
      <c r="E49" s="5"/>
      <c r="F49" s="5"/>
      <c r="G49" s="5"/>
      <c r="H49" s="5"/>
      <c r="I49" s="5"/>
      <c r="J49" s="5"/>
      <c r="K49" s="5"/>
      <c r="L49" s="5"/>
      <c r="M49" s="5"/>
      <c r="N49" s="5"/>
      <c r="O49" s="5"/>
      <c r="P49" s="5"/>
      <c r="Q49" s="5"/>
      <c r="R49" s="5"/>
      <c r="S49" s="5"/>
      <c r="T49" s="5"/>
      <c r="U49" s="5"/>
      <c r="V49" s="5"/>
      <c r="W49" s="5"/>
      <c r="X49" s="5"/>
      <c r="Y49" s="5"/>
      <c r="Z49" s="5"/>
    </row>
    <row r="50" spans="1:26" x14ac:dyDescent="0.2">
      <c r="A50" s="10" t="s">
        <v>310</v>
      </c>
      <c r="B50" s="1">
        <f>COUNTIF('Demographics - Data'!D$3:D$105,A50)</f>
        <v>0</v>
      </c>
      <c r="C50" s="5"/>
      <c r="D50" s="5"/>
      <c r="E50" s="5"/>
      <c r="F50" s="5"/>
      <c r="G50" s="5"/>
      <c r="H50" s="5"/>
      <c r="I50" s="5"/>
      <c r="J50" s="5"/>
      <c r="K50" s="5"/>
      <c r="L50" s="5"/>
      <c r="M50" s="5"/>
      <c r="N50" s="5"/>
      <c r="O50" s="5"/>
      <c r="P50" s="5"/>
      <c r="Q50" s="5"/>
      <c r="R50" s="5"/>
      <c r="S50" s="5"/>
      <c r="T50" s="5"/>
      <c r="U50" s="5"/>
      <c r="V50" s="5"/>
      <c r="W50" s="5"/>
      <c r="X50" s="5"/>
      <c r="Y50" s="5"/>
      <c r="Z50" s="5"/>
    </row>
    <row r="51" spans="1:26" x14ac:dyDescent="0.2">
      <c r="A51" s="5"/>
      <c r="B51" s="1"/>
      <c r="C51" s="5">
        <f>SUM(B41:B50)</f>
        <v>103</v>
      </c>
      <c r="D51" s="5"/>
      <c r="E51" s="5"/>
      <c r="F51" s="5"/>
      <c r="G51" s="5"/>
      <c r="H51" s="5"/>
      <c r="I51" s="5"/>
      <c r="J51" s="5"/>
      <c r="K51" s="5"/>
      <c r="L51" s="5"/>
      <c r="M51" s="5"/>
      <c r="N51" s="5"/>
      <c r="O51" s="5"/>
      <c r="P51" s="5"/>
      <c r="Q51" s="5"/>
      <c r="R51" s="5"/>
      <c r="S51" s="5"/>
      <c r="T51" s="5"/>
      <c r="U51" s="5"/>
      <c r="V51" s="5"/>
      <c r="W51" s="5"/>
      <c r="X51" s="5"/>
      <c r="Y51" s="5"/>
      <c r="Z51" s="5"/>
    </row>
    <row r="52" spans="1:26" x14ac:dyDescent="0.2">
      <c r="A52" s="5"/>
      <c r="B52" s="1"/>
      <c r="C52" s="5"/>
      <c r="D52" s="5"/>
      <c r="E52" s="5"/>
      <c r="F52" s="5"/>
      <c r="G52" s="5"/>
      <c r="H52" s="5"/>
      <c r="I52" s="5"/>
      <c r="J52" s="5"/>
      <c r="K52" s="5"/>
      <c r="L52" s="5"/>
      <c r="M52" s="5"/>
      <c r="N52" s="5"/>
      <c r="O52" s="5"/>
      <c r="P52" s="5"/>
      <c r="Q52" s="5"/>
      <c r="R52" s="5"/>
      <c r="S52" s="5"/>
      <c r="T52" s="5"/>
      <c r="U52" s="5"/>
      <c r="V52" s="5"/>
      <c r="W52" s="5"/>
      <c r="X52" s="5"/>
      <c r="Y52" s="5"/>
      <c r="Z52" s="5"/>
    </row>
    <row r="53" spans="1:26" x14ac:dyDescent="0.2">
      <c r="A53" s="6" t="s">
        <v>311</v>
      </c>
      <c r="B53" s="7"/>
      <c r="C53" s="5"/>
      <c r="D53" s="5"/>
      <c r="E53" s="5"/>
      <c r="F53" s="5"/>
      <c r="G53" s="5"/>
      <c r="H53" s="5"/>
      <c r="I53" s="5"/>
      <c r="J53" s="5"/>
      <c r="K53" s="5"/>
      <c r="L53" s="5"/>
      <c r="M53" s="5"/>
      <c r="N53" s="5"/>
      <c r="O53" s="5"/>
      <c r="P53" s="5"/>
      <c r="Q53" s="5"/>
      <c r="R53" s="5"/>
      <c r="S53" s="5"/>
      <c r="T53" s="5"/>
      <c r="U53" s="5"/>
      <c r="V53" s="5"/>
      <c r="W53" s="5"/>
      <c r="X53" s="5"/>
      <c r="Y53" s="5"/>
      <c r="Z53" s="5"/>
    </row>
    <row r="54" spans="1:26" x14ac:dyDescent="0.2">
      <c r="A54" s="5" t="s">
        <v>150</v>
      </c>
      <c r="B54" s="1">
        <f>COUNTIF('Demographics - Data'!I$3:I$105,A54)</f>
        <v>2</v>
      </c>
      <c r="C54" s="5"/>
      <c r="D54" s="5"/>
      <c r="E54" s="5"/>
      <c r="F54" s="5"/>
      <c r="G54" s="5"/>
      <c r="H54" s="5"/>
      <c r="I54" s="5"/>
      <c r="J54" s="5"/>
      <c r="K54" s="5"/>
      <c r="L54" s="5"/>
      <c r="M54" s="5"/>
      <c r="N54" s="5"/>
      <c r="O54" s="5"/>
      <c r="P54" s="5"/>
      <c r="Q54" s="5"/>
      <c r="R54" s="5"/>
      <c r="S54" s="5"/>
      <c r="T54" s="5"/>
      <c r="U54" s="5"/>
      <c r="V54" s="5"/>
      <c r="W54" s="5"/>
      <c r="X54" s="5"/>
      <c r="Y54" s="5"/>
      <c r="Z54" s="5"/>
    </row>
    <row r="55" spans="1:26" x14ac:dyDescent="0.2">
      <c r="A55" s="2" t="s">
        <v>124</v>
      </c>
      <c r="B55" s="1">
        <f>COUNTIF('Demographics - Data'!I$3:I$105,A55)</f>
        <v>3</v>
      </c>
      <c r="C55" s="5"/>
      <c r="D55" s="5"/>
      <c r="E55" s="5"/>
      <c r="F55" s="5"/>
      <c r="G55" s="5"/>
      <c r="H55" s="5"/>
      <c r="I55" s="5"/>
      <c r="J55" s="5"/>
      <c r="K55" s="5"/>
      <c r="L55" s="5"/>
      <c r="M55" s="5"/>
      <c r="N55" s="5"/>
      <c r="O55" s="5"/>
      <c r="P55" s="5"/>
      <c r="Q55" s="5"/>
      <c r="R55" s="5"/>
      <c r="S55" s="5"/>
      <c r="T55" s="5"/>
      <c r="U55" s="5"/>
      <c r="V55" s="5"/>
      <c r="W55" s="5"/>
      <c r="X55" s="5"/>
      <c r="Y55" s="5"/>
      <c r="Z55" s="5"/>
    </row>
    <row r="56" spans="1:26" x14ac:dyDescent="0.2">
      <c r="A56" s="5" t="s">
        <v>18</v>
      </c>
      <c r="B56" s="1">
        <f>COUNTIF('Demographics - Data'!I$3:I$105,A56)</f>
        <v>22</v>
      </c>
      <c r="C56" s="5"/>
      <c r="D56" s="5"/>
      <c r="E56" s="5"/>
      <c r="F56" s="5"/>
      <c r="G56" s="5"/>
      <c r="H56" s="5"/>
      <c r="I56" s="5"/>
      <c r="J56" s="5"/>
      <c r="K56" s="5"/>
      <c r="L56" s="5"/>
      <c r="M56" s="5"/>
      <c r="N56" s="5"/>
      <c r="O56" s="5"/>
      <c r="P56" s="5"/>
      <c r="Q56" s="5"/>
      <c r="R56" s="5"/>
      <c r="S56" s="5"/>
      <c r="T56" s="5"/>
      <c r="U56" s="5"/>
      <c r="V56" s="5"/>
      <c r="W56" s="5"/>
      <c r="X56" s="5"/>
      <c r="Y56" s="5"/>
      <c r="Z56" s="5"/>
    </row>
    <row r="57" spans="1:26" x14ac:dyDescent="0.2">
      <c r="A57" s="5" t="s">
        <v>43</v>
      </c>
      <c r="B57" s="1">
        <f>COUNTIF('Demographics - Data'!I$3:I$105,A57)</f>
        <v>29</v>
      </c>
      <c r="C57" s="5"/>
      <c r="D57" s="5"/>
      <c r="E57" s="5"/>
      <c r="F57" s="5"/>
      <c r="G57" s="5"/>
      <c r="H57" s="5"/>
      <c r="I57" s="5"/>
      <c r="J57" s="5"/>
      <c r="K57" s="5"/>
      <c r="L57" s="5"/>
      <c r="M57" s="5"/>
      <c r="N57" s="5"/>
      <c r="O57" s="5"/>
      <c r="P57" s="5"/>
      <c r="Q57" s="5"/>
      <c r="R57" s="5"/>
      <c r="S57" s="5"/>
      <c r="T57" s="5"/>
      <c r="U57" s="5"/>
      <c r="V57" s="5"/>
      <c r="W57" s="5"/>
      <c r="X57" s="5"/>
      <c r="Y57" s="5"/>
      <c r="Z57" s="5"/>
    </row>
    <row r="58" spans="1:26" x14ac:dyDescent="0.2">
      <c r="A58" s="2" t="s">
        <v>27</v>
      </c>
      <c r="B58" s="1">
        <f>COUNTIF('Demographics - Data'!I$3:I$105,A58)</f>
        <v>47</v>
      </c>
      <c r="C58" s="5"/>
      <c r="D58" s="5"/>
      <c r="E58" s="5"/>
      <c r="F58" s="5"/>
      <c r="G58" s="5"/>
      <c r="H58" s="5"/>
      <c r="I58" s="5"/>
      <c r="J58" s="5"/>
      <c r="K58" s="5"/>
      <c r="L58" s="5"/>
      <c r="M58" s="5"/>
      <c r="N58" s="5"/>
      <c r="O58" s="5"/>
      <c r="P58" s="5"/>
      <c r="Q58" s="5"/>
      <c r="R58" s="5"/>
      <c r="S58" s="5"/>
      <c r="T58" s="5"/>
      <c r="U58" s="5"/>
      <c r="V58" s="5"/>
      <c r="W58" s="5"/>
      <c r="X58" s="5"/>
      <c r="Y58" s="5"/>
      <c r="Z58" s="5"/>
    </row>
    <row r="59" spans="1:26" x14ac:dyDescent="0.2">
      <c r="A59" s="5"/>
      <c r="B59" s="1"/>
      <c r="C59" s="5">
        <f>SUM(B54:B58)</f>
        <v>103</v>
      </c>
      <c r="D59" s="5"/>
      <c r="E59" s="5"/>
      <c r="F59" s="5"/>
      <c r="G59" s="5"/>
      <c r="H59" s="5"/>
      <c r="I59" s="5"/>
      <c r="J59" s="5"/>
      <c r="K59" s="5"/>
      <c r="L59" s="5"/>
      <c r="M59" s="5"/>
      <c r="N59" s="5"/>
      <c r="O59" s="5"/>
      <c r="P59" s="5"/>
      <c r="Q59" s="5"/>
      <c r="R59" s="5"/>
      <c r="S59" s="5"/>
      <c r="T59" s="5"/>
      <c r="U59" s="5"/>
      <c r="V59" s="5"/>
      <c r="W59" s="5"/>
      <c r="X59" s="5"/>
      <c r="Y59" s="5"/>
      <c r="Z59" s="5"/>
    </row>
    <row r="60" spans="1:26" x14ac:dyDescent="0.2">
      <c r="A60" s="5"/>
      <c r="B60" s="1"/>
      <c r="C60" s="5"/>
      <c r="D60" s="5"/>
      <c r="E60" s="5"/>
      <c r="F60" s="5"/>
      <c r="G60" s="5"/>
      <c r="H60" s="5"/>
      <c r="I60" s="5"/>
      <c r="J60" s="5"/>
      <c r="K60" s="5"/>
      <c r="L60" s="5"/>
      <c r="M60" s="5"/>
      <c r="N60" s="5"/>
      <c r="O60" s="5"/>
      <c r="P60" s="5"/>
      <c r="Q60" s="5"/>
      <c r="R60" s="5"/>
      <c r="S60" s="5"/>
      <c r="T60" s="5"/>
      <c r="U60" s="5"/>
      <c r="V60" s="5"/>
      <c r="W60" s="5"/>
      <c r="X60" s="5"/>
      <c r="Y60" s="5"/>
      <c r="Z60" s="5"/>
    </row>
    <row r="61" spans="1:26" x14ac:dyDescent="0.2">
      <c r="A61" s="6" t="s">
        <v>312</v>
      </c>
      <c r="B61" s="7"/>
      <c r="C61" s="5"/>
      <c r="D61" s="5"/>
      <c r="E61" s="5"/>
      <c r="F61" s="5"/>
      <c r="G61" s="5"/>
      <c r="H61" s="5"/>
      <c r="I61" s="5"/>
      <c r="J61" s="5"/>
      <c r="K61" s="5"/>
      <c r="L61" s="5"/>
      <c r="M61" s="5"/>
      <c r="N61" s="5"/>
      <c r="O61" s="5"/>
      <c r="P61" s="5"/>
      <c r="Q61" s="5"/>
      <c r="R61" s="5"/>
      <c r="S61" s="5"/>
      <c r="T61" s="5"/>
      <c r="U61" s="5"/>
      <c r="V61" s="5"/>
      <c r="W61" s="5"/>
      <c r="X61" s="5"/>
      <c r="Y61" s="5"/>
      <c r="Z61" s="5"/>
    </row>
    <row r="62" spans="1:26" x14ac:dyDescent="0.2">
      <c r="A62" s="5" t="s">
        <v>313</v>
      </c>
      <c r="B62" s="1">
        <f>COUNTIF('Demographics - Data'!J$3:J$105,A62)</f>
        <v>0</v>
      </c>
      <c r="C62" s="5"/>
      <c r="D62" s="5"/>
      <c r="E62" s="5"/>
      <c r="F62" s="5"/>
      <c r="G62" s="5"/>
      <c r="H62" s="5"/>
      <c r="I62" s="5"/>
      <c r="J62" s="5"/>
      <c r="K62" s="5"/>
      <c r="L62" s="5"/>
      <c r="M62" s="5"/>
      <c r="N62" s="5"/>
      <c r="O62" s="5"/>
      <c r="P62" s="5"/>
      <c r="Q62" s="5"/>
      <c r="R62" s="5"/>
      <c r="S62" s="5"/>
      <c r="T62" s="5"/>
      <c r="U62" s="5"/>
      <c r="V62" s="5"/>
      <c r="W62" s="5"/>
      <c r="X62" s="5"/>
      <c r="Y62" s="5"/>
      <c r="Z62" s="5"/>
    </row>
    <row r="63" spans="1:26" x14ac:dyDescent="0.2">
      <c r="A63" s="5" t="s">
        <v>19</v>
      </c>
      <c r="B63" s="1">
        <f>COUNTIF('Demographics - Data'!J$3:J$105,A63)</f>
        <v>22</v>
      </c>
      <c r="C63" s="5"/>
      <c r="D63" s="5"/>
      <c r="E63" s="5"/>
      <c r="F63" s="5"/>
      <c r="G63" s="5"/>
      <c r="H63" s="5"/>
      <c r="I63" s="5"/>
      <c r="J63" s="5"/>
      <c r="K63" s="5"/>
      <c r="L63" s="5"/>
      <c r="M63" s="5"/>
      <c r="N63" s="5"/>
      <c r="O63" s="5"/>
      <c r="P63" s="5"/>
      <c r="Q63" s="5"/>
      <c r="R63" s="5"/>
      <c r="S63" s="5"/>
      <c r="T63" s="5"/>
      <c r="U63" s="5"/>
      <c r="V63" s="5"/>
      <c r="W63" s="5"/>
      <c r="X63" s="5"/>
      <c r="Y63" s="5"/>
      <c r="Z63" s="5"/>
    </row>
    <row r="64" spans="1:26" x14ac:dyDescent="0.2">
      <c r="A64" s="5" t="s">
        <v>28</v>
      </c>
      <c r="B64" s="1">
        <f>COUNTIF('Demographics - Data'!J$3:J$105,A64)</f>
        <v>43</v>
      </c>
      <c r="C64" s="5"/>
      <c r="D64" s="5"/>
      <c r="E64" s="5"/>
      <c r="F64" s="5"/>
      <c r="G64" s="5"/>
      <c r="H64" s="5"/>
      <c r="I64" s="5"/>
      <c r="J64" s="5"/>
      <c r="K64" s="5"/>
      <c r="L64" s="5"/>
      <c r="M64" s="5"/>
      <c r="N64" s="5"/>
      <c r="O64" s="5"/>
      <c r="P64" s="5"/>
      <c r="Q64" s="5"/>
      <c r="R64" s="5"/>
      <c r="S64" s="5"/>
      <c r="T64" s="5"/>
      <c r="U64" s="5"/>
      <c r="V64" s="5"/>
      <c r="W64" s="5"/>
      <c r="X64" s="5"/>
      <c r="Y64" s="5"/>
      <c r="Z64" s="5"/>
    </row>
    <row r="65" spans="1:26" x14ac:dyDescent="0.2">
      <c r="A65" s="5" t="s">
        <v>52</v>
      </c>
      <c r="B65" s="1">
        <f>COUNTIF('Demographics - Data'!J$3:J$105,A65)</f>
        <v>29</v>
      </c>
      <c r="C65" s="5"/>
      <c r="D65" s="5"/>
      <c r="E65" s="5"/>
      <c r="F65" s="5"/>
      <c r="G65" s="5"/>
      <c r="H65" s="5"/>
      <c r="I65" s="5"/>
      <c r="J65" s="5"/>
      <c r="K65" s="5"/>
      <c r="L65" s="5"/>
      <c r="M65" s="5"/>
      <c r="N65" s="5"/>
      <c r="O65" s="5"/>
      <c r="P65" s="5"/>
      <c r="Q65" s="5"/>
      <c r="R65" s="5"/>
      <c r="S65" s="5"/>
      <c r="T65" s="5"/>
      <c r="U65" s="5"/>
      <c r="V65" s="5"/>
      <c r="W65" s="5"/>
      <c r="X65" s="5"/>
      <c r="Y65" s="5"/>
      <c r="Z65" s="5"/>
    </row>
    <row r="66" spans="1:26" x14ac:dyDescent="0.2">
      <c r="A66" s="5" t="s">
        <v>57</v>
      </c>
      <c r="B66" s="1">
        <f>COUNTIF('Demographics - Data'!J$3:J$105,A66)</f>
        <v>9</v>
      </c>
      <c r="C66" s="5"/>
      <c r="D66" s="5"/>
      <c r="E66" s="5"/>
      <c r="F66" s="5"/>
      <c r="G66" s="5"/>
      <c r="H66" s="5"/>
      <c r="I66" s="5"/>
      <c r="J66" s="5"/>
      <c r="K66" s="5"/>
      <c r="L66" s="5"/>
      <c r="M66" s="5"/>
      <c r="N66" s="5"/>
      <c r="O66" s="5"/>
      <c r="P66" s="5"/>
      <c r="Q66" s="5"/>
      <c r="R66" s="5"/>
      <c r="S66" s="5"/>
      <c r="T66" s="5"/>
      <c r="U66" s="5"/>
      <c r="V66" s="5"/>
      <c r="W66" s="5"/>
      <c r="X66" s="5"/>
      <c r="Y66" s="5"/>
      <c r="Z66" s="5"/>
    </row>
    <row r="67" spans="1:26" x14ac:dyDescent="0.2">
      <c r="A67" s="5"/>
      <c r="B67" s="1"/>
      <c r="C67" s="5">
        <f>SUM(B62:B66)</f>
        <v>103</v>
      </c>
      <c r="D67" s="5"/>
      <c r="E67" s="5"/>
      <c r="F67" s="5"/>
      <c r="G67" s="5"/>
      <c r="H67" s="5"/>
      <c r="I67" s="5"/>
      <c r="J67" s="5"/>
      <c r="K67" s="5"/>
      <c r="L67" s="5"/>
      <c r="M67" s="5"/>
      <c r="N67" s="5"/>
      <c r="O67" s="5"/>
      <c r="P67" s="5"/>
      <c r="Q67" s="5"/>
      <c r="R67" s="5"/>
      <c r="S67" s="5"/>
      <c r="T67" s="5"/>
      <c r="U67" s="5"/>
      <c r="V67" s="5"/>
      <c r="W67" s="5"/>
      <c r="X67" s="5"/>
      <c r="Y67" s="5"/>
      <c r="Z67" s="5"/>
    </row>
    <row r="68" spans="1:26" x14ac:dyDescent="0.2">
      <c r="A68" s="5"/>
      <c r="B68" s="1"/>
      <c r="C68" s="5"/>
      <c r="D68" s="5"/>
      <c r="E68" s="5"/>
      <c r="F68" s="5"/>
      <c r="G68" s="5"/>
      <c r="H68" s="5"/>
      <c r="I68" s="5"/>
      <c r="J68" s="5"/>
      <c r="K68" s="5"/>
      <c r="L68" s="5"/>
      <c r="M68" s="5"/>
      <c r="N68" s="5"/>
      <c r="O68" s="5"/>
      <c r="P68" s="5"/>
      <c r="Q68" s="5"/>
      <c r="R68" s="5"/>
      <c r="S68" s="5"/>
      <c r="T68" s="5"/>
      <c r="U68" s="5"/>
      <c r="V68" s="5"/>
      <c r="W68" s="5"/>
      <c r="X68" s="5"/>
      <c r="Y68" s="5"/>
      <c r="Z68" s="5"/>
    </row>
    <row r="69" spans="1:26" x14ac:dyDescent="0.2">
      <c r="A69" s="6" t="s">
        <v>314</v>
      </c>
      <c r="B69" s="7"/>
      <c r="C69" s="5"/>
      <c r="D69" s="5"/>
      <c r="E69" s="5"/>
      <c r="F69" s="5"/>
      <c r="G69" s="5"/>
      <c r="H69" s="5"/>
      <c r="I69" s="5"/>
      <c r="J69" s="5"/>
      <c r="K69" s="5"/>
      <c r="L69" s="5"/>
      <c r="M69" s="5"/>
      <c r="N69" s="5"/>
      <c r="O69" s="5"/>
      <c r="P69" s="5"/>
      <c r="Q69" s="5"/>
      <c r="R69" s="5"/>
      <c r="S69" s="5"/>
      <c r="T69" s="5"/>
      <c r="U69" s="5"/>
      <c r="V69" s="5"/>
      <c r="W69" s="5"/>
      <c r="X69" s="5"/>
      <c r="Y69" s="5"/>
      <c r="Z69" s="5"/>
    </row>
    <row r="70" spans="1:26" x14ac:dyDescent="0.2">
      <c r="A70" s="5" t="s">
        <v>61</v>
      </c>
      <c r="B70" s="1">
        <f>COUNTIF('Demographics - Data'!G3:G105,"Traditional (Waterfall)*")</f>
        <v>56</v>
      </c>
      <c r="C70" s="5"/>
      <c r="D70" s="5"/>
      <c r="E70" s="5"/>
      <c r="F70" s="5"/>
      <c r="G70" s="5"/>
      <c r="H70" s="5"/>
      <c r="I70" s="5"/>
      <c r="J70" s="5"/>
      <c r="K70" s="5"/>
      <c r="L70" s="5"/>
      <c r="M70" s="5"/>
      <c r="N70" s="5"/>
      <c r="O70" s="5"/>
      <c r="P70" s="5"/>
      <c r="Q70" s="5"/>
      <c r="R70" s="5"/>
      <c r="S70" s="5"/>
      <c r="T70" s="5"/>
      <c r="U70" s="5"/>
      <c r="V70" s="5"/>
      <c r="W70" s="5"/>
      <c r="X70" s="5"/>
      <c r="Y70" s="5"/>
      <c r="Z70" s="5"/>
    </row>
    <row r="71" spans="1:26" x14ac:dyDescent="0.2">
      <c r="A71" s="5" t="s">
        <v>25</v>
      </c>
      <c r="B71" s="1">
        <f>COUNTIF('Demographics - Data'!G$3:G$105,"*Agile - Kanban*")</f>
        <v>36</v>
      </c>
      <c r="C71" s="5"/>
      <c r="D71" s="5"/>
      <c r="E71" s="5"/>
      <c r="F71" s="5"/>
      <c r="G71" s="5"/>
      <c r="H71" s="5"/>
      <c r="I71" s="5"/>
      <c r="J71" s="5"/>
      <c r="K71" s="5"/>
      <c r="L71" s="5"/>
      <c r="M71" s="5"/>
      <c r="N71" s="5"/>
      <c r="O71" s="5"/>
      <c r="P71" s="5"/>
      <c r="Q71" s="5"/>
      <c r="R71" s="5"/>
      <c r="S71" s="5"/>
      <c r="T71" s="5"/>
      <c r="U71" s="5"/>
      <c r="V71" s="5"/>
      <c r="W71" s="5"/>
      <c r="X71" s="5"/>
      <c r="Y71" s="5"/>
      <c r="Z71" s="5"/>
    </row>
    <row r="72" spans="1:26" x14ac:dyDescent="0.2">
      <c r="A72" s="5" t="s">
        <v>16</v>
      </c>
      <c r="B72" s="1">
        <f>COUNTIF('Demographics - Data'!G$3:G$105,"*Agile - Scrum*")</f>
        <v>70</v>
      </c>
      <c r="C72" s="5"/>
      <c r="D72" s="5"/>
      <c r="E72" s="5"/>
      <c r="F72" s="5"/>
      <c r="G72" s="5"/>
      <c r="H72" s="5"/>
      <c r="I72" s="5"/>
      <c r="J72" s="5"/>
      <c r="K72" s="5"/>
      <c r="L72" s="5"/>
      <c r="M72" s="5"/>
      <c r="N72" s="5"/>
      <c r="O72" s="5"/>
      <c r="P72" s="5"/>
      <c r="Q72" s="5"/>
      <c r="R72" s="5"/>
      <c r="S72" s="5"/>
      <c r="T72" s="5"/>
      <c r="U72" s="5"/>
      <c r="V72" s="5"/>
      <c r="W72" s="5"/>
      <c r="X72" s="5"/>
      <c r="Y72" s="5"/>
      <c r="Z72" s="5"/>
    </row>
    <row r="73" spans="1:26" x14ac:dyDescent="0.2">
      <c r="A73" s="5" t="s">
        <v>100</v>
      </c>
      <c r="B73" s="1">
        <f>COUNTIF('Demographics - Data'!G$3:G$105,"*Agile - XP*")</f>
        <v>21</v>
      </c>
      <c r="C73" s="5"/>
      <c r="D73" s="5"/>
      <c r="E73" s="5"/>
      <c r="F73" s="5"/>
      <c r="G73" s="5"/>
      <c r="H73" s="5"/>
      <c r="I73" s="5"/>
      <c r="J73" s="5"/>
      <c r="K73" s="5"/>
      <c r="L73" s="5"/>
      <c r="M73" s="5"/>
      <c r="N73" s="5"/>
      <c r="O73" s="5"/>
      <c r="P73" s="5"/>
      <c r="Q73" s="5"/>
      <c r="R73" s="5"/>
      <c r="S73" s="5"/>
      <c r="T73" s="5"/>
      <c r="U73" s="5"/>
      <c r="V73" s="5"/>
      <c r="W73" s="5"/>
      <c r="X73" s="5"/>
      <c r="Y73" s="5"/>
      <c r="Z73" s="5"/>
    </row>
    <row r="74" spans="1:26" x14ac:dyDescent="0.2">
      <c r="A74" s="5" t="s">
        <v>107</v>
      </c>
      <c r="B74" s="1">
        <f>COUNTIF('Demographics - Data'!G$3:G$105,"*DevOps*")</f>
        <v>3</v>
      </c>
      <c r="C74" s="5"/>
      <c r="D74" s="5"/>
      <c r="E74" s="5"/>
      <c r="F74" s="5"/>
      <c r="G74" s="5"/>
      <c r="H74" s="5"/>
      <c r="I74" s="5"/>
      <c r="J74" s="5"/>
      <c r="K74" s="5"/>
      <c r="L74" s="5"/>
      <c r="M74" s="5"/>
      <c r="N74" s="5"/>
      <c r="O74" s="5"/>
      <c r="P74" s="5"/>
      <c r="Q74" s="5"/>
      <c r="R74" s="5"/>
      <c r="S74" s="5"/>
      <c r="T74" s="5"/>
      <c r="U74" s="5"/>
      <c r="V74" s="5"/>
      <c r="W74" s="5"/>
      <c r="X74" s="5"/>
      <c r="Y74" s="5"/>
      <c r="Z74" s="5"/>
    </row>
    <row r="75" spans="1:26" x14ac:dyDescent="0.2">
      <c r="A75" s="5"/>
      <c r="B75" s="1"/>
      <c r="C75" s="5"/>
      <c r="D75" s="5"/>
      <c r="E75" s="5"/>
      <c r="F75" s="5"/>
      <c r="G75" s="5"/>
      <c r="H75" s="5"/>
      <c r="I75" s="5"/>
      <c r="J75" s="5"/>
      <c r="K75" s="5"/>
      <c r="L75" s="5"/>
      <c r="M75" s="5"/>
      <c r="N75" s="5"/>
      <c r="O75" s="5"/>
      <c r="P75" s="5"/>
      <c r="Q75" s="5"/>
      <c r="R75" s="5"/>
      <c r="S75" s="5"/>
      <c r="T75" s="5"/>
      <c r="U75" s="5"/>
      <c r="V75" s="5"/>
      <c r="W75" s="5"/>
      <c r="X75" s="5"/>
      <c r="Y75" s="5"/>
      <c r="Z75" s="5"/>
    </row>
    <row r="76" spans="1:26" x14ac:dyDescent="0.2">
      <c r="A76" s="5"/>
      <c r="B76" s="1"/>
      <c r="C76" s="5"/>
      <c r="D76" s="5"/>
      <c r="E76" s="5"/>
      <c r="F76" s="5"/>
      <c r="G76" s="5"/>
      <c r="H76" s="5"/>
      <c r="I76" s="5"/>
      <c r="J76" s="5"/>
      <c r="K76" s="5"/>
      <c r="L76" s="5"/>
      <c r="M76" s="5"/>
      <c r="N76" s="5"/>
      <c r="O76" s="5"/>
      <c r="P76" s="5"/>
      <c r="Q76" s="5"/>
      <c r="R76" s="5"/>
      <c r="S76" s="5"/>
      <c r="T76" s="5"/>
      <c r="U76" s="5"/>
      <c r="V76" s="5"/>
      <c r="W76" s="5"/>
      <c r="X76" s="5"/>
      <c r="Y76" s="5"/>
      <c r="Z76" s="5"/>
    </row>
    <row r="77" spans="1:26" x14ac:dyDescent="0.2">
      <c r="A77" s="6" t="s">
        <v>315</v>
      </c>
      <c r="B77" s="7"/>
      <c r="C77" s="5"/>
      <c r="D77" s="5"/>
      <c r="E77" s="5"/>
      <c r="F77" s="5"/>
      <c r="G77" s="5"/>
      <c r="H77" s="5"/>
      <c r="I77" s="5"/>
      <c r="J77" s="5"/>
      <c r="K77" s="5"/>
      <c r="L77" s="5"/>
      <c r="M77" s="5"/>
      <c r="N77" s="5"/>
      <c r="O77" s="5"/>
      <c r="P77" s="5"/>
      <c r="Q77" s="5"/>
      <c r="R77" s="5"/>
      <c r="S77" s="5"/>
      <c r="T77" s="5"/>
      <c r="U77" s="5"/>
      <c r="V77" s="5"/>
      <c r="W77" s="5"/>
      <c r="X77" s="5"/>
      <c r="Y77" s="5"/>
      <c r="Z77" s="5"/>
    </row>
    <row r="78" spans="1:26" x14ac:dyDescent="0.2">
      <c r="A78" s="5" t="s">
        <v>70</v>
      </c>
      <c r="B78" s="1">
        <f>COUNTIF('Demographics - Data'!H$3:H$105,"*Telecommunication*")</f>
        <v>29</v>
      </c>
      <c r="C78" s="5"/>
      <c r="D78" s="5"/>
      <c r="E78" s="5"/>
      <c r="F78" s="5"/>
      <c r="G78" s="5"/>
      <c r="H78" s="5"/>
      <c r="I78" s="5"/>
      <c r="J78" s="5"/>
      <c r="K78" s="5"/>
      <c r="L78" s="5"/>
      <c r="M78" s="5"/>
      <c r="N78" s="5"/>
      <c r="O78" s="5"/>
      <c r="P78" s="5"/>
      <c r="Q78" s="5"/>
      <c r="R78" s="5"/>
      <c r="S78" s="5"/>
      <c r="T78" s="5"/>
      <c r="U78" s="5"/>
      <c r="V78" s="5"/>
      <c r="W78" s="5"/>
      <c r="X78" s="5"/>
      <c r="Y78" s="5"/>
      <c r="Z78" s="5"/>
    </row>
    <row r="79" spans="1:26" x14ac:dyDescent="0.2">
      <c r="A79" s="5" t="s">
        <v>56</v>
      </c>
      <c r="B79" s="1">
        <f>COUNTIF('Demographics - Data'!H$3:H$105,"*Healthcare*")</f>
        <v>14</v>
      </c>
      <c r="C79" s="5"/>
      <c r="D79" s="5"/>
      <c r="E79" s="5"/>
      <c r="F79" s="5"/>
      <c r="G79" s="5"/>
      <c r="H79" s="5"/>
      <c r="I79" s="5"/>
      <c r="J79" s="5"/>
      <c r="K79" s="5"/>
      <c r="L79" s="5"/>
      <c r="M79" s="5"/>
      <c r="N79" s="5"/>
      <c r="O79" s="5"/>
      <c r="P79" s="5"/>
      <c r="Q79" s="5"/>
      <c r="R79" s="5"/>
      <c r="S79" s="5"/>
      <c r="T79" s="5"/>
      <c r="U79" s="5"/>
      <c r="V79" s="5"/>
      <c r="W79" s="5"/>
      <c r="X79" s="5"/>
      <c r="Y79" s="5"/>
      <c r="Z79" s="5"/>
    </row>
    <row r="80" spans="1:26" x14ac:dyDescent="0.2">
      <c r="A80" s="5" t="s">
        <v>78</v>
      </c>
      <c r="B80" s="1">
        <f>COUNTIF('Demographics - Data'!H$3:H$105,"*Sales and Manufacturing*")</f>
        <v>21</v>
      </c>
      <c r="C80" s="5"/>
      <c r="D80" s="5"/>
      <c r="E80" s="5"/>
      <c r="F80" s="5"/>
      <c r="G80" s="5"/>
      <c r="H80" s="5"/>
      <c r="I80" s="5"/>
      <c r="J80" s="5"/>
      <c r="K80" s="5"/>
      <c r="L80" s="5"/>
      <c r="M80" s="5"/>
      <c r="N80" s="5"/>
      <c r="O80" s="5"/>
      <c r="P80" s="5"/>
      <c r="Q80" s="5"/>
      <c r="R80" s="5"/>
      <c r="S80" s="5"/>
      <c r="T80" s="5"/>
      <c r="U80" s="5"/>
      <c r="V80" s="5"/>
      <c r="W80" s="5"/>
      <c r="X80" s="5"/>
      <c r="Y80" s="5"/>
      <c r="Z80" s="5"/>
    </row>
    <row r="81" spans="1:26" x14ac:dyDescent="0.2">
      <c r="A81" s="5" t="s">
        <v>112</v>
      </c>
      <c r="B81" s="1">
        <f>COUNTIF('Demographics - Data'!H$3:H$105,"*Field Service Management*")</f>
        <v>10</v>
      </c>
      <c r="C81" s="5"/>
      <c r="D81" s="5"/>
      <c r="E81" s="5"/>
      <c r="F81" s="5"/>
      <c r="G81" s="5"/>
      <c r="H81" s="5"/>
      <c r="I81" s="5"/>
      <c r="J81" s="5"/>
      <c r="K81" s="5"/>
      <c r="L81" s="5"/>
      <c r="M81" s="5"/>
      <c r="N81" s="5"/>
      <c r="O81" s="5"/>
      <c r="P81" s="5"/>
      <c r="Q81" s="5"/>
      <c r="R81" s="5"/>
      <c r="S81" s="5"/>
      <c r="T81" s="5"/>
      <c r="U81" s="5"/>
      <c r="V81" s="5"/>
      <c r="W81" s="5"/>
      <c r="X81" s="5"/>
      <c r="Y81" s="5"/>
      <c r="Z81" s="5"/>
    </row>
    <row r="82" spans="1:26" x14ac:dyDescent="0.2">
      <c r="A82" s="5" t="s">
        <v>316</v>
      </c>
      <c r="B82" s="1">
        <f>COUNTIF('Demographics - Data'!H$3:H$105,"*Insurance*")</f>
        <v>2</v>
      </c>
      <c r="C82" s="5"/>
      <c r="D82" s="5"/>
      <c r="E82" s="5"/>
      <c r="F82" s="5"/>
      <c r="G82" s="5"/>
      <c r="H82" s="5"/>
      <c r="I82" s="5"/>
      <c r="J82" s="5"/>
      <c r="K82" s="5"/>
      <c r="L82" s="5"/>
      <c r="M82" s="5"/>
      <c r="N82" s="5"/>
      <c r="O82" s="5"/>
      <c r="P82" s="5"/>
      <c r="Q82" s="5"/>
      <c r="R82" s="5"/>
      <c r="S82" s="5"/>
      <c r="T82" s="5"/>
      <c r="U82" s="5"/>
      <c r="V82" s="5"/>
      <c r="W82" s="5"/>
      <c r="X82" s="5"/>
      <c r="Y82" s="5"/>
      <c r="Z82" s="5"/>
    </row>
    <row r="83" spans="1:26" x14ac:dyDescent="0.2">
      <c r="A83" s="5" t="s">
        <v>26</v>
      </c>
      <c r="B83" s="1">
        <f>COUNTIF('Demographics - Data'!H$3:H$105,"*Finance*")</f>
        <v>28</v>
      </c>
      <c r="C83" s="5"/>
      <c r="D83" s="5"/>
      <c r="E83" s="5"/>
      <c r="F83" s="5"/>
      <c r="G83" s="5"/>
      <c r="H83" s="5"/>
      <c r="I83" s="5"/>
      <c r="J83" s="5"/>
      <c r="K83" s="5"/>
      <c r="L83" s="5"/>
      <c r="M83" s="5"/>
      <c r="N83" s="5"/>
      <c r="O83" s="5"/>
      <c r="P83" s="5"/>
      <c r="Q83" s="5"/>
      <c r="R83" s="5"/>
      <c r="S83" s="5"/>
      <c r="T83" s="5"/>
      <c r="U83" s="5"/>
      <c r="V83" s="5"/>
      <c r="W83" s="5"/>
      <c r="X83" s="5"/>
      <c r="Y83" s="5"/>
      <c r="Z83" s="5"/>
    </row>
    <row r="84" spans="1:26" x14ac:dyDescent="0.2">
      <c r="A84" s="5" t="s">
        <v>101</v>
      </c>
      <c r="B84" s="1">
        <f>COUNTIF('Demographics - Data'!H$3:H$105,"*Human Resource Management*")</f>
        <v>14</v>
      </c>
      <c r="C84" s="5"/>
      <c r="D84" s="5"/>
      <c r="E84" s="5"/>
      <c r="F84" s="5"/>
      <c r="G84" s="5"/>
      <c r="H84" s="5"/>
      <c r="I84" s="5"/>
      <c r="J84" s="5"/>
      <c r="K84" s="5"/>
      <c r="L84" s="5"/>
      <c r="M84" s="5"/>
      <c r="N84" s="5"/>
      <c r="O84" s="5"/>
      <c r="P84" s="5"/>
      <c r="Q84" s="5"/>
      <c r="R84" s="5"/>
      <c r="S84" s="5"/>
      <c r="T84" s="5"/>
      <c r="U84" s="5"/>
      <c r="V84" s="5"/>
      <c r="W84" s="5"/>
      <c r="X84" s="5"/>
      <c r="Y84" s="5"/>
      <c r="Z84" s="5"/>
    </row>
    <row r="85" spans="1:26" x14ac:dyDescent="0.2">
      <c r="A85" s="5" t="s">
        <v>66</v>
      </c>
      <c r="B85" s="1">
        <f>COUNTIF('Demographics - Data'!H$3:H$105,"*Transport, Travel &amp; Tourism*")</f>
        <v>10</v>
      </c>
      <c r="C85" s="5"/>
      <c r="D85" s="5"/>
      <c r="E85" s="5"/>
      <c r="F85" s="5"/>
      <c r="G85" s="5"/>
      <c r="H85" s="5"/>
      <c r="I85" s="5"/>
      <c r="J85" s="5"/>
      <c r="K85" s="5"/>
      <c r="L85" s="5"/>
      <c r="M85" s="5"/>
      <c r="N85" s="5"/>
      <c r="O85" s="5"/>
      <c r="P85" s="5"/>
      <c r="Q85" s="5"/>
      <c r="R85" s="5"/>
      <c r="S85" s="5"/>
      <c r="T85" s="5"/>
      <c r="U85" s="5"/>
      <c r="V85" s="5"/>
      <c r="W85" s="5"/>
      <c r="X85" s="5"/>
      <c r="Y85" s="5"/>
      <c r="Z85" s="5"/>
    </row>
    <row r="86" spans="1:26" x14ac:dyDescent="0.2">
      <c r="A86" s="5" t="s">
        <v>94</v>
      </c>
      <c r="B86" s="1">
        <f>COUNTIF('Demographics - Data'!H$3:H$105,"*Energy*")</f>
        <v>8</v>
      </c>
      <c r="C86" s="5"/>
      <c r="D86" s="5"/>
      <c r="E86" s="5"/>
      <c r="F86" s="5"/>
      <c r="G86" s="5"/>
      <c r="H86" s="5"/>
      <c r="I86" s="5"/>
      <c r="J86" s="5"/>
      <c r="K86" s="5"/>
      <c r="L86" s="5"/>
      <c r="M86" s="5"/>
      <c r="N86" s="5"/>
      <c r="O86" s="5"/>
      <c r="P86" s="5"/>
      <c r="Q86" s="5"/>
      <c r="R86" s="5"/>
      <c r="S86" s="5"/>
      <c r="T86" s="5"/>
      <c r="U86" s="5"/>
      <c r="V86" s="5"/>
      <c r="W86" s="5"/>
      <c r="X86" s="5"/>
      <c r="Y86" s="5"/>
      <c r="Z86" s="5"/>
    </row>
    <row r="87" spans="1:26" x14ac:dyDescent="0.2">
      <c r="A87" s="12" t="s">
        <v>317</v>
      </c>
      <c r="B87" s="1">
        <f>COUNTIF('Demographics - Data'!H$3:H$105,"*IT*")+ COUNTIF('Demographics - Data'!H$3:H$105,"*Internet*") +COUNTIF('Demographics - Data'!H$3:H$105,"*Information*") +COUNTIF('Demographics - Data'!H$3:H$105,"Technology") +COUNTIF('Demographics - Data'!H$3:H$105,"Technological implementation")</f>
        <v>11</v>
      </c>
      <c r="C87" s="5"/>
      <c r="D87" s="5"/>
      <c r="E87" s="5"/>
      <c r="F87" s="5"/>
      <c r="G87" s="5"/>
      <c r="H87" s="5"/>
      <c r="I87" s="5"/>
      <c r="J87" s="5"/>
      <c r="K87" s="5"/>
      <c r="L87" s="5"/>
      <c r="M87" s="5"/>
      <c r="N87" s="5"/>
      <c r="O87" s="5"/>
      <c r="P87" s="5"/>
      <c r="Q87" s="5"/>
      <c r="R87" s="5"/>
      <c r="S87" s="5"/>
      <c r="T87" s="5"/>
      <c r="U87" s="5"/>
      <c r="V87" s="5"/>
      <c r="W87" s="5"/>
      <c r="X87" s="5"/>
      <c r="Y87" s="5"/>
      <c r="Z87" s="5"/>
    </row>
    <row r="88" spans="1:26" x14ac:dyDescent="0.2">
      <c r="A88" s="5" t="s">
        <v>32</v>
      </c>
      <c r="B88" s="1">
        <f>COUNTIF('Demographics - Data'!H$3:H$105,"*Social Media*")</f>
        <v>2</v>
      </c>
      <c r="C88" s="5"/>
      <c r="D88" s="5"/>
      <c r="E88" s="5"/>
      <c r="F88" s="5"/>
      <c r="G88" s="5"/>
      <c r="H88" s="5"/>
      <c r="I88" s="5"/>
      <c r="J88" s="5"/>
      <c r="K88" s="5"/>
      <c r="L88" s="5"/>
      <c r="M88" s="5"/>
      <c r="N88" s="5"/>
      <c r="O88" s="5"/>
      <c r="P88" s="5"/>
      <c r="Q88" s="5"/>
      <c r="R88" s="5"/>
      <c r="S88" s="5"/>
      <c r="T88" s="5"/>
      <c r="U88" s="5"/>
      <c r="V88" s="5"/>
      <c r="W88" s="5"/>
      <c r="X88" s="5"/>
      <c r="Y88" s="5"/>
      <c r="Z88" s="5"/>
    </row>
    <row r="89" spans="1:26" x14ac:dyDescent="0.2">
      <c r="A89" s="5" t="s">
        <v>318</v>
      </c>
      <c r="B89" s="1">
        <f>COUNTIF('Demographics - Data'!H$3:H$105,"*Fast Moving Consumer Goods in Supermarket retail*")</f>
        <v>1</v>
      </c>
      <c r="C89" s="5"/>
      <c r="D89" s="5"/>
      <c r="E89" s="5"/>
      <c r="F89" s="5"/>
      <c r="G89" s="5"/>
      <c r="H89" s="5"/>
      <c r="I89" s="5"/>
      <c r="J89" s="5"/>
      <c r="K89" s="5"/>
      <c r="L89" s="5"/>
      <c r="M89" s="5"/>
      <c r="N89" s="5"/>
      <c r="O89" s="5"/>
      <c r="P89" s="5"/>
      <c r="Q89" s="5"/>
      <c r="R89" s="5"/>
      <c r="S89" s="5"/>
      <c r="T89" s="5"/>
      <c r="U89" s="5"/>
      <c r="V89" s="5"/>
      <c r="W89" s="5"/>
      <c r="X89" s="5"/>
      <c r="Y89" s="5"/>
      <c r="Z89" s="5"/>
    </row>
    <row r="90" spans="1:26" x14ac:dyDescent="0.2">
      <c r="A90" s="5" t="s">
        <v>319</v>
      </c>
      <c r="B90" s="1">
        <f>COUNTIF('Demographics - Data'!H$3:H$105,"*Homeware*")</f>
        <v>1</v>
      </c>
      <c r="C90" s="5"/>
      <c r="D90" s="5"/>
      <c r="E90" s="5"/>
      <c r="F90" s="5"/>
      <c r="G90" s="5"/>
      <c r="H90" s="5"/>
      <c r="I90" s="5"/>
      <c r="J90" s="5"/>
      <c r="K90" s="5"/>
      <c r="L90" s="5"/>
      <c r="M90" s="5"/>
      <c r="N90" s="5"/>
      <c r="O90" s="5"/>
      <c r="P90" s="5"/>
      <c r="Q90" s="5"/>
      <c r="R90" s="5"/>
      <c r="S90" s="5"/>
      <c r="T90" s="5"/>
      <c r="U90" s="5"/>
      <c r="V90" s="5"/>
      <c r="W90" s="5"/>
      <c r="X90" s="5"/>
      <c r="Y90" s="5"/>
      <c r="Z90" s="5"/>
    </row>
    <row r="91" spans="1:26" x14ac:dyDescent="0.2">
      <c r="A91" s="5" t="s">
        <v>320</v>
      </c>
      <c r="B91" s="1">
        <f>COUNTIF('Demographics - Data'!H$3:H$105,"*Agriculture*")</f>
        <v>1</v>
      </c>
      <c r="C91" s="5"/>
      <c r="D91" s="5"/>
      <c r="E91" s="5"/>
      <c r="F91" s="5"/>
      <c r="G91" s="5"/>
      <c r="H91" s="5"/>
      <c r="I91" s="5"/>
      <c r="J91" s="5"/>
      <c r="K91" s="5"/>
      <c r="L91" s="5"/>
      <c r="M91" s="5"/>
      <c r="N91" s="5"/>
      <c r="O91" s="5"/>
      <c r="P91" s="5"/>
      <c r="Q91" s="5"/>
      <c r="R91" s="5"/>
      <c r="S91" s="5"/>
      <c r="T91" s="5"/>
      <c r="U91" s="5"/>
      <c r="V91" s="5"/>
      <c r="W91" s="5"/>
      <c r="X91" s="5"/>
      <c r="Y91" s="5"/>
      <c r="Z91" s="5"/>
    </row>
    <row r="92" spans="1:26" x14ac:dyDescent="0.2">
      <c r="A92" s="5" t="s">
        <v>321</v>
      </c>
      <c r="B92" s="1">
        <f>COUNTIF('Demographics - Data'!H$3:H$105,"*Consulting*")</f>
        <v>1</v>
      </c>
      <c r="C92" s="5"/>
      <c r="D92" s="5"/>
      <c r="E92" s="5"/>
      <c r="F92" s="5"/>
      <c r="G92" s="5"/>
      <c r="H92" s="5"/>
      <c r="I92" s="5"/>
      <c r="J92" s="5"/>
      <c r="K92" s="5"/>
      <c r="L92" s="5"/>
      <c r="M92" s="5"/>
      <c r="N92" s="5"/>
      <c r="O92" s="5"/>
      <c r="P92" s="5"/>
      <c r="Q92" s="5"/>
      <c r="R92" s="5"/>
      <c r="S92" s="5"/>
      <c r="T92" s="5"/>
      <c r="U92" s="5"/>
      <c r="V92" s="5"/>
      <c r="W92" s="5"/>
      <c r="X92" s="5"/>
      <c r="Y92" s="5"/>
      <c r="Z92" s="5"/>
    </row>
    <row r="93" spans="1:26" x14ac:dyDescent="0.2">
      <c r="A93" s="5" t="s">
        <v>322</v>
      </c>
      <c r="B93" s="1">
        <f>COUNTIF('Demographics - Data'!H$3:H$105,"*Gaming*")+ COUNTIF('Demographics - Data'!H$3:H$105,"*Games development*")</f>
        <v>3</v>
      </c>
      <c r="C93" s="5"/>
      <c r="D93" s="5"/>
      <c r="E93" s="5"/>
      <c r="F93" s="5"/>
      <c r="G93" s="5"/>
      <c r="H93" s="5"/>
      <c r="I93" s="5"/>
      <c r="J93" s="5"/>
      <c r="K93" s="5"/>
      <c r="L93" s="5"/>
      <c r="M93" s="5"/>
      <c r="N93" s="5"/>
      <c r="O93" s="5"/>
      <c r="P93" s="5"/>
      <c r="Q93" s="5"/>
      <c r="R93" s="5"/>
      <c r="S93" s="5"/>
      <c r="T93" s="5"/>
      <c r="U93" s="5"/>
      <c r="V93" s="5"/>
      <c r="W93" s="5"/>
      <c r="X93" s="5"/>
      <c r="Y93" s="5"/>
      <c r="Z93" s="5"/>
    </row>
    <row r="94" spans="1:26" x14ac:dyDescent="0.2">
      <c r="A94" s="5" t="s">
        <v>255</v>
      </c>
      <c r="B94" s="1">
        <f>COUNTIF('Demographics - Data'!H$3:H$105,"*Logistics*")</f>
        <v>1</v>
      </c>
      <c r="C94" s="5"/>
      <c r="D94" s="5"/>
      <c r="E94" s="5"/>
      <c r="F94" s="5"/>
      <c r="G94" s="5"/>
      <c r="H94" s="5"/>
      <c r="I94" s="5"/>
      <c r="J94" s="5"/>
      <c r="K94" s="5"/>
      <c r="L94" s="5"/>
      <c r="M94" s="5"/>
      <c r="N94" s="5"/>
      <c r="O94" s="5"/>
      <c r="P94" s="5"/>
      <c r="Q94" s="5"/>
      <c r="R94" s="5"/>
      <c r="S94" s="5"/>
      <c r="T94" s="5"/>
      <c r="U94" s="5"/>
      <c r="V94" s="5"/>
      <c r="W94" s="5"/>
      <c r="X94" s="5"/>
      <c r="Y94" s="5"/>
      <c r="Z94" s="5"/>
    </row>
    <row r="95" spans="1:26" x14ac:dyDescent="0.2">
      <c r="A95" s="5"/>
      <c r="B95" s="1"/>
      <c r="C95" s="5"/>
      <c r="D95" s="5"/>
      <c r="E95" s="5"/>
      <c r="F95" s="5"/>
      <c r="G95" s="5"/>
      <c r="H95" s="5"/>
      <c r="I95" s="5"/>
      <c r="J95" s="5"/>
      <c r="K95" s="5"/>
      <c r="L95" s="5"/>
      <c r="M95" s="5"/>
      <c r="N95" s="5"/>
      <c r="O95" s="5"/>
      <c r="P95" s="5"/>
      <c r="Q95" s="5"/>
      <c r="R95" s="5"/>
      <c r="S95" s="5"/>
      <c r="T95" s="5"/>
      <c r="U95" s="5"/>
      <c r="V95" s="5"/>
      <c r="W95" s="5"/>
      <c r="X95" s="5"/>
      <c r="Y95" s="5"/>
      <c r="Z95" s="5"/>
    </row>
    <row r="96" spans="1:26" x14ac:dyDescent="0.2">
      <c r="A96" s="5"/>
      <c r="B96" s="1"/>
      <c r="C96" s="5"/>
      <c r="D96" s="5"/>
      <c r="E96" s="5"/>
      <c r="F96" s="5"/>
      <c r="G96" s="5"/>
      <c r="H96" s="5"/>
      <c r="I96" s="5"/>
      <c r="J96" s="5"/>
      <c r="K96" s="5"/>
      <c r="L96" s="5"/>
      <c r="M96" s="5"/>
      <c r="N96" s="5"/>
      <c r="O96" s="5"/>
      <c r="P96" s="5"/>
      <c r="Q96" s="5"/>
      <c r="R96" s="5"/>
      <c r="S96" s="5"/>
      <c r="T96" s="5"/>
      <c r="U96" s="5"/>
      <c r="V96" s="5"/>
      <c r="W96" s="5"/>
      <c r="X96" s="5"/>
      <c r="Y96" s="5"/>
      <c r="Z96" s="5"/>
    </row>
    <row r="97" spans="1:26" x14ac:dyDescent="0.2">
      <c r="A97" s="13"/>
      <c r="B97" s="1"/>
      <c r="C97" s="5"/>
      <c r="D97" s="5"/>
      <c r="E97" s="5"/>
      <c r="F97" s="5"/>
      <c r="G97" s="5"/>
      <c r="H97" s="5"/>
      <c r="I97" s="5"/>
      <c r="J97" s="5"/>
      <c r="K97" s="5"/>
      <c r="L97" s="5"/>
      <c r="M97" s="5"/>
      <c r="N97" s="5"/>
      <c r="O97" s="5"/>
      <c r="P97" s="5"/>
      <c r="Q97" s="5"/>
      <c r="R97" s="5"/>
      <c r="S97" s="5"/>
      <c r="T97" s="5"/>
      <c r="U97" s="5"/>
      <c r="V97" s="5"/>
      <c r="W97" s="5"/>
      <c r="X97" s="5"/>
      <c r="Y97" s="5"/>
      <c r="Z97" s="5"/>
    </row>
    <row r="98" spans="1:26" x14ac:dyDescent="0.2">
      <c r="A98" s="5"/>
      <c r="B98" s="1"/>
      <c r="C98" s="5"/>
      <c r="D98" s="5"/>
      <c r="E98" s="5"/>
      <c r="F98" s="5"/>
      <c r="G98" s="5"/>
      <c r="H98" s="5"/>
      <c r="I98" s="5"/>
      <c r="J98" s="5"/>
      <c r="K98" s="5"/>
      <c r="L98" s="5"/>
      <c r="M98" s="5"/>
      <c r="N98" s="5"/>
      <c r="O98" s="5"/>
      <c r="P98" s="5"/>
      <c r="Q98" s="5"/>
      <c r="R98" s="5"/>
      <c r="S98" s="5"/>
      <c r="T98" s="5"/>
      <c r="U98" s="5"/>
      <c r="V98" s="5"/>
      <c r="W98" s="5"/>
      <c r="X98" s="5"/>
      <c r="Y98" s="5"/>
      <c r="Z98" s="5"/>
    </row>
    <row r="99" spans="1:26" x14ac:dyDescent="0.2">
      <c r="A99" s="5"/>
      <c r="B99" s="1"/>
      <c r="C99" s="5"/>
      <c r="D99" s="5"/>
      <c r="E99" s="5"/>
      <c r="F99" s="5"/>
      <c r="G99" s="5"/>
      <c r="H99" s="5"/>
      <c r="I99" s="5"/>
      <c r="J99" s="5"/>
      <c r="K99" s="5"/>
      <c r="L99" s="5"/>
      <c r="M99" s="5"/>
      <c r="N99" s="5"/>
      <c r="O99" s="5"/>
      <c r="P99" s="5"/>
      <c r="Q99" s="5"/>
      <c r="R99" s="5"/>
      <c r="S99" s="5"/>
      <c r="T99" s="5"/>
      <c r="U99" s="5"/>
      <c r="V99" s="5"/>
      <c r="W99" s="5"/>
      <c r="X99" s="5"/>
      <c r="Y99" s="5"/>
      <c r="Z99" s="5"/>
    </row>
    <row r="100" spans="1:26" x14ac:dyDescent="0.2">
      <c r="A100" s="5"/>
      <c r="B100" s="1"/>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x14ac:dyDescent="0.2">
      <c r="A101" s="5"/>
      <c r="B101" s="1"/>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x14ac:dyDescent="0.2">
      <c r="A102" s="5"/>
      <c r="B102" s="1"/>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x14ac:dyDescent="0.2">
      <c r="A103" s="5"/>
      <c r="B103" s="1"/>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x14ac:dyDescent="0.2">
      <c r="A104" s="5"/>
      <c r="B104" s="1"/>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x14ac:dyDescent="0.2">
      <c r="A105" s="5"/>
      <c r="B105" s="1"/>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x14ac:dyDescent="0.2">
      <c r="A106" s="5"/>
      <c r="B106" s="1"/>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x14ac:dyDescent="0.2">
      <c r="A107" s="5"/>
      <c r="B107" s="1"/>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x14ac:dyDescent="0.2">
      <c r="A108" s="5"/>
      <c r="B108" s="1"/>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x14ac:dyDescent="0.2">
      <c r="A109" s="5"/>
      <c r="B109" s="1"/>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x14ac:dyDescent="0.2">
      <c r="A110" s="5"/>
      <c r="B110" s="1"/>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x14ac:dyDescent="0.2">
      <c r="A111" s="5"/>
      <c r="B111" s="1"/>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x14ac:dyDescent="0.2">
      <c r="A112" s="5"/>
      <c r="B112" s="1"/>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x14ac:dyDescent="0.2">
      <c r="A113" s="5"/>
      <c r="B113" s="1"/>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x14ac:dyDescent="0.2">
      <c r="A114" s="5"/>
      <c r="B114" s="1"/>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x14ac:dyDescent="0.2">
      <c r="A115" s="5"/>
      <c r="B115" s="1"/>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x14ac:dyDescent="0.2">
      <c r="A116" s="5"/>
      <c r="B116" s="1"/>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x14ac:dyDescent="0.2">
      <c r="A117" s="5"/>
      <c r="B117" s="1"/>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x14ac:dyDescent="0.2">
      <c r="A118" s="5"/>
      <c r="B118" s="1"/>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x14ac:dyDescent="0.2">
      <c r="A119" s="5"/>
      <c r="B119" s="1"/>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x14ac:dyDescent="0.2">
      <c r="A120" s="5"/>
      <c r="B120" s="1"/>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x14ac:dyDescent="0.2">
      <c r="A121" s="5"/>
      <c r="B121" s="1"/>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x14ac:dyDescent="0.2">
      <c r="A122" s="5"/>
      <c r="B122" s="1"/>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x14ac:dyDescent="0.2">
      <c r="A123" s="5"/>
      <c r="B123" s="1"/>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x14ac:dyDescent="0.2">
      <c r="A124" s="5"/>
      <c r="B124" s="1"/>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x14ac:dyDescent="0.2">
      <c r="A125" s="5"/>
      <c r="B125" s="1"/>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x14ac:dyDescent="0.2">
      <c r="A126" s="5"/>
      <c r="B126" s="1"/>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x14ac:dyDescent="0.2">
      <c r="A127" s="5"/>
      <c r="B127" s="1"/>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x14ac:dyDescent="0.2">
      <c r="A128" s="5"/>
      <c r="B128" s="1"/>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x14ac:dyDescent="0.2">
      <c r="A129" s="5"/>
      <c r="B129" s="1"/>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x14ac:dyDescent="0.2">
      <c r="A130" s="5"/>
      <c r="B130" s="1"/>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x14ac:dyDescent="0.2">
      <c r="A131" s="5"/>
      <c r="B131" s="1"/>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x14ac:dyDescent="0.2">
      <c r="A132" s="5"/>
      <c r="B132" s="1"/>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x14ac:dyDescent="0.2">
      <c r="A133" s="5"/>
      <c r="B133" s="1"/>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x14ac:dyDescent="0.2">
      <c r="A134" s="5"/>
      <c r="B134" s="1"/>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x14ac:dyDescent="0.2">
      <c r="A135" s="5"/>
      <c r="B135" s="1"/>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x14ac:dyDescent="0.2">
      <c r="A136" s="5"/>
      <c r="B136" s="1"/>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x14ac:dyDescent="0.2">
      <c r="A137" s="5"/>
      <c r="B137" s="1"/>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x14ac:dyDescent="0.2">
      <c r="A138" s="5"/>
      <c r="B138" s="1"/>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x14ac:dyDescent="0.2">
      <c r="A139" s="5"/>
      <c r="B139" s="1"/>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x14ac:dyDescent="0.2">
      <c r="A140" s="5"/>
      <c r="B140" s="1"/>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x14ac:dyDescent="0.2">
      <c r="A141" s="5"/>
      <c r="B141" s="1"/>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x14ac:dyDescent="0.2">
      <c r="A142" s="5"/>
      <c r="B142" s="1"/>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x14ac:dyDescent="0.2">
      <c r="A143" s="5"/>
      <c r="B143" s="1"/>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x14ac:dyDescent="0.2">
      <c r="A144" s="5"/>
      <c r="B144" s="1"/>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x14ac:dyDescent="0.2">
      <c r="A145" s="5"/>
      <c r="B145" s="1"/>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x14ac:dyDescent="0.2">
      <c r="A146" s="5"/>
      <c r="B146" s="1"/>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x14ac:dyDescent="0.2">
      <c r="A147" s="5"/>
      <c r="B147" s="1"/>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x14ac:dyDescent="0.2">
      <c r="A148" s="5"/>
      <c r="B148" s="1"/>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x14ac:dyDescent="0.2">
      <c r="A149" s="5"/>
      <c r="B149" s="1"/>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x14ac:dyDescent="0.2">
      <c r="A150" s="5"/>
      <c r="B150" s="1"/>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x14ac:dyDescent="0.2">
      <c r="A151" s="5"/>
      <c r="B151" s="1"/>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x14ac:dyDescent="0.2">
      <c r="A152" s="5"/>
      <c r="B152" s="1"/>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x14ac:dyDescent="0.2">
      <c r="A153" s="5"/>
      <c r="B153" s="1"/>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x14ac:dyDescent="0.2">
      <c r="A154" s="5"/>
      <c r="B154" s="1"/>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x14ac:dyDescent="0.2">
      <c r="A155" s="5"/>
      <c r="B155" s="1"/>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x14ac:dyDescent="0.2">
      <c r="A156" s="5"/>
      <c r="B156" s="1"/>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x14ac:dyDescent="0.2">
      <c r="A157" s="5"/>
      <c r="B157" s="1"/>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x14ac:dyDescent="0.2">
      <c r="A158" s="5"/>
      <c r="B158" s="1"/>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x14ac:dyDescent="0.2">
      <c r="A159" s="5"/>
      <c r="B159" s="1"/>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x14ac:dyDescent="0.2">
      <c r="A160" s="5"/>
      <c r="B160" s="1"/>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x14ac:dyDescent="0.2">
      <c r="A161" s="5"/>
      <c r="B161" s="1"/>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x14ac:dyDescent="0.2">
      <c r="A162" s="5"/>
      <c r="B162" s="1"/>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x14ac:dyDescent="0.2">
      <c r="A163" s="5"/>
      <c r="B163" s="1"/>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x14ac:dyDescent="0.2">
      <c r="A164" s="5"/>
      <c r="B164" s="1"/>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x14ac:dyDescent="0.2">
      <c r="A165" s="5"/>
      <c r="B165" s="1"/>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x14ac:dyDescent="0.2">
      <c r="A166" s="5"/>
      <c r="B166" s="1"/>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x14ac:dyDescent="0.2">
      <c r="A167" s="5"/>
      <c r="B167" s="1"/>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x14ac:dyDescent="0.2">
      <c r="A168" s="5"/>
      <c r="B168" s="1"/>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x14ac:dyDescent="0.2">
      <c r="A169" s="5"/>
      <c r="B169" s="1"/>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x14ac:dyDescent="0.2">
      <c r="A170" s="5"/>
      <c r="B170" s="1"/>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x14ac:dyDescent="0.2">
      <c r="A171" s="5"/>
      <c r="B171" s="1"/>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x14ac:dyDescent="0.2">
      <c r="A172" s="5"/>
      <c r="B172" s="1"/>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x14ac:dyDescent="0.2">
      <c r="A173" s="5"/>
      <c r="B173" s="1"/>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x14ac:dyDescent="0.2">
      <c r="A174" s="5"/>
      <c r="B174" s="1"/>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x14ac:dyDescent="0.2">
      <c r="A175" s="5"/>
      <c r="B175" s="1"/>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x14ac:dyDescent="0.2">
      <c r="A176" s="5"/>
      <c r="B176" s="1"/>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x14ac:dyDescent="0.2">
      <c r="A177" s="5"/>
      <c r="B177" s="1"/>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x14ac:dyDescent="0.2">
      <c r="A178" s="5"/>
      <c r="B178" s="1"/>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x14ac:dyDescent="0.2">
      <c r="A179" s="5"/>
      <c r="B179" s="1"/>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x14ac:dyDescent="0.2">
      <c r="A180" s="5"/>
      <c r="B180" s="1"/>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x14ac:dyDescent="0.2">
      <c r="A181" s="5"/>
      <c r="B181" s="1"/>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x14ac:dyDescent="0.2">
      <c r="A182" s="5"/>
      <c r="B182" s="1"/>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x14ac:dyDescent="0.2">
      <c r="A183" s="5"/>
      <c r="B183" s="1"/>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x14ac:dyDescent="0.2">
      <c r="A184" s="5"/>
      <c r="B184" s="1"/>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x14ac:dyDescent="0.2">
      <c r="A185" s="5"/>
      <c r="B185" s="1"/>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x14ac:dyDescent="0.2">
      <c r="A186" s="5"/>
      <c r="B186" s="1"/>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x14ac:dyDescent="0.2">
      <c r="A187" s="5"/>
      <c r="B187" s="1"/>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x14ac:dyDescent="0.2">
      <c r="A188" s="5"/>
      <c r="B188" s="1"/>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x14ac:dyDescent="0.2">
      <c r="A189" s="5"/>
      <c r="B189" s="1"/>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x14ac:dyDescent="0.2">
      <c r="A190" s="5"/>
      <c r="B190" s="1"/>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x14ac:dyDescent="0.2">
      <c r="A191" s="5"/>
      <c r="B191" s="1"/>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x14ac:dyDescent="0.2">
      <c r="A192" s="5"/>
      <c r="B192" s="1"/>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x14ac:dyDescent="0.2">
      <c r="A193" s="5"/>
      <c r="B193" s="1"/>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x14ac:dyDescent="0.2">
      <c r="A194" s="5"/>
      <c r="B194" s="1"/>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x14ac:dyDescent="0.2">
      <c r="A195" s="5"/>
      <c r="B195" s="1"/>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x14ac:dyDescent="0.2">
      <c r="A196" s="5"/>
      <c r="B196" s="1"/>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x14ac:dyDescent="0.2">
      <c r="A197" s="5"/>
      <c r="B197" s="1"/>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x14ac:dyDescent="0.2">
      <c r="A198" s="5"/>
      <c r="B198" s="1"/>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x14ac:dyDescent="0.2">
      <c r="A199" s="5"/>
      <c r="B199" s="1"/>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x14ac:dyDescent="0.2">
      <c r="A200" s="5"/>
      <c r="B200" s="1"/>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x14ac:dyDescent="0.2">
      <c r="A201" s="5"/>
      <c r="B201" s="1"/>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x14ac:dyDescent="0.2">
      <c r="A202" s="5"/>
      <c r="B202" s="1"/>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x14ac:dyDescent="0.2">
      <c r="A203" s="5"/>
      <c r="B203" s="1"/>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x14ac:dyDescent="0.2">
      <c r="A204" s="5"/>
      <c r="B204" s="1"/>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x14ac:dyDescent="0.2">
      <c r="A205" s="5"/>
      <c r="B205" s="1"/>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x14ac:dyDescent="0.2">
      <c r="A206" s="5"/>
      <c r="B206" s="1"/>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x14ac:dyDescent="0.2">
      <c r="A207" s="5"/>
      <c r="B207" s="1"/>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x14ac:dyDescent="0.2">
      <c r="A208" s="5"/>
      <c r="B208" s="1"/>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x14ac:dyDescent="0.2">
      <c r="A209" s="5"/>
      <c r="B209" s="1"/>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x14ac:dyDescent="0.2">
      <c r="A210" s="5"/>
      <c r="B210" s="1"/>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x14ac:dyDescent="0.2">
      <c r="A211" s="5"/>
      <c r="B211" s="1"/>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x14ac:dyDescent="0.2">
      <c r="A212" s="5"/>
      <c r="B212" s="1"/>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x14ac:dyDescent="0.2">
      <c r="A213" s="5"/>
      <c r="B213" s="1"/>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x14ac:dyDescent="0.2">
      <c r="A214" s="5"/>
      <c r="B214" s="1"/>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x14ac:dyDescent="0.2">
      <c r="A215" s="5"/>
      <c r="B215" s="1"/>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x14ac:dyDescent="0.2">
      <c r="A216" s="5"/>
      <c r="B216" s="1"/>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x14ac:dyDescent="0.2">
      <c r="A217" s="5"/>
      <c r="B217" s="1"/>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x14ac:dyDescent="0.2">
      <c r="A218" s="5"/>
      <c r="B218" s="1"/>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x14ac:dyDescent="0.2">
      <c r="A219" s="5"/>
      <c r="B219" s="1"/>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x14ac:dyDescent="0.2">
      <c r="A220" s="5"/>
      <c r="B220" s="1"/>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x14ac:dyDescent="0.2">
      <c r="A221" s="5"/>
      <c r="B221" s="1"/>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x14ac:dyDescent="0.2">
      <c r="A222" s="5"/>
      <c r="B222" s="1"/>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x14ac:dyDescent="0.2">
      <c r="A223" s="5"/>
      <c r="B223" s="1"/>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x14ac:dyDescent="0.2">
      <c r="A224" s="5"/>
      <c r="B224" s="1"/>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x14ac:dyDescent="0.2">
      <c r="A225" s="5"/>
      <c r="B225" s="1"/>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x14ac:dyDescent="0.2">
      <c r="A226" s="5"/>
      <c r="B226" s="1"/>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x14ac:dyDescent="0.2">
      <c r="A227" s="5"/>
      <c r="B227" s="1"/>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x14ac:dyDescent="0.2">
      <c r="A228" s="5"/>
      <c r="B228" s="1"/>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x14ac:dyDescent="0.2">
      <c r="A229" s="5"/>
      <c r="B229" s="1"/>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x14ac:dyDescent="0.2">
      <c r="A230" s="5"/>
      <c r="B230" s="1"/>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x14ac:dyDescent="0.2">
      <c r="A231" s="5"/>
      <c r="B231" s="1"/>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x14ac:dyDescent="0.2">
      <c r="A232" s="5"/>
      <c r="B232" s="1"/>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x14ac:dyDescent="0.2">
      <c r="A233" s="5"/>
      <c r="B233" s="1"/>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x14ac:dyDescent="0.2">
      <c r="A234" s="5"/>
      <c r="B234" s="1"/>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x14ac:dyDescent="0.2">
      <c r="A235" s="5"/>
      <c r="B235" s="1"/>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x14ac:dyDescent="0.2">
      <c r="A236" s="5"/>
      <c r="B236" s="1"/>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x14ac:dyDescent="0.2">
      <c r="A237" s="5"/>
      <c r="B237" s="1"/>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x14ac:dyDescent="0.2">
      <c r="A238" s="5"/>
      <c r="B238" s="1"/>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x14ac:dyDescent="0.2">
      <c r="A239" s="5"/>
      <c r="B239" s="1"/>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x14ac:dyDescent="0.2">
      <c r="A240" s="5"/>
      <c r="B240" s="1"/>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x14ac:dyDescent="0.2">
      <c r="A241" s="5"/>
      <c r="B241" s="1"/>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x14ac:dyDescent="0.2">
      <c r="A242" s="5"/>
      <c r="B242" s="1"/>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x14ac:dyDescent="0.2">
      <c r="A243" s="5"/>
      <c r="B243" s="1"/>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x14ac:dyDescent="0.2">
      <c r="A244" s="5"/>
      <c r="B244" s="1"/>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x14ac:dyDescent="0.2">
      <c r="A245" s="5"/>
      <c r="B245" s="1"/>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x14ac:dyDescent="0.2">
      <c r="A246" s="5"/>
      <c r="B246" s="1"/>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x14ac:dyDescent="0.2">
      <c r="A247" s="5"/>
      <c r="B247" s="1"/>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x14ac:dyDescent="0.2">
      <c r="A248" s="5"/>
      <c r="B248" s="1"/>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x14ac:dyDescent="0.2">
      <c r="A249" s="5"/>
      <c r="B249" s="1"/>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x14ac:dyDescent="0.2">
      <c r="A250" s="5"/>
      <c r="B250" s="1"/>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x14ac:dyDescent="0.2">
      <c r="A251" s="5"/>
      <c r="B251" s="1"/>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x14ac:dyDescent="0.2">
      <c r="A252" s="5"/>
      <c r="B252" s="1"/>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x14ac:dyDescent="0.2">
      <c r="A253" s="5"/>
      <c r="B253" s="1"/>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x14ac:dyDescent="0.2">
      <c r="A254" s="5"/>
      <c r="B254" s="1"/>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x14ac:dyDescent="0.2">
      <c r="A255" s="5"/>
      <c r="B255" s="1"/>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x14ac:dyDescent="0.2">
      <c r="A256" s="5"/>
      <c r="B256" s="1"/>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x14ac:dyDescent="0.2">
      <c r="A257" s="5"/>
      <c r="B257" s="1"/>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x14ac:dyDescent="0.2">
      <c r="A258" s="5"/>
      <c r="B258" s="1"/>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x14ac:dyDescent="0.2">
      <c r="A259" s="5"/>
      <c r="B259" s="1"/>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x14ac:dyDescent="0.2">
      <c r="A260" s="5"/>
      <c r="B260" s="1"/>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x14ac:dyDescent="0.2">
      <c r="A261" s="5"/>
      <c r="B261" s="1"/>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x14ac:dyDescent="0.2">
      <c r="A262" s="5"/>
      <c r="B262" s="1"/>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x14ac:dyDescent="0.2">
      <c r="A263" s="5"/>
      <c r="B263" s="1"/>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x14ac:dyDescent="0.2">
      <c r="A264" s="5"/>
      <c r="B264" s="1"/>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x14ac:dyDescent="0.2">
      <c r="A265" s="5"/>
      <c r="B265" s="1"/>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x14ac:dyDescent="0.2">
      <c r="A266" s="5"/>
      <c r="B266" s="1"/>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x14ac:dyDescent="0.2">
      <c r="A267" s="5"/>
      <c r="B267" s="1"/>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x14ac:dyDescent="0.2">
      <c r="A268" s="5"/>
      <c r="B268" s="1"/>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x14ac:dyDescent="0.2">
      <c r="A269" s="5"/>
      <c r="B269" s="1"/>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x14ac:dyDescent="0.2">
      <c r="A270" s="5"/>
      <c r="B270" s="1"/>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x14ac:dyDescent="0.2">
      <c r="A271" s="5"/>
      <c r="B271" s="1"/>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x14ac:dyDescent="0.2">
      <c r="A272" s="5"/>
      <c r="B272" s="1"/>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x14ac:dyDescent="0.2">
      <c r="A273" s="5"/>
      <c r="B273" s="1"/>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x14ac:dyDescent="0.2">
      <c r="A274" s="5"/>
      <c r="B274" s="1"/>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x14ac:dyDescent="0.2">
      <c r="A275" s="5"/>
      <c r="B275" s="1"/>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x14ac:dyDescent="0.2">
      <c r="A276" s="5"/>
      <c r="B276" s="1"/>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x14ac:dyDescent="0.2">
      <c r="A277" s="5"/>
      <c r="B277" s="1"/>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x14ac:dyDescent="0.2">
      <c r="A278" s="5"/>
      <c r="B278" s="1"/>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x14ac:dyDescent="0.2">
      <c r="A279" s="5"/>
      <c r="B279" s="1"/>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x14ac:dyDescent="0.2">
      <c r="A280" s="5"/>
      <c r="B280" s="1"/>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x14ac:dyDescent="0.2">
      <c r="A281" s="5"/>
      <c r="B281" s="1"/>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x14ac:dyDescent="0.2">
      <c r="A282" s="5"/>
      <c r="B282" s="1"/>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x14ac:dyDescent="0.2">
      <c r="A283" s="5"/>
      <c r="B283" s="1"/>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x14ac:dyDescent="0.2">
      <c r="A284" s="5"/>
      <c r="B284" s="1"/>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x14ac:dyDescent="0.2">
      <c r="A285" s="5"/>
      <c r="B285" s="1"/>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x14ac:dyDescent="0.2">
      <c r="A286" s="5"/>
      <c r="B286" s="1"/>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x14ac:dyDescent="0.2">
      <c r="A287" s="5"/>
      <c r="B287" s="1"/>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x14ac:dyDescent="0.2">
      <c r="A288" s="5"/>
      <c r="B288" s="1"/>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x14ac:dyDescent="0.2">
      <c r="A289" s="5"/>
      <c r="B289" s="1"/>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x14ac:dyDescent="0.2">
      <c r="A290" s="5"/>
      <c r="B290" s="1"/>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x14ac:dyDescent="0.2">
      <c r="A291" s="5"/>
      <c r="B291" s="1"/>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x14ac:dyDescent="0.2">
      <c r="A292" s="5"/>
      <c r="B292" s="1"/>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x14ac:dyDescent="0.2">
      <c r="A293" s="5"/>
      <c r="B293" s="1"/>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x14ac:dyDescent="0.2">
      <c r="A294" s="5"/>
      <c r="B294" s="1"/>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x14ac:dyDescent="0.2">
      <c r="A295" s="5"/>
      <c r="B295" s="1"/>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x14ac:dyDescent="0.2">
      <c r="A296" s="5"/>
      <c r="B296" s="1"/>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x14ac:dyDescent="0.2">
      <c r="A297" s="5"/>
      <c r="B297" s="1"/>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x14ac:dyDescent="0.2">
      <c r="A298" s="5"/>
      <c r="B298" s="1"/>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x14ac:dyDescent="0.2">
      <c r="A299" s="5"/>
      <c r="B299" s="1"/>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x14ac:dyDescent="0.2">
      <c r="A300" s="5"/>
      <c r="B300" s="1"/>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x14ac:dyDescent="0.2">
      <c r="A301" s="5"/>
      <c r="B301" s="1"/>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x14ac:dyDescent="0.2">
      <c r="A302" s="5"/>
      <c r="B302" s="1"/>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x14ac:dyDescent="0.2">
      <c r="A303" s="5"/>
      <c r="B303" s="1"/>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x14ac:dyDescent="0.2">
      <c r="A304" s="5"/>
      <c r="B304" s="1"/>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x14ac:dyDescent="0.2">
      <c r="A305" s="5"/>
      <c r="B305" s="1"/>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x14ac:dyDescent="0.2">
      <c r="A306" s="5"/>
      <c r="B306" s="1"/>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x14ac:dyDescent="0.2">
      <c r="A307" s="5"/>
      <c r="B307" s="1"/>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x14ac:dyDescent="0.2">
      <c r="A308" s="5"/>
      <c r="B308" s="1"/>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x14ac:dyDescent="0.2">
      <c r="A309" s="5"/>
      <c r="B309" s="1"/>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x14ac:dyDescent="0.2">
      <c r="A310" s="5"/>
      <c r="B310" s="1"/>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x14ac:dyDescent="0.2">
      <c r="A311" s="5"/>
      <c r="B311" s="1"/>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x14ac:dyDescent="0.2">
      <c r="A312" s="5"/>
      <c r="B312" s="1"/>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x14ac:dyDescent="0.2">
      <c r="A313" s="5"/>
      <c r="B313" s="1"/>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x14ac:dyDescent="0.2">
      <c r="A314" s="5"/>
      <c r="B314" s="1"/>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x14ac:dyDescent="0.2">
      <c r="A315" s="5"/>
      <c r="B315" s="1"/>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x14ac:dyDescent="0.2">
      <c r="A316" s="5"/>
      <c r="B316" s="1"/>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x14ac:dyDescent="0.2">
      <c r="A317" s="5"/>
      <c r="B317" s="1"/>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x14ac:dyDescent="0.2">
      <c r="A318" s="5"/>
      <c r="B318" s="1"/>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x14ac:dyDescent="0.2">
      <c r="A319" s="5"/>
      <c r="B319" s="1"/>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x14ac:dyDescent="0.2">
      <c r="A320" s="5"/>
      <c r="B320" s="1"/>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x14ac:dyDescent="0.2">
      <c r="A321" s="5"/>
      <c r="B321" s="1"/>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x14ac:dyDescent="0.2">
      <c r="A322" s="5"/>
      <c r="B322" s="1"/>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x14ac:dyDescent="0.2">
      <c r="A323" s="5"/>
      <c r="B323" s="1"/>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x14ac:dyDescent="0.2">
      <c r="A324" s="5"/>
      <c r="B324" s="1"/>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x14ac:dyDescent="0.2">
      <c r="A325" s="5"/>
      <c r="B325" s="1"/>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x14ac:dyDescent="0.2">
      <c r="A326" s="5"/>
      <c r="B326" s="1"/>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x14ac:dyDescent="0.2">
      <c r="A327" s="5"/>
      <c r="B327" s="1"/>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x14ac:dyDescent="0.2">
      <c r="A328" s="5"/>
      <c r="B328" s="1"/>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x14ac:dyDescent="0.2">
      <c r="A329" s="5"/>
      <c r="B329" s="1"/>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x14ac:dyDescent="0.2">
      <c r="A330" s="5"/>
      <c r="B330" s="1"/>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x14ac:dyDescent="0.2">
      <c r="A331" s="5"/>
      <c r="B331" s="1"/>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x14ac:dyDescent="0.2">
      <c r="A332" s="5"/>
      <c r="B332" s="1"/>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x14ac:dyDescent="0.2">
      <c r="A333" s="5"/>
      <c r="B333" s="1"/>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x14ac:dyDescent="0.2">
      <c r="A334" s="5"/>
      <c r="B334" s="1"/>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x14ac:dyDescent="0.2">
      <c r="A335" s="5"/>
      <c r="B335" s="1"/>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x14ac:dyDescent="0.2">
      <c r="A336" s="5"/>
      <c r="B336" s="1"/>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x14ac:dyDescent="0.2">
      <c r="A337" s="5"/>
      <c r="B337" s="1"/>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x14ac:dyDescent="0.2">
      <c r="A338" s="5"/>
      <c r="B338" s="1"/>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x14ac:dyDescent="0.2">
      <c r="A339" s="5"/>
      <c r="B339" s="1"/>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x14ac:dyDescent="0.2">
      <c r="A340" s="5"/>
      <c r="B340" s="1"/>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x14ac:dyDescent="0.2">
      <c r="A341" s="5"/>
      <c r="B341" s="1"/>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x14ac:dyDescent="0.2">
      <c r="A342" s="5"/>
      <c r="B342" s="1"/>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x14ac:dyDescent="0.2">
      <c r="A343" s="5"/>
      <c r="B343" s="1"/>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x14ac:dyDescent="0.2">
      <c r="A344" s="5"/>
      <c r="B344" s="1"/>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x14ac:dyDescent="0.2">
      <c r="A345" s="5"/>
      <c r="B345" s="1"/>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x14ac:dyDescent="0.2">
      <c r="A346" s="5"/>
      <c r="B346" s="1"/>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x14ac:dyDescent="0.2">
      <c r="A347" s="5"/>
      <c r="B347" s="1"/>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x14ac:dyDescent="0.2">
      <c r="A348" s="5"/>
      <c r="B348" s="1"/>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x14ac:dyDescent="0.2">
      <c r="A349" s="5"/>
      <c r="B349" s="1"/>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x14ac:dyDescent="0.2">
      <c r="A350" s="5"/>
      <c r="B350" s="1"/>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x14ac:dyDescent="0.2">
      <c r="A351" s="5"/>
      <c r="B351" s="1"/>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x14ac:dyDescent="0.2">
      <c r="A352" s="5"/>
      <c r="B352" s="1"/>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x14ac:dyDescent="0.2">
      <c r="A353" s="5"/>
      <c r="B353" s="1"/>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x14ac:dyDescent="0.2">
      <c r="A354" s="5"/>
      <c r="B354" s="1"/>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x14ac:dyDescent="0.2">
      <c r="A355" s="5"/>
      <c r="B355" s="1"/>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x14ac:dyDescent="0.2">
      <c r="A356" s="5"/>
      <c r="B356" s="1"/>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x14ac:dyDescent="0.2">
      <c r="A357" s="5"/>
      <c r="B357" s="1"/>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x14ac:dyDescent="0.2">
      <c r="A358" s="5"/>
      <c r="B358" s="1"/>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x14ac:dyDescent="0.2">
      <c r="A359" s="5"/>
      <c r="B359" s="1"/>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x14ac:dyDescent="0.2">
      <c r="A360" s="5"/>
      <c r="B360" s="1"/>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x14ac:dyDescent="0.2">
      <c r="A361" s="5"/>
      <c r="B361" s="1"/>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x14ac:dyDescent="0.2">
      <c r="A362" s="5"/>
      <c r="B362" s="1"/>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x14ac:dyDescent="0.2">
      <c r="A363" s="5"/>
      <c r="B363" s="1"/>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x14ac:dyDescent="0.2">
      <c r="A364" s="5"/>
      <c r="B364" s="1"/>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x14ac:dyDescent="0.2">
      <c r="A365" s="5"/>
      <c r="B365" s="1"/>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x14ac:dyDescent="0.2">
      <c r="A366" s="5"/>
      <c r="B366" s="1"/>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x14ac:dyDescent="0.2">
      <c r="A367" s="5"/>
      <c r="B367" s="1"/>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x14ac:dyDescent="0.2">
      <c r="A368" s="5"/>
      <c r="B368" s="1"/>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x14ac:dyDescent="0.2">
      <c r="A369" s="5"/>
      <c r="B369" s="1"/>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x14ac:dyDescent="0.2">
      <c r="A370" s="5"/>
      <c r="B370" s="1"/>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x14ac:dyDescent="0.2">
      <c r="A371" s="5"/>
      <c r="B371" s="1"/>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x14ac:dyDescent="0.2">
      <c r="A372" s="5"/>
      <c r="B372" s="1"/>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x14ac:dyDescent="0.2">
      <c r="A373" s="5"/>
      <c r="B373" s="1"/>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x14ac:dyDescent="0.2">
      <c r="A374" s="5"/>
      <c r="B374" s="1"/>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x14ac:dyDescent="0.2">
      <c r="A375" s="5"/>
      <c r="B375" s="1"/>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x14ac:dyDescent="0.2">
      <c r="A376" s="5"/>
      <c r="B376" s="1"/>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x14ac:dyDescent="0.2">
      <c r="A377" s="5"/>
      <c r="B377" s="1"/>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x14ac:dyDescent="0.2">
      <c r="A378" s="5"/>
      <c r="B378" s="1"/>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x14ac:dyDescent="0.2">
      <c r="A379" s="5"/>
      <c r="B379" s="1"/>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x14ac:dyDescent="0.2">
      <c r="A380" s="5"/>
      <c r="B380" s="1"/>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x14ac:dyDescent="0.2">
      <c r="A381" s="5"/>
      <c r="B381" s="1"/>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x14ac:dyDescent="0.2">
      <c r="A382" s="5"/>
      <c r="B382" s="1"/>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x14ac:dyDescent="0.2">
      <c r="A383" s="5"/>
      <c r="B383" s="1"/>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x14ac:dyDescent="0.2">
      <c r="A384" s="5"/>
      <c r="B384" s="1"/>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x14ac:dyDescent="0.2">
      <c r="A385" s="5"/>
      <c r="B385" s="1"/>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x14ac:dyDescent="0.2">
      <c r="A386" s="5"/>
      <c r="B386" s="1"/>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x14ac:dyDescent="0.2">
      <c r="A387" s="5"/>
      <c r="B387" s="1"/>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x14ac:dyDescent="0.2">
      <c r="A388" s="5"/>
      <c r="B388" s="1"/>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x14ac:dyDescent="0.2">
      <c r="A389" s="5"/>
      <c r="B389" s="1"/>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x14ac:dyDescent="0.2">
      <c r="A390" s="5"/>
      <c r="B390" s="1"/>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x14ac:dyDescent="0.2">
      <c r="A391" s="5"/>
      <c r="B391" s="1"/>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x14ac:dyDescent="0.2">
      <c r="A392" s="5"/>
      <c r="B392" s="1"/>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x14ac:dyDescent="0.2">
      <c r="A393" s="5"/>
      <c r="B393" s="1"/>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x14ac:dyDescent="0.2">
      <c r="A394" s="5"/>
      <c r="B394" s="1"/>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x14ac:dyDescent="0.2">
      <c r="A395" s="5"/>
      <c r="B395" s="1"/>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x14ac:dyDescent="0.2">
      <c r="A396" s="5"/>
      <c r="B396" s="1"/>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x14ac:dyDescent="0.2">
      <c r="A397" s="5"/>
      <c r="B397" s="1"/>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x14ac:dyDescent="0.2">
      <c r="A398" s="5"/>
      <c r="B398" s="1"/>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x14ac:dyDescent="0.2">
      <c r="A399" s="5"/>
      <c r="B399" s="1"/>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x14ac:dyDescent="0.2">
      <c r="A400" s="5"/>
      <c r="B400" s="1"/>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x14ac:dyDescent="0.2">
      <c r="A401" s="5"/>
      <c r="B401" s="1"/>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x14ac:dyDescent="0.2">
      <c r="A402" s="5"/>
      <c r="B402" s="1"/>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x14ac:dyDescent="0.2">
      <c r="A403" s="5"/>
      <c r="B403" s="1"/>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x14ac:dyDescent="0.2">
      <c r="A404" s="5"/>
      <c r="B404" s="1"/>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x14ac:dyDescent="0.2">
      <c r="A405" s="5"/>
      <c r="B405" s="1"/>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x14ac:dyDescent="0.2">
      <c r="A406" s="5"/>
      <c r="B406" s="1"/>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x14ac:dyDescent="0.2">
      <c r="A407" s="5"/>
      <c r="B407" s="1"/>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x14ac:dyDescent="0.2">
      <c r="A408" s="5"/>
      <c r="B408" s="1"/>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x14ac:dyDescent="0.2">
      <c r="A409" s="5"/>
      <c r="B409" s="1"/>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x14ac:dyDescent="0.2">
      <c r="A410" s="5"/>
      <c r="B410" s="1"/>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x14ac:dyDescent="0.2">
      <c r="A411" s="5"/>
      <c r="B411" s="1"/>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x14ac:dyDescent="0.2">
      <c r="A412" s="5"/>
      <c r="B412" s="1"/>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x14ac:dyDescent="0.2">
      <c r="A413" s="5"/>
      <c r="B413" s="1"/>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x14ac:dyDescent="0.2">
      <c r="A414" s="5"/>
      <c r="B414" s="1"/>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x14ac:dyDescent="0.2">
      <c r="A415" s="5"/>
      <c r="B415" s="1"/>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x14ac:dyDescent="0.2">
      <c r="A416" s="5"/>
      <c r="B416" s="1"/>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x14ac:dyDescent="0.2">
      <c r="A417" s="5"/>
      <c r="B417" s="1"/>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x14ac:dyDescent="0.2">
      <c r="A418" s="5"/>
      <c r="B418" s="1"/>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x14ac:dyDescent="0.2">
      <c r="A419" s="5"/>
      <c r="B419" s="1"/>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x14ac:dyDescent="0.2">
      <c r="A420" s="5"/>
      <c r="B420" s="1"/>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x14ac:dyDescent="0.2">
      <c r="A421" s="5"/>
      <c r="B421" s="1"/>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x14ac:dyDescent="0.2">
      <c r="A422" s="5"/>
      <c r="B422" s="1"/>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x14ac:dyDescent="0.2">
      <c r="A423" s="5"/>
      <c r="B423" s="1"/>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x14ac:dyDescent="0.2">
      <c r="A424" s="5"/>
      <c r="B424" s="1"/>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x14ac:dyDescent="0.2">
      <c r="A425" s="5"/>
      <c r="B425" s="1"/>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x14ac:dyDescent="0.2">
      <c r="A426" s="5"/>
      <c r="B426" s="1"/>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x14ac:dyDescent="0.2">
      <c r="A427" s="5"/>
      <c r="B427" s="1"/>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x14ac:dyDescent="0.2">
      <c r="A428" s="5"/>
      <c r="B428" s="1"/>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x14ac:dyDescent="0.2">
      <c r="A429" s="5"/>
      <c r="B429" s="1"/>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x14ac:dyDescent="0.2">
      <c r="A430" s="5"/>
      <c r="B430" s="1"/>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x14ac:dyDescent="0.2">
      <c r="A431" s="5"/>
      <c r="B431" s="1"/>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x14ac:dyDescent="0.2">
      <c r="A432" s="5"/>
      <c r="B432" s="1"/>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x14ac:dyDescent="0.2">
      <c r="A433" s="5"/>
      <c r="B433" s="1"/>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x14ac:dyDescent="0.2">
      <c r="A434" s="5"/>
      <c r="B434" s="1"/>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x14ac:dyDescent="0.2">
      <c r="A435" s="5"/>
      <c r="B435" s="1"/>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x14ac:dyDescent="0.2">
      <c r="A436" s="5"/>
      <c r="B436" s="1"/>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x14ac:dyDescent="0.2">
      <c r="A437" s="5"/>
      <c r="B437" s="1"/>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x14ac:dyDescent="0.2">
      <c r="A438" s="5"/>
      <c r="B438" s="1"/>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x14ac:dyDescent="0.2">
      <c r="A439" s="5"/>
      <c r="B439" s="1"/>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x14ac:dyDescent="0.2">
      <c r="A440" s="5"/>
      <c r="B440" s="1"/>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x14ac:dyDescent="0.2">
      <c r="A441" s="5"/>
      <c r="B441" s="1"/>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x14ac:dyDescent="0.2">
      <c r="A442" s="5"/>
      <c r="B442" s="1"/>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x14ac:dyDescent="0.2">
      <c r="A443" s="5"/>
      <c r="B443" s="1"/>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x14ac:dyDescent="0.2">
      <c r="A444" s="5"/>
      <c r="B444" s="1"/>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x14ac:dyDescent="0.2">
      <c r="A445" s="5"/>
      <c r="B445" s="1"/>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x14ac:dyDescent="0.2">
      <c r="A446" s="5"/>
      <c r="B446" s="1"/>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x14ac:dyDescent="0.2">
      <c r="A447" s="5"/>
      <c r="B447" s="1"/>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x14ac:dyDescent="0.2">
      <c r="A448" s="5"/>
      <c r="B448" s="1"/>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x14ac:dyDescent="0.2">
      <c r="A449" s="5"/>
      <c r="B449" s="1"/>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x14ac:dyDescent="0.2">
      <c r="A450" s="5"/>
      <c r="B450" s="1"/>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x14ac:dyDescent="0.2">
      <c r="A451" s="5"/>
      <c r="B451" s="1"/>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x14ac:dyDescent="0.2">
      <c r="A452" s="5"/>
      <c r="B452" s="1"/>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x14ac:dyDescent="0.2">
      <c r="A453" s="5"/>
      <c r="B453" s="1"/>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x14ac:dyDescent="0.2">
      <c r="A454" s="5"/>
      <c r="B454" s="1"/>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x14ac:dyDescent="0.2">
      <c r="A455" s="5"/>
      <c r="B455" s="1"/>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x14ac:dyDescent="0.2">
      <c r="A456" s="5"/>
      <c r="B456" s="1"/>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x14ac:dyDescent="0.2">
      <c r="A457" s="5"/>
      <c r="B457" s="1"/>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x14ac:dyDescent="0.2">
      <c r="A458" s="5"/>
      <c r="B458" s="1"/>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x14ac:dyDescent="0.2">
      <c r="A459" s="5"/>
      <c r="B459" s="1"/>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x14ac:dyDescent="0.2">
      <c r="A460" s="5"/>
      <c r="B460" s="1"/>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x14ac:dyDescent="0.2">
      <c r="A461" s="5"/>
      <c r="B461" s="1"/>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x14ac:dyDescent="0.2">
      <c r="A462" s="5"/>
      <c r="B462" s="1"/>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x14ac:dyDescent="0.2">
      <c r="A463" s="5"/>
      <c r="B463" s="1"/>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x14ac:dyDescent="0.2">
      <c r="A464" s="5"/>
      <c r="B464" s="1"/>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x14ac:dyDescent="0.2">
      <c r="A465" s="5"/>
      <c r="B465" s="1"/>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x14ac:dyDescent="0.2">
      <c r="A466" s="5"/>
      <c r="B466" s="1"/>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x14ac:dyDescent="0.2">
      <c r="A467" s="5"/>
      <c r="B467" s="1"/>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x14ac:dyDescent="0.2">
      <c r="A468" s="5"/>
      <c r="B468" s="1"/>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x14ac:dyDescent="0.2">
      <c r="A469" s="5"/>
      <c r="B469" s="1"/>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x14ac:dyDescent="0.2">
      <c r="A470" s="5"/>
      <c r="B470" s="1"/>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x14ac:dyDescent="0.2">
      <c r="A471" s="5"/>
      <c r="B471" s="1"/>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x14ac:dyDescent="0.2">
      <c r="A472" s="5"/>
      <c r="B472" s="1"/>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x14ac:dyDescent="0.2">
      <c r="A473" s="5"/>
      <c r="B473" s="1"/>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x14ac:dyDescent="0.2">
      <c r="A474" s="5"/>
      <c r="B474" s="1"/>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x14ac:dyDescent="0.2">
      <c r="A475" s="5"/>
      <c r="B475" s="1"/>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x14ac:dyDescent="0.2">
      <c r="A476" s="5"/>
      <c r="B476" s="1"/>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x14ac:dyDescent="0.2">
      <c r="A477" s="5"/>
      <c r="B477" s="1"/>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x14ac:dyDescent="0.2">
      <c r="A478" s="5"/>
      <c r="B478" s="1"/>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x14ac:dyDescent="0.2">
      <c r="A479" s="5"/>
      <c r="B479" s="1"/>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x14ac:dyDescent="0.2">
      <c r="A480" s="5"/>
      <c r="B480" s="1"/>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x14ac:dyDescent="0.2">
      <c r="A481" s="5"/>
      <c r="B481" s="1"/>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x14ac:dyDescent="0.2">
      <c r="A482" s="5"/>
      <c r="B482" s="1"/>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x14ac:dyDescent="0.2">
      <c r="A483" s="5"/>
      <c r="B483" s="1"/>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x14ac:dyDescent="0.2">
      <c r="A484" s="5"/>
      <c r="B484" s="1"/>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x14ac:dyDescent="0.2">
      <c r="A485" s="5"/>
      <c r="B485" s="1"/>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x14ac:dyDescent="0.2">
      <c r="A486" s="5"/>
      <c r="B486" s="1"/>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x14ac:dyDescent="0.2">
      <c r="A487" s="5"/>
      <c r="B487" s="1"/>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x14ac:dyDescent="0.2">
      <c r="A488" s="5"/>
      <c r="B488" s="1"/>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x14ac:dyDescent="0.2">
      <c r="A489" s="5"/>
      <c r="B489" s="1"/>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x14ac:dyDescent="0.2">
      <c r="A490" s="5"/>
      <c r="B490" s="1"/>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x14ac:dyDescent="0.2">
      <c r="A491" s="5"/>
      <c r="B491" s="1"/>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x14ac:dyDescent="0.2">
      <c r="A492" s="5"/>
      <c r="B492" s="1"/>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x14ac:dyDescent="0.2">
      <c r="A493" s="5"/>
      <c r="B493" s="1"/>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x14ac:dyDescent="0.2">
      <c r="A494" s="5"/>
      <c r="B494" s="1"/>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x14ac:dyDescent="0.2">
      <c r="A495" s="5"/>
      <c r="B495" s="1"/>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x14ac:dyDescent="0.2">
      <c r="A496" s="5"/>
      <c r="B496" s="1"/>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x14ac:dyDescent="0.2">
      <c r="A497" s="5"/>
      <c r="B497" s="1"/>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x14ac:dyDescent="0.2">
      <c r="A498" s="5"/>
      <c r="B498" s="1"/>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x14ac:dyDescent="0.2">
      <c r="A499" s="5"/>
      <c r="B499" s="1"/>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x14ac:dyDescent="0.2">
      <c r="A500" s="5"/>
      <c r="B500" s="1"/>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x14ac:dyDescent="0.2">
      <c r="A501" s="5"/>
      <c r="B501" s="1"/>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x14ac:dyDescent="0.2">
      <c r="A502" s="5"/>
      <c r="B502" s="1"/>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x14ac:dyDescent="0.2">
      <c r="A503" s="5"/>
      <c r="B503" s="1"/>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x14ac:dyDescent="0.2">
      <c r="A504" s="5"/>
      <c r="B504" s="1"/>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x14ac:dyDescent="0.2">
      <c r="A505" s="5"/>
      <c r="B505" s="1"/>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x14ac:dyDescent="0.2">
      <c r="A506" s="5"/>
      <c r="B506" s="1"/>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x14ac:dyDescent="0.2">
      <c r="A507" s="5"/>
      <c r="B507" s="1"/>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x14ac:dyDescent="0.2">
      <c r="A508" s="5"/>
      <c r="B508" s="1"/>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x14ac:dyDescent="0.2">
      <c r="A509" s="5"/>
      <c r="B509" s="1"/>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x14ac:dyDescent="0.2">
      <c r="A510" s="5"/>
      <c r="B510" s="1"/>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x14ac:dyDescent="0.2">
      <c r="A511" s="5"/>
      <c r="B511" s="1"/>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x14ac:dyDescent="0.2">
      <c r="A512" s="5"/>
      <c r="B512" s="1"/>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x14ac:dyDescent="0.2">
      <c r="A513" s="5"/>
      <c r="B513" s="1"/>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x14ac:dyDescent="0.2">
      <c r="A514" s="5"/>
      <c r="B514" s="1"/>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x14ac:dyDescent="0.2">
      <c r="A515" s="5"/>
      <c r="B515" s="1"/>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x14ac:dyDescent="0.2">
      <c r="A516" s="5"/>
      <c r="B516" s="1"/>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x14ac:dyDescent="0.2">
      <c r="A517" s="5"/>
      <c r="B517" s="1"/>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x14ac:dyDescent="0.2">
      <c r="A518" s="5"/>
      <c r="B518" s="1"/>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x14ac:dyDescent="0.2">
      <c r="A519" s="5"/>
      <c r="B519" s="1"/>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x14ac:dyDescent="0.2">
      <c r="A520" s="5"/>
      <c r="B520" s="1"/>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x14ac:dyDescent="0.2">
      <c r="A521" s="5"/>
      <c r="B521" s="1"/>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x14ac:dyDescent="0.2">
      <c r="A522" s="5"/>
      <c r="B522" s="1"/>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x14ac:dyDescent="0.2">
      <c r="A523" s="5"/>
      <c r="B523" s="1"/>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x14ac:dyDescent="0.2">
      <c r="A524" s="5"/>
      <c r="B524" s="1"/>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x14ac:dyDescent="0.2">
      <c r="A525" s="5"/>
      <c r="B525" s="1"/>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x14ac:dyDescent="0.2">
      <c r="A526" s="5"/>
      <c r="B526" s="1"/>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x14ac:dyDescent="0.2">
      <c r="A527" s="5"/>
      <c r="B527" s="1"/>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x14ac:dyDescent="0.2">
      <c r="A528" s="5"/>
      <c r="B528" s="1"/>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x14ac:dyDescent="0.2">
      <c r="A529" s="5"/>
      <c r="B529" s="1"/>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x14ac:dyDescent="0.2">
      <c r="A530" s="5"/>
      <c r="B530" s="1"/>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x14ac:dyDescent="0.2">
      <c r="A531" s="5"/>
      <c r="B531" s="1"/>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x14ac:dyDescent="0.2">
      <c r="A532" s="5"/>
      <c r="B532" s="1"/>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x14ac:dyDescent="0.2">
      <c r="A533" s="5"/>
      <c r="B533" s="1"/>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x14ac:dyDescent="0.2">
      <c r="A534" s="5"/>
      <c r="B534" s="1"/>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x14ac:dyDescent="0.2">
      <c r="A535" s="5"/>
      <c r="B535" s="1"/>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x14ac:dyDescent="0.2">
      <c r="A536" s="5"/>
      <c r="B536" s="1"/>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x14ac:dyDescent="0.2">
      <c r="A537" s="5"/>
      <c r="B537" s="1"/>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x14ac:dyDescent="0.2">
      <c r="A538" s="5"/>
      <c r="B538" s="1"/>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x14ac:dyDescent="0.2">
      <c r="A539" s="5"/>
      <c r="B539" s="1"/>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x14ac:dyDescent="0.2">
      <c r="A540" s="5"/>
      <c r="B540" s="1"/>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x14ac:dyDescent="0.2">
      <c r="A541" s="5"/>
      <c r="B541" s="1"/>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x14ac:dyDescent="0.2">
      <c r="A542" s="5"/>
      <c r="B542" s="1"/>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x14ac:dyDescent="0.2">
      <c r="A543" s="5"/>
      <c r="B543" s="1"/>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x14ac:dyDescent="0.2">
      <c r="A544" s="5"/>
      <c r="B544" s="1"/>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x14ac:dyDescent="0.2">
      <c r="A545" s="5"/>
      <c r="B545" s="1"/>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x14ac:dyDescent="0.2">
      <c r="A546" s="5"/>
      <c r="B546" s="1"/>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x14ac:dyDescent="0.2">
      <c r="A547" s="5"/>
      <c r="B547" s="1"/>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x14ac:dyDescent="0.2">
      <c r="A548" s="5"/>
      <c r="B548" s="1"/>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x14ac:dyDescent="0.2">
      <c r="A549" s="5"/>
      <c r="B549" s="1"/>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x14ac:dyDescent="0.2">
      <c r="A550" s="5"/>
      <c r="B550" s="1"/>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x14ac:dyDescent="0.2">
      <c r="A551" s="5"/>
      <c r="B551" s="1"/>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x14ac:dyDescent="0.2">
      <c r="A552" s="5"/>
      <c r="B552" s="1"/>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x14ac:dyDescent="0.2">
      <c r="A553" s="5"/>
      <c r="B553" s="1"/>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x14ac:dyDescent="0.2">
      <c r="A554" s="5"/>
      <c r="B554" s="1"/>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x14ac:dyDescent="0.2">
      <c r="A555" s="5"/>
      <c r="B555" s="1"/>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x14ac:dyDescent="0.2">
      <c r="A556" s="5"/>
      <c r="B556" s="1"/>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x14ac:dyDescent="0.2">
      <c r="A557" s="5"/>
      <c r="B557" s="1"/>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x14ac:dyDescent="0.2">
      <c r="A558" s="5"/>
      <c r="B558" s="1"/>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x14ac:dyDescent="0.2">
      <c r="A559" s="5"/>
      <c r="B559" s="1"/>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x14ac:dyDescent="0.2">
      <c r="A560" s="5"/>
      <c r="B560" s="1"/>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x14ac:dyDescent="0.2">
      <c r="A561" s="5"/>
      <c r="B561" s="1"/>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x14ac:dyDescent="0.2">
      <c r="A562" s="5"/>
      <c r="B562" s="1"/>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x14ac:dyDescent="0.2">
      <c r="A563" s="5"/>
      <c r="B563" s="1"/>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x14ac:dyDescent="0.2">
      <c r="A564" s="5"/>
      <c r="B564" s="1"/>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x14ac:dyDescent="0.2">
      <c r="A565" s="5"/>
      <c r="B565" s="1"/>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x14ac:dyDescent="0.2">
      <c r="A566" s="5"/>
      <c r="B566" s="1"/>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x14ac:dyDescent="0.2">
      <c r="A567" s="5"/>
      <c r="B567" s="1"/>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x14ac:dyDescent="0.2">
      <c r="A568" s="5"/>
      <c r="B568" s="1"/>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x14ac:dyDescent="0.2">
      <c r="A569" s="5"/>
      <c r="B569" s="1"/>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x14ac:dyDescent="0.2">
      <c r="A570" s="5"/>
      <c r="B570" s="1"/>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x14ac:dyDescent="0.2">
      <c r="A571" s="5"/>
      <c r="B571" s="1"/>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x14ac:dyDescent="0.2">
      <c r="A572" s="5"/>
      <c r="B572" s="1"/>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x14ac:dyDescent="0.2">
      <c r="A573" s="5"/>
      <c r="B573" s="1"/>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x14ac:dyDescent="0.2">
      <c r="A574" s="5"/>
      <c r="B574" s="1"/>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x14ac:dyDescent="0.2">
      <c r="A575" s="5"/>
      <c r="B575" s="1"/>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x14ac:dyDescent="0.2">
      <c r="A576" s="5"/>
      <c r="B576" s="1"/>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x14ac:dyDescent="0.2">
      <c r="A577" s="5"/>
      <c r="B577" s="1"/>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x14ac:dyDescent="0.2">
      <c r="A578" s="5"/>
      <c r="B578" s="1"/>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x14ac:dyDescent="0.2">
      <c r="A579" s="5"/>
      <c r="B579" s="1"/>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x14ac:dyDescent="0.2">
      <c r="A580" s="5"/>
      <c r="B580" s="1"/>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x14ac:dyDescent="0.2">
      <c r="A581" s="5"/>
      <c r="B581" s="1"/>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x14ac:dyDescent="0.2">
      <c r="A582" s="5"/>
      <c r="B582" s="1"/>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x14ac:dyDescent="0.2">
      <c r="A583" s="5"/>
      <c r="B583" s="1"/>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x14ac:dyDescent="0.2">
      <c r="A584" s="5"/>
      <c r="B584" s="1"/>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x14ac:dyDescent="0.2">
      <c r="A585" s="5"/>
      <c r="B585" s="1"/>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x14ac:dyDescent="0.2">
      <c r="A586" s="5"/>
      <c r="B586" s="1"/>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x14ac:dyDescent="0.2">
      <c r="A587" s="5"/>
      <c r="B587" s="1"/>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x14ac:dyDescent="0.2">
      <c r="A588" s="5"/>
      <c r="B588" s="1"/>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x14ac:dyDescent="0.2">
      <c r="A589" s="5"/>
      <c r="B589" s="1"/>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x14ac:dyDescent="0.2">
      <c r="A590" s="5"/>
      <c r="B590" s="1"/>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x14ac:dyDescent="0.2">
      <c r="A591" s="5"/>
      <c r="B591" s="1"/>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x14ac:dyDescent="0.2">
      <c r="A592" s="5"/>
      <c r="B592" s="1"/>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x14ac:dyDescent="0.2">
      <c r="A593" s="5"/>
      <c r="B593" s="1"/>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x14ac:dyDescent="0.2">
      <c r="A594" s="5"/>
      <c r="B594" s="1"/>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x14ac:dyDescent="0.2">
      <c r="A595" s="5"/>
      <c r="B595" s="1"/>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x14ac:dyDescent="0.2">
      <c r="A596" s="5"/>
      <c r="B596" s="1"/>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x14ac:dyDescent="0.2">
      <c r="A597" s="5"/>
      <c r="B597" s="1"/>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x14ac:dyDescent="0.2">
      <c r="A598" s="5"/>
      <c r="B598" s="1"/>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x14ac:dyDescent="0.2">
      <c r="A599" s="5"/>
      <c r="B599" s="1"/>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x14ac:dyDescent="0.2">
      <c r="A600" s="5"/>
      <c r="B600" s="1"/>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x14ac:dyDescent="0.2">
      <c r="A601" s="5"/>
      <c r="B601" s="1"/>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x14ac:dyDescent="0.2">
      <c r="A602" s="5"/>
      <c r="B602" s="1"/>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x14ac:dyDescent="0.2">
      <c r="A603" s="5"/>
      <c r="B603" s="1"/>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x14ac:dyDescent="0.2">
      <c r="A604" s="5"/>
      <c r="B604" s="1"/>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x14ac:dyDescent="0.2">
      <c r="A605" s="5"/>
      <c r="B605" s="1"/>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x14ac:dyDescent="0.2">
      <c r="A606" s="5"/>
      <c r="B606" s="1"/>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x14ac:dyDescent="0.2">
      <c r="A607" s="5"/>
      <c r="B607" s="1"/>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x14ac:dyDescent="0.2">
      <c r="A608" s="5"/>
      <c r="B608" s="1"/>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x14ac:dyDescent="0.2">
      <c r="A609" s="5"/>
      <c r="B609" s="1"/>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x14ac:dyDescent="0.2">
      <c r="A610" s="5"/>
      <c r="B610" s="1"/>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x14ac:dyDescent="0.2">
      <c r="A611" s="5"/>
      <c r="B611" s="1"/>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x14ac:dyDescent="0.2">
      <c r="A612" s="5"/>
      <c r="B612" s="1"/>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x14ac:dyDescent="0.2">
      <c r="A613" s="5"/>
      <c r="B613" s="1"/>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x14ac:dyDescent="0.2">
      <c r="A614" s="5"/>
      <c r="B614" s="1"/>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x14ac:dyDescent="0.2">
      <c r="A615" s="5"/>
      <c r="B615" s="1"/>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x14ac:dyDescent="0.2">
      <c r="A616" s="5"/>
      <c r="B616" s="1"/>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x14ac:dyDescent="0.2">
      <c r="A617" s="5"/>
      <c r="B617" s="1"/>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x14ac:dyDescent="0.2">
      <c r="A618" s="5"/>
      <c r="B618" s="1"/>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x14ac:dyDescent="0.2">
      <c r="A619" s="5"/>
      <c r="B619" s="1"/>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x14ac:dyDescent="0.2">
      <c r="A620" s="5"/>
      <c r="B620" s="1"/>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x14ac:dyDescent="0.2">
      <c r="A621" s="5"/>
      <c r="B621" s="1"/>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x14ac:dyDescent="0.2">
      <c r="A622" s="5"/>
      <c r="B622" s="1"/>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x14ac:dyDescent="0.2">
      <c r="A623" s="5"/>
      <c r="B623" s="1"/>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x14ac:dyDescent="0.2">
      <c r="A624" s="5"/>
      <c r="B624" s="1"/>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x14ac:dyDescent="0.2">
      <c r="A625" s="5"/>
      <c r="B625" s="1"/>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x14ac:dyDescent="0.2">
      <c r="A626" s="5"/>
      <c r="B626" s="1"/>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x14ac:dyDescent="0.2">
      <c r="A627" s="5"/>
      <c r="B627" s="1"/>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x14ac:dyDescent="0.2">
      <c r="A628" s="5"/>
      <c r="B628" s="1"/>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x14ac:dyDescent="0.2">
      <c r="A629" s="5"/>
      <c r="B629" s="1"/>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x14ac:dyDescent="0.2">
      <c r="A630" s="5"/>
      <c r="B630" s="1"/>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x14ac:dyDescent="0.2">
      <c r="A631" s="5"/>
      <c r="B631" s="1"/>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x14ac:dyDescent="0.2">
      <c r="A632" s="5"/>
      <c r="B632" s="1"/>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x14ac:dyDescent="0.2">
      <c r="A633" s="5"/>
      <c r="B633" s="1"/>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x14ac:dyDescent="0.2">
      <c r="A634" s="5"/>
      <c r="B634" s="1"/>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x14ac:dyDescent="0.2">
      <c r="A635" s="5"/>
      <c r="B635" s="1"/>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x14ac:dyDescent="0.2">
      <c r="A636" s="5"/>
      <c r="B636" s="1"/>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x14ac:dyDescent="0.2">
      <c r="A637" s="5"/>
      <c r="B637" s="1"/>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x14ac:dyDescent="0.2">
      <c r="A638" s="5"/>
      <c r="B638" s="1"/>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x14ac:dyDescent="0.2">
      <c r="A639" s="5"/>
      <c r="B639" s="1"/>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x14ac:dyDescent="0.2">
      <c r="A640" s="5"/>
      <c r="B640" s="1"/>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x14ac:dyDescent="0.2">
      <c r="A641" s="5"/>
      <c r="B641" s="1"/>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x14ac:dyDescent="0.2">
      <c r="A642" s="5"/>
      <c r="B642" s="1"/>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x14ac:dyDescent="0.2">
      <c r="A643" s="5"/>
      <c r="B643" s="1"/>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x14ac:dyDescent="0.2">
      <c r="A644" s="5"/>
      <c r="B644" s="1"/>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x14ac:dyDescent="0.2">
      <c r="A645" s="5"/>
      <c r="B645" s="1"/>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x14ac:dyDescent="0.2">
      <c r="A646" s="5"/>
      <c r="B646" s="1"/>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x14ac:dyDescent="0.2">
      <c r="A647" s="5"/>
      <c r="B647" s="1"/>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x14ac:dyDescent="0.2">
      <c r="A648" s="5"/>
      <c r="B648" s="1"/>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x14ac:dyDescent="0.2">
      <c r="A649" s="5"/>
      <c r="B649" s="1"/>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x14ac:dyDescent="0.2">
      <c r="A650" s="5"/>
      <c r="B650" s="1"/>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x14ac:dyDescent="0.2">
      <c r="A651" s="5"/>
      <c r="B651" s="1"/>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x14ac:dyDescent="0.2">
      <c r="A652" s="5"/>
      <c r="B652" s="1"/>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x14ac:dyDescent="0.2">
      <c r="A653" s="5"/>
      <c r="B653" s="1"/>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x14ac:dyDescent="0.2">
      <c r="A654" s="5"/>
      <c r="B654" s="1"/>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x14ac:dyDescent="0.2">
      <c r="A655" s="5"/>
      <c r="B655" s="1"/>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x14ac:dyDescent="0.2">
      <c r="A656" s="5"/>
      <c r="B656" s="1"/>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x14ac:dyDescent="0.2">
      <c r="A657" s="5"/>
      <c r="B657" s="1"/>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x14ac:dyDescent="0.2">
      <c r="A658" s="5"/>
      <c r="B658" s="1"/>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x14ac:dyDescent="0.2">
      <c r="A659" s="5"/>
      <c r="B659" s="1"/>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x14ac:dyDescent="0.2">
      <c r="A660" s="5"/>
      <c r="B660" s="1"/>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x14ac:dyDescent="0.2">
      <c r="A661" s="5"/>
      <c r="B661" s="1"/>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x14ac:dyDescent="0.2">
      <c r="A662" s="5"/>
      <c r="B662" s="1"/>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x14ac:dyDescent="0.2">
      <c r="A663" s="5"/>
      <c r="B663" s="1"/>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x14ac:dyDescent="0.2">
      <c r="A664" s="5"/>
      <c r="B664" s="1"/>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x14ac:dyDescent="0.2">
      <c r="A665" s="5"/>
      <c r="B665" s="1"/>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x14ac:dyDescent="0.2">
      <c r="A666" s="5"/>
      <c r="B666" s="1"/>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x14ac:dyDescent="0.2">
      <c r="A667" s="5"/>
      <c r="B667" s="1"/>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x14ac:dyDescent="0.2">
      <c r="A668" s="5"/>
      <c r="B668" s="1"/>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x14ac:dyDescent="0.2">
      <c r="A669" s="5"/>
      <c r="B669" s="1"/>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x14ac:dyDescent="0.2">
      <c r="A670" s="5"/>
      <c r="B670" s="1"/>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x14ac:dyDescent="0.2">
      <c r="A671" s="5"/>
      <c r="B671" s="1"/>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x14ac:dyDescent="0.2">
      <c r="A672" s="5"/>
      <c r="B672" s="1"/>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x14ac:dyDescent="0.2">
      <c r="A673" s="5"/>
      <c r="B673" s="1"/>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x14ac:dyDescent="0.2">
      <c r="A674" s="5"/>
      <c r="B674" s="1"/>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x14ac:dyDescent="0.2">
      <c r="A675" s="5"/>
      <c r="B675" s="1"/>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x14ac:dyDescent="0.2">
      <c r="A676" s="5"/>
      <c r="B676" s="1"/>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x14ac:dyDescent="0.2">
      <c r="A677" s="5"/>
      <c r="B677" s="1"/>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x14ac:dyDescent="0.2">
      <c r="A678" s="5"/>
      <c r="B678" s="1"/>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x14ac:dyDescent="0.2">
      <c r="A679" s="5"/>
      <c r="B679" s="1"/>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x14ac:dyDescent="0.2">
      <c r="A680" s="5"/>
      <c r="B680" s="1"/>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x14ac:dyDescent="0.2">
      <c r="A681" s="5"/>
      <c r="B681" s="1"/>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x14ac:dyDescent="0.2">
      <c r="A682" s="5"/>
      <c r="B682" s="1"/>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x14ac:dyDescent="0.2">
      <c r="A683" s="5"/>
      <c r="B683" s="1"/>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x14ac:dyDescent="0.2">
      <c r="A684" s="5"/>
      <c r="B684" s="1"/>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x14ac:dyDescent="0.2">
      <c r="A685" s="5"/>
      <c r="B685" s="1"/>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x14ac:dyDescent="0.2">
      <c r="A686" s="5"/>
      <c r="B686" s="1"/>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x14ac:dyDescent="0.2">
      <c r="A687" s="5"/>
      <c r="B687" s="1"/>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x14ac:dyDescent="0.2">
      <c r="A688" s="5"/>
      <c r="B688" s="1"/>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x14ac:dyDescent="0.2">
      <c r="A689" s="5"/>
      <c r="B689" s="1"/>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x14ac:dyDescent="0.2">
      <c r="A690" s="5"/>
      <c r="B690" s="1"/>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x14ac:dyDescent="0.2">
      <c r="A691" s="5"/>
      <c r="B691" s="1"/>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x14ac:dyDescent="0.2">
      <c r="A692" s="5"/>
      <c r="B692" s="1"/>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x14ac:dyDescent="0.2">
      <c r="A693" s="5"/>
      <c r="B693" s="1"/>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x14ac:dyDescent="0.2">
      <c r="A694" s="5"/>
      <c r="B694" s="1"/>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x14ac:dyDescent="0.2">
      <c r="A695" s="5"/>
      <c r="B695" s="1"/>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x14ac:dyDescent="0.2">
      <c r="A696" s="5"/>
      <c r="B696" s="1"/>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x14ac:dyDescent="0.2">
      <c r="A697" s="5"/>
      <c r="B697" s="1"/>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x14ac:dyDescent="0.2">
      <c r="A698" s="5"/>
      <c r="B698" s="1"/>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x14ac:dyDescent="0.2">
      <c r="A699" s="5"/>
      <c r="B699" s="1"/>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x14ac:dyDescent="0.2">
      <c r="A700" s="5"/>
      <c r="B700" s="1"/>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x14ac:dyDescent="0.2">
      <c r="A701" s="5"/>
      <c r="B701" s="1"/>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x14ac:dyDescent="0.2">
      <c r="A702" s="5"/>
      <c r="B702" s="1"/>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x14ac:dyDescent="0.2">
      <c r="A703" s="5"/>
      <c r="B703" s="1"/>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x14ac:dyDescent="0.2">
      <c r="A704" s="5"/>
      <c r="B704" s="1"/>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x14ac:dyDescent="0.2">
      <c r="A705" s="5"/>
      <c r="B705" s="1"/>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x14ac:dyDescent="0.2">
      <c r="A706" s="5"/>
      <c r="B706" s="1"/>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x14ac:dyDescent="0.2">
      <c r="A707" s="5"/>
      <c r="B707" s="1"/>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x14ac:dyDescent="0.2">
      <c r="A708" s="5"/>
      <c r="B708" s="1"/>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x14ac:dyDescent="0.2">
      <c r="A709" s="5"/>
      <c r="B709" s="1"/>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x14ac:dyDescent="0.2">
      <c r="A710" s="5"/>
      <c r="B710" s="1"/>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x14ac:dyDescent="0.2">
      <c r="A711" s="5"/>
      <c r="B711" s="1"/>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x14ac:dyDescent="0.2">
      <c r="A712" s="5"/>
      <c r="B712" s="1"/>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x14ac:dyDescent="0.2">
      <c r="A713" s="5"/>
      <c r="B713" s="1"/>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x14ac:dyDescent="0.2">
      <c r="A714" s="5"/>
      <c r="B714" s="1"/>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x14ac:dyDescent="0.2">
      <c r="A715" s="5"/>
      <c r="B715" s="1"/>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x14ac:dyDescent="0.2">
      <c r="A716" s="5"/>
      <c r="B716" s="1"/>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x14ac:dyDescent="0.2">
      <c r="A717" s="5"/>
      <c r="B717" s="1"/>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x14ac:dyDescent="0.2">
      <c r="A718" s="5"/>
      <c r="B718" s="1"/>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x14ac:dyDescent="0.2">
      <c r="A719" s="5"/>
      <c r="B719" s="1"/>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x14ac:dyDescent="0.2">
      <c r="A720" s="5"/>
      <c r="B720" s="1"/>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x14ac:dyDescent="0.2">
      <c r="A721" s="5"/>
      <c r="B721" s="1"/>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x14ac:dyDescent="0.2">
      <c r="A722" s="5"/>
      <c r="B722" s="1"/>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x14ac:dyDescent="0.2">
      <c r="A723" s="5"/>
      <c r="B723" s="1"/>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x14ac:dyDescent="0.2">
      <c r="A724" s="5"/>
      <c r="B724" s="1"/>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x14ac:dyDescent="0.2">
      <c r="A725" s="5"/>
      <c r="B725" s="1"/>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x14ac:dyDescent="0.2">
      <c r="A726" s="5"/>
      <c r="B726" s="1"/>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x14ac:dyDescent="0.2">
      <c r="A727" s="5"/>
      <c r="B727" s="1"/>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x14ac:dyDescent="0.2">
      <c r="A728" s="5"/>
      <c r="B728" s="1"/>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x14ac:dyDescent="0.2">
      <c r="A729" s="5"/>
      <c r="B729" s="1"/>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x14ac:dyDescent="0.2">
      <c r="A730" s="5"/>
      <c r="B730" s="1"/>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x14ac:dyDescent="0.2">
      <c r="A731" s="5"/>
      <c r="B731" s="1"/>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x14ac:dyDescent="0.2">
      <c r="A732" s="5"/>
      <c r="B732" s="1"/>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x14ac:dyDescent="0.2">
      <c r="A733" s="5"/>
      <c r="B733" s="1"/>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x14ac:dyDescent="0.2">
      <c r="A734" s="5"/>
      <c r="B734" s="1"/>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x14ac:dyDescent="0.2">
      <c r="A735" s="5"/>
      <c r="B735" s="1"/>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x14ac:dyDescent="0.2">
      <c r="A736" s="5"/>
      <c r="B736" s="1"/>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x14ac:dyDescent="0.2">
      <c r="A737" s="5"/>
      <c r="B737" s="1"/>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x14ac:dyDescent="0.2">
      <c r="A738" s="5"/>
      <c r="B738" s="1"/>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x14ac:dyDescent="0.2">
      <c r="A739" s="5"/>
      <c r="B739" s="1"/>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x14ac:dyDescent="0.2">
      <c r="A740" s="5"/>
      <c r="B740" s="1"/>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x14ac:dyDescent="0.2">
      <c r="A741" s="5"/>
      <c r="B741" s="1"/>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x14ac:dyDescent="0.2">
      <c r="A742" s="5"/>
      <c r="B742" s="1"/>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x14ac:dyDescent="0.2">
      <c r="A743" s="5"/>
      <c r="B743" s="1"/>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x14ac:dyDescent="0.2">
      <c r="A744" s="5"/>
      <c r="B744" s="1"/>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x14ac:dyDescent="0.2">
      <c r="A745" s="5"/>
      <c r="B745" s="1"/>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x14ac:dyDescent="0.2">
      <c r="A746" s="5"/>
      <c r="B746" s="1"/>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x14ac:dyDescent="0.2">
      <c r="A747" s="5"/>
      <c r="B747" s="1"/>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x14ac:dyDescent="0.2">
      <c r="A748" s="5"/>
      <c r="B748" s="1"/>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x14ac:dyDescent="0.2">
      <c r="A749" s="5"/>
      <c r="B749" s="1"/>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x14ac:dyDescent="0.2">
      <c r="A750" s="5"/>
      <c r="B750" s="1"/>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x14ac:dyDescent="0.2">
      <c r="A751" s="5"/>
      <c r="B751" s="1"/>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x14ac:dyDescent="0.2">
      <c r="A752" s="5"/>
      <c r="B752" s="1"/>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x14ac:dyDescent="0.2">
      <c r="A753" s="5"/>
      <c r="B753" s="1"/>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x14ac:dyDescent="0.2">
      <c r="A754" s="5"/>
      <c r="B754" s="1"/>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x14ac:dyDescent="0.2">
      <c r="A755" s="5"/>
      <c r="B755" s="1"/>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x14ac:dyDescent="0.2">
      <c r="A756" s="5"/>
      <c r="B756" s="1"/>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x14ac:dyDescent="0.2">
      <c r="A757" s="5"/>
      <c r="B757" s="1"/>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x14ac:dyDescent="0.2">
      <c r="A758" s="5"/>
      <c r="B758" s="1"/>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x14ac:dyDescent="0.2">
      <c r="A759" s="5"/>
      <c r="B759" s="1"/>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x14ac:dyDescent="0.2">
      <c r="A760" s="5"/>
      <c r="B760" s="1"/>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x14ac:dyDescent="0.2">
      <c r="A761" s="5"/>
      <c r="B761" s="1"/>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x14ac:dyDescent="0.2">
      <c r="A762" s="5"/>
      <c r="B762" s="1"/>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x14ac:dyDescent="0.2">
      <c r="A763" s="5"/>
      <c r="B763" s="1"/>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x14ac:dyDescent="0.2">
      <c r="A764" s="5"/>
      <c r="B764" s="1"/>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x14ac:dyDescent="0.2">
      <c r="A765" s="5"/>
      <c r="B765" s="1"/>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x14ac:dyDescent="0.2">
      <c r="A766" s="5"/>
      <c r="B766" s="1"/>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x14ac:dyDescent="0.2">
      <c r="A767" s="5"/>
      <c r="B767" s="1"/>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x14ac:dyDescent="0.2">
      <c r="A768" s="5"/>
      <c r="B768" s="1"/>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x14ac:dyDescent="0.2">
      <c r="A769" s="5"/>
      <c r="B769" s="1"/>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x14ac:dyDescent="0.2">
      <c r="A770" s="5"/>
      <c r="B770" s="1"/>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x14ac:dyDescent="0.2">
      <c r="A771" s="5"/>
      <c r="B771" s="1"/>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x14ac:dyDescent="0.2">
      <c r="A772" s="5"/>
      <c r="B772" s="1"/>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x14ac:dyDescent="0.2">
      <c r="A773" s="5"/>
      <c r="B773" s="1"/>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x14ac:dyDescent="0.2">
      <c r="A774" s="5"/>
      <c r="B774" s="1"/>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x14ac:dyDescent="0.2">
      <c r="A775" s="5"/>
      <c r="B775" s="1"/>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x14ac:dyDescent="0.2">
      <c r="A776" s="5"/>
      <c r="B776" s="1"/>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x14ac:dyDescent="0.2">
      <c r="A777" s="5"/>
      <c r="B777" s="1"/>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x14ac:dyDescent="0.2">
      <c r="A778" s="5"/>
      <c r="B778" s="1"/>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x14ac:dyDescent="0.2">
      <c r="A779" s="5"/>
      <c r="B779" s="1"/>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x14ac:dyDescent="0.2">
      <c r="A780" s="5"/>
      <c r="B780" s="1"/>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x14ac:dyDescent="0.2">
      <c r="A781" s="5"/>
      <c r="B781" s="1"/>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x14ac:dyDescent="0.2">
      <c r="A782" s="5"/>
      <c r="B782" s="1"/>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x14ac:dyDescent="0.2">
      <c r="A783" s="5"/>
      <c r="B783" s="1"/>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x14ac:dyDescent="0.2">
      <c r="A784" s="5"/>
      <c r="B784" s="1"/>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x14ac:dyDescent="0.2">
      <c r="A785" s="5"/>
      <c r="B785" s="1"/>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x14ac:dyDescent="0.2">
      <c r="A786" s="5"/>
      <c r="B786" s="1"/>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x14ac:dyDescent="0.2">
      <c r="A787" s="5"/>
      <c r="B787" s="1"/>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x14ac:dyDescent="0.2">
      <c r="A788" s="5"/>
      <c r="B788" s="1"/>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x14ac:dyDescent="0.2">
      <c r="A789" s="5"/>
      <c r="B789" s="1"/>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x14ac:dyDescent="0.2">
      <c r="A790" s="5"/>
      <c r="B790" s="1"/>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x14ac:dyDescent="0.2">
      <c r="A791" s="5"/>
      <c r="B791" s="1"/>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x14ac:dyDescent="0.2">
      <c r="A792" s="5"/>
      <c r="B792" s="1"/>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x14ac:dyDescent="0.2">
      <c r="A793" s="5"/>
      <c r="B793" s="1"/>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x14ac:dyDescent="0.2">
      <c r="A794" s="5"/>
      <c r="B794" s="1"/>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x14ac:dyDescent="0.2">
      <c r="A795" s="5"/>
      <c r="B795" s="1"/>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x14ac:dyDescent="0.2">
      <c r="A796" s="5"/>
      <c r="B796" s="1"/>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x14ac:dyDescent="0.2">
      <c r="A797" s="5"/>
      <c r="B797" s="1"/>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x14ac:dyDescent="0.2">
      <c r="A798" s="5"/>
      <c r="B798" s="1"/>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x14ac:dyDescent="0.2">
      <c r="A799" s="5"/>
      <c r="B799" s="1"/>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x14ac:dyDescent="0.2">
      <c r="A800" s="5"/>
      <c r="B800" s="1"/>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x14ac:dyDescent="0.2">
      <c r="A801" s="5"/>
      <c r="B801" s="1"/>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x14ac:dyDescent="0.2">
      <c r="A802" s="5"/>
      <c r="B802" s="1"/>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x14ac:dyDescent="0.2">
      <c r="A803" s="5"/>
      <c r="B803" s="1"/>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x14ac:dyDescent="0.2">
      <c r="A804" s="5"/>
      <c r="B804" s="1"/>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x14ac:dyDescent="0.2">
      <c r="A805" s="5"/>
      <c r="B805" s="1"/>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x14ac:dyDescent="0.2">
      <c r="A806" s="5"/>
      <c r="B806" s="1"/>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x14ac:dyDescent="0.2">
      <c r="A807" s="5"/>
      <c r="B807" s="1"/>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x14ac:dyDescent="0.2">
      <c r="A808" s="5"/>
      <c r="B808" s="1"/>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x14ac:dyDescent="0.2">
      <c r="A809" s="5"/>
      <c r="B809" s="1"/>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x14ac:dyDescent="0.2">
      <c r="A810" s="5"/>
      <c r="B810" s="1"/>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x14ac:dyDescent="0.2">
      <c r="A811" s="5"/>
      <c r="B811" s="1"/>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x14ac:dyDescent="0.2">
      <c r="A812" s="5"/>
      <c r="B812" s="1"/>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x14ac:dyDescent="0.2">
      <c r="A813" s="5"/>
      <c r="B813" s="1"/>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x14ac:dyDescent="0.2">
      <c r="A814" s="5"/>
      <c r="B814" s="1"/>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x14ac:dyDescent="0.2">
      <c r="A815" s="5"/>
      <c r="B815" s="1"/>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x14ac:dyDescent="0.2">
      <c r="A816" s="5"/>
      <c r="B816" s="1"/>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x14ac:dyDescent="0.2">
      <c r="A817" s="5"/>
      <c r="B817" s="1"/>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x14ac:dyDescent="0.2">
      <c r="A818" s="5"/>
      <c r="B818" s="1"/>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x14ac:dyDescent="0.2">
      <c r="A819" s="5"/>
      <c r="B819" s="1"/>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x14ac:dyDescent="0.2">
      <c r="A820" s="5"/>
      <c r="B820" s="1"/>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x14ac:dyDescent="0.2">
      <c r="A821" s="5"/>
      <c r="B821" s="1"/>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x14ac:dyDescent="0.2">
      <c r="A822" s="5"/>
      <c r="B822" s="1"/>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x14ac:dyDescent="0.2">
      <c r="A823" s="5"/>
      <c r="B823" s="1"/>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x14ac:dyDescent="0.2">
      <c r="A824" s="5"/>
      <c r="B824" s="1"/>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x14ac:dyDescent="0.2">
      <c r="A825" s="5"/>
      <c r="B825" s="1"/>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x14ac:dyDescent="0.2">
      <c r="A826" s="5"/>
      <c r="B826" s="1"/>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x14ac:dyDescent="0.2">
      <c r="A827" s="5"/>
      <c r="B827" s="1"/>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x14ac:dyDescent="0.2">
      <c r="A828" s="5"/>
      <c r="B828" s="1"/>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x14ac:dyDescent="0.2">
      <c r="A829" s="5"/>
      <c r="B829" s="1"/>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x14ac:dyDescent="0.2">
      <c r="A830" s="5"/>
      <c r="B830" s="1"/>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x14ac:dyDescent="0.2">
      <c r="A831" s="5"/>
      <c r="B831" s="1"/>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x14ac:dyDescent="0.2">
      <c r="A832" s="5"/>
      <c r="B832" s="1"/>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x14ac:dyDescent="0.2">
      <c r="A833" s="5"/>
      <c r="B833" s="1"/>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x14ac:dyDescent="0.2">
      <c r="A834" s="5"/>
      <c r="B834" s="1"/>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x14ac:dyDescent="0.2">
      <c r="A835" s="5"/>
      <c r="B835" s="1"/>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x14ac:dyDescent="0.2">
      <c r="A836" s="5"/>
      <c r="B836" s="1"/>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x14ac:dyDescent="0.2">
      <c r="A837" s="5"/>
      <c r="B837" s="1"/>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x14ac:dyDescent="0.2">
      <c r="A838" s="5"/>
      <c r="B838" s="1"/>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x14ac:dyDescent="0.2">
      <c r="A839" s="5"/>
      <c r="B839" s="1"/>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x14ac:dyDescent="0.2">
      <c r="A840" s="5"/>
      <c r="B840" s="1"/>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x14ac:dyDescent="0.2">
      <c r="A841" s="5"/>
      <c r="B841" s="1"/>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x14ac:dyDescent="0.2">
      <c r="A842" s="5"/>
      <c r="B842" s="1"/>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x14ac:dyDescent="0.2">
      <c r="A843" s="5"/>
      <c r="B843" s="1"/>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x14ac:dyDescent="0.2">
      <c r="A844" s="5"/>
      <c r="B844" s="1"/>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x14ac:dyDescent="0.2">
      <c r="A845" s="5"/>
      <c r="B845" s="1"/>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x14ac:dyDescent="0.2">
      <c r="A846" s="5"/>
      <c r="B846" s="1"/>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x14ac:dyDescent="0.2">
      <c r="A847" s="5"/>
      <c r="B847" s="1"/>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x14ac:dyDescent="0.2">
      <c r="A848" s="5"/>
      <c r="B848" s="1"/>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x14ac:dyDescent="0.2">
      <c r="A849" s="5"/>
      <c r="B849" s="1"/>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x14ac:dyDescent="0.2">
      <c r="A850" s="5"/>
      <c r="B850" s="1"/>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x14ac:dyDescent="0.2">
      <c r="A851" s="5"/>
      <c r="B851" s="1"/>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x14ac:dyDescent="0.2">
      <c r="A852" s="5"/>
      <c r="B852" s="1"/>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x14ac:dyDescent="0.2">
      <c r="A853" s="5"/>
      <c r="B853" s="1"/>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x14ac:dyDescent="0.2">
      <c r="A854" s="5"/>
      <c r="B854" s="1"/>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x14ac:dyDescent="0.2">
      <c r="A855" s="5"/>
      <c r="B855" s="1"/>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x14ac:dyDescent="0.2">
      <c r="A856" s="5"/>
      <c r="B856" s="1"/>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x14ac:dyDescent="0.2">
      <c r="A857" s="5"/>
      <c r="B857" s="1"/>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x14ac:dyDescent="0.2">
      <c r="A858" s="5"/>
      <c r="B858" s="1"/>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x14ac:dyDescent="0.2">
      <c r="A859" s="5"/>
      <c r="B859" s="1"/>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x14ac:dyDescent="0.2">
      <c r="A860" s="5"/>
      <c r="B860" s="1"/>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x14ac:dyDescent="0.2">
      <c r="A861" s="5"/>
      <c r="B861" s="1"/>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x14ac:dyDescent="0.2">
      <c r="A862" s="5"/>
      <c r="B862" s="1"/>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x14ac:dyDescent="0.2">
      <c r="A863" s="5"/>
      <c r="B863" s="1"/>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x14ac:dyDescent="0.2">
      <c r="A864" s="5"/>
      <c r="B864" s="1"/>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x14ac:dyDescent="0.2">
      <c r="A865" s="5"/>
      <c r="B865" s="1"/>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x14ac:dyDescent="0.2">
      <c r="A866" s="5"/>
      <c r="B866" s="1"/>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x14ac:dyDescent="0.2">
      <c r="A867" s="5"/>
      <c r="B867" s="1"/>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x14ac:dyDescent="0.2">
      <c r="A868" s="5"/>
      <c r="B868" s="1"/>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x14ac:dyDescent="0.2">
      <c r="A869" s="5"/>
      <c r="B869" s="1"/>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x14ac:dyDescent="0.2">
      <c r="A870" s="5"/>
      <c r="B870" s="1"/>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x14ac:dyDescent="0.2">
      <c r="A871" s="5"/>
      <c r="B871" s="1"/>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x14ac:dyDescent="0.2">
      <c r="A872" s="5"/>
      <c r="B872" s="1"/>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x14ac:dyDescent="0.2">
      <c r="A873" s="5"/>
      <c r="B873" s="1"/>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x14ac:dyDescent="0.2">
      <c r="A874" s="5"/>
      <c r="B874" s="1"/>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x14ac:dyDescent="0.2">
      <c r="A875" s="5"/>
      <c r="B875" s="1"/>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x14ac:dyDescent="0.2">
      <c r="A876" s="5"/>
      <c r="B876" s="1"/>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x14ac:dyDescent="0.2">
      <c r="A877" s="5"/>
      <c r="B877" s="1"/>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x14ac:dyDescent="0.2">
      <c r="A878" s="5"/>
      <c r="B878" s="1"/>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x14ac:dyDescent="0.2">
      <c r="A879" s="5"/>
      <c r="B879" s="1"/>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x14ac:dyDescent="0.2">
      <c r="A880" s="5"/>
      <c r="B880" s="1"/>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x14ac:dyDescent="0.2">
      <c r="A881" s="5"/>
      <c r="B881" s="1"/>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x14ac:dyDescent="0.2">
      <c r="A882" s="5"/>
      <c r="B882" s="1"/>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x14ac:dyDescent="0.2">
      <c r="A883" s="5"/>
      <c r="B883" s="1"/>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x14ac:dyDescent="0.2">
      <c r="A884" s="5"/>
      <c r="B884" s="1"/>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x14ac:dyDescent="0.2">
      <c r="A885" s="5"/>
      <c r="B885" s="1"/>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x14ac:dyDescent="0.2">
      <c r="A886" s="5"/>
      <c r="B886" s="1"/>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x14ac:dyDescent="0.2">
      <c r="A887" s="5"/>
      <c r="B887" s="1"/>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x14ac:dyDescent="0.2">
      <c r="A888" s="5"/>
      <c r="B888" s="1"/>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x14ac:dyDescent="0.2">
      <c r="A889" s="5"/>
      <c r="B889" s="1"/>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x14ac:dyDescent="0.2">
      <c r="A890" s="5"/>
      <c r="B890" s="1"/>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x14ac:dyDescent="0.2">
      <c r="A891" s="5"/>
      <c r="B891" s="1"/>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x14ac:dyDescent="0.2">
      <c r="A892" s="5"/>
      <c r="B892" s="1"/>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x14ac:dyDescent="0.2">
      <c r="A893" s="5"/>
      <c r="B893" s="1"/>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x14ac:dyDescent="0.2">
      <c r="A894" s="5"/>
      <c r="B894" s="1"/>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x14ac:dyDescent="0.2">
      <c r="A895" s="5"/>
      <c r="B895" s="1"/>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x14ac:dyDescent="0.2">
      <c r="A896" s="5"/>
      <c r="B896" s="1"/>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x14ac:dyDescent="0.2">
      <c r="A897" s="5"/>
      <c r="B897" s="1"/>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x14ac:dyDescent="0.2">
      <c r="A898" s="5"/>
      <c r="B898" s="1"/>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x14ac:dyDescent="0.2">
      <c r="A899" s="5"/>
      <c r="B899" s="1"/>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x14ac:dyDescent="0.2">
      <c r="A900" s="5"/>
      <c r="B900" s="1"/>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x14ac:dyDescent="0.2">
      <c r="A901" s="5"/>
      <c r="B901" s="1"/>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x14ac:dyDescent="0.2">
      <c r="A902" s="5"/>
      <c r="B902" s="1"/>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x14ac:dyDescent="0.2">
      <c r="A903" s="5"/>
      <c r="B903" s="1"/>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x14ac:dyDescent="0.2">
      <c r="A904" s="5"/>
      <c r="B904" s="1"/>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x14ac:dyDescent="0.2">
      <c r="A905" s="5"/>
      <c r="B905" s="1"/>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x14ac:dyDescent="0.2">
      <c r="A906" s="5"/>
      <c r="B906" s="1"/>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x14ac:dyDescent="0.2">
      <c r="A907" s="5"/>
      <c r="B907" s="1"/>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x14ac:dyDescent="0.2">
      <c r="A908" s="5"/>
      <c r="B908" s="1"/>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x14ac:dyDescent="0.2">
      <c r="A909" s="5"/>
      <c r="B909" s="1"/>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x14ac:dyDescent="0.2">
      <c r="A910" s="5"/>
      <c r="B910" s="1"/>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x14ac:dyDescent="0.2">
      <c r="A911" s="5"/>
      <c r="B911" s="1"/>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x14ac:dyDescent="0.2">
      <c r="A912" s="5"/>
      <c r="B912" s="1"/>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x14ac:dyDescent="0.2">
      <c r="A913" s="5"/>
      <c r="B913" s="1"/>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x14ac:dyDescent="0.2">
      <c r="A914" s="5"/>
      <c r="B914" s="1"/>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x14ac:dyDescent="0.2">
      <c r="A915" s="5"/>
      <c r="B915" s="1"/>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x14ac:dyDescent="0.2">
      <c r="A916" s="5"/>
      <c r="B916" s="1"/>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x14ac:dyDescent="0.2">
      <c r="A917" s="5"/>
      <c r="B917" s="1"/>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x14ac:dyDescent="0.2">
      <c r="A918" s="5"/>
      <c r="B918" s="1"/>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x14ac:dyDescent="0.2">
      <c r="A919" s="5"/>
      <c r="B919" s="1"/>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x14ac:dyDescent="0.2">
      <c r="A920" s="5"/>
      <c r="B920" s="1"/>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x14ac:dyDescent="0.2">
      <c r="A921" s="5"/>
      <c r="B921" s="1"/>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x14ac:dyDescent="0.2">
      <c r="A922" s="5"/>
      <c r="B922" s="1"/>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x14ac:dyDescent="0.2">
      <c r="A923" s="5"/>
      <c r="B923" s="1"/>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x14ac:dyDescent="0.2">
      <c r="A924" s="5"/>
      <c r="B924" s="1"/>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x14ac:dyDescent="0.2">
      <c r="A925" s="5"/>
      <c r="B925" s="1"/>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x14ac:dyDescent="0.2">
      <c r="A926" s="5"/>
      <c r="B926" s="1"/>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x14ac:dyDescent="0.2">
      <c r="A927" s="5"/>
      <c r="B927" s="1"/>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x14ac:dyDescent="0.2">
      <c r="A928" s="5"/>
      <c r="B928" s="1"/>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x14ac:dyDescent="0.2">
      <c r="A929" s="5"/>
      <c r="B929" s="1"/>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x14ac:dyDescent="0.2">
      <c r="A930" s="5"/>
      <c r="B930" s="1"/>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x14ac:dyDescent="0.2">
      <c r="A931" s="5"/>
      <c r="B931" s="1"/>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x14ac:dyDescent="0.2">
      <c r="A932" s="5"/>
      <c r="B932" s="1"/>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x14ac:dyDescent="0.2">
      <c r="A933" s="5"/>
      <c r="B933" s="1"/>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x14ac:dyDescent="0.2">
      <c r="A934" s="5"/>
      <c r="B934" s="1"/>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x14ac:dyDescent="0.2">
      <c r="A935" s="5"/>
      <c r="B935" s="1"/>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x14ac:dyDescent="0.2">
      <c r="A936" s="5"/>
      <c r="B936" s="1"/>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x14ac:dyDescent="0.2">
      <c r="A937" s="5"/>
      <c r="B937" s="1"/>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x14ac:dyDescent="0.2">
      <c r="A938" s="5"/>
      <c r="B938" s="1"/>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x14ac:dyDescent="0.2">
      <c r="A939" s="5"/>
      <c r="B939" s="1"/>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x14ac:dyDescent="0.2">
      <c r="A940" s="5"/>
      <c r="B940" s="1"/>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x14ac:dyDescent="0.2">
      <c r="A941" s="5"/>
      <c r="B941" s="1"/>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x14ac:dyDescent="0.2">
      <c r="A942" s="5"/>
      <c r="B942" s="1"/>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x14ac:dyDescent="0.2">
      <c r="A943" s="5"/>
      <c r="B943" s="1"/>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x14ac:dyDescent="0.2">
      <c r="A944" s="5"/>
      <c r="B944" s="1"/>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x14ac:dyDescent="0.2">
      <c r="A945" s="5"/>
      <c r="B945" s="1"/>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x14ac:dyDescent="0.2">
      <c r="A946" s="5"/>
      <c r="B946" s="1"/>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x14ac:dyDescent="0.2">
      <c r="A947" s="5"/>
      <c r="B947" s="1"/>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x14ac:dyDescent="0.2">
      <c r="A948" s="5"/>
      <c r="B948" s="1"/>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x14ac:dyDescent="0.2">
      <c r="A949" s="5"/>
      <c r="B949" s="1"/>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x14ac:dyDescent="0.2">
      <c r="A950" s="5"/>
      <c r="B950" s="1"/>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x14ac:dyDescent="0.2">
      <c r="A951" s="5"/>
      <c r="B951" s="1"/>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x14ac:dyDescent="0.2">
      <c r="A952" s="5"/>
      <c r="B952" s="1"/>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x14ac:dyDescent="0.2">
      <c r="A953" s="5"/>
      <c r="B953" s="1"/>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x14ac:dyDescent="0.2">
      <c r="A954" s="5"/>
      <c r="B954" s="1"/>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x14ac:dyDescent="0.2">
      <c r="A955" s="5"/>
      <c r="B955" s="1"/>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x14ac:dyDescent="0.2">
      <c r="A956" s="5"/>
      <c r="B956" s="1"/>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x14ac:dyDescent="0.2">
      <c r="A957" s="5"/>
      <c r="B957" s="1"/>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x14ac:dyDescent="0.2">
      <c r="A958" s="5"/>
      <c r="B958" s="1"/>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x14ac:dyDescent="0.2">
      <c r="A959" s="5"/>
      <c r="B959" s="1"/>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x14ac:dyDescent="0.2">
      <c r="A960" s="5"/>
      <c r="B960" s="1"/>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x14ac:dyDescent="0.2">
      <c r="A961" s="5"/>
      <c r="B961" s="1"/>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x14ac:dyDescent="0.2">
      <c r="A962" s="5"/>
      <c r="B962" s="1"/>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x14ac:dyDescent="0.2">
      <c r="A963" s="5"/>
      <c r="B963" s="1"/>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x14ac:dyDescent="0.2">
      <c r="A964" s="5"/>
      <c r="B964" s="1"/>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x14ac:dyDescent="0.2">
      <c r="A965" s="5"/>
      <c r="B965" s="1"/>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x14ac:dyDescent="0.2">
      <c r="A966" s="5"/>
      <c r="B966" s="1"/>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x14ac:dyDescent="0.2">
      <c r="A967" s="5"/>
      <c r="B967" s="1"/>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x14ac:dyDescent="0.2">
      <c r="A968" s="5"/>
      <c r="B968" s="1"/>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x14ac:dyDescent="0.2">
      <c r="A969" s="5"/>
      <c r="B969" s="1"/>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x14ac:dyDescent="0.2">
      <c r="A970" s="5"/>
      <c r="B970" s="1"/>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x14ac:dyDescent="0.2">
      <c r="A971" s="5"/>
      <c r="B971" s="1"/>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x14ac:dyDescent="0.2">
      <c r="A972" s="5"/>
      <c r="B972" s="1"/>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x14ac:dyDescent="0.2">
      <c r="A973" s="5"/>
      <c r="B973" s="1"/>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x14ac:dyDescent="0.2">
      <c r="A974" s="5"/>
      <c r="B974" s="1"/>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x14ac:dyDescent="0.2">
      <c r="A975" s="5"/>
      <c r="B975" s="1"/>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x14ac:dyDescent="0.2">
      <c r="A976" s="5"/>
      <c r="B976" s="1"/>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x14ac:dyDescent="0.2">
      <c r="A977" s="5"/>
      <c r="B977" s="1"/>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x14ac:dyDescent="0.2">
      <c r="A978" s="5"/>
      <c r="B978" s="1"/>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x14ac:dyDescent="0.2">
      <c r="A979" s="5"/>
      <c r="B979" s="1"/>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x14ac:dyDescent="0.2">
      <c r="A980" s="5"/>
      <c r="B980" s="1"/>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x14ac:dyDescent="0.2">
      <c r="A981" s="5"/>
      <c r="B981" s="1"/>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x14ac:dyDescent="0.2">
      <c r="A982" s="5"/>
      <c r="B982" s="1"/>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x14ac:dyDescent="0.2">
      <c r="A983" s="5"/>
      <c r="B983" s="1"/>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x14ac:dyDescent="0.2">
      <c r="A984" s="5"/>
      <c r="B984" s="1"/>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x14ac:dyDescent="0.2">
      <c r="A985" s="5"/>
      <c r="B985" s="1"/>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x14ac:dyDescent="0.2">
      <c r="A986" s="5"/>
      <c r="B986" s="1"/>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x14ac:dyDescent="0.2">
      <c r="A987" s="5"/>
      <c r="B987" s="1"/>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x14ac:dyDescent="0.2">
      <c r="A988" s="5"/>
      <c r="B988" s="1"/>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x14ac:dyDescent="0.2">
      <c r="A989" s="5"/>
      <c r="B989" s="1"/>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x14ac:dyDescent="0.2">
      <c r="A990" s="5"/>
      <c r="B990" s="1"/>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x14ac:dyDescent="0.2">
      <c r="A991" s="5"/>
      <c r="B991" s="1"/>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x14ac:dyDescent="0.2">
      <c r="A992" s="5"/>
      <c r="B992" s="1"/>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x14ac:dyDescent="0.2">
      <c r="A993" s="5"/>
      <c r="B993" s="1"/>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x14ac:dyDescent="0.2">
      <c r="A994" s="5"/>
      <c r="B994" s="1"/>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x14ac:dyDescent="0.2">
      <c r="A995" s="5"/>
      <c r="B995" s="1"/>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x14ac:dyDescent="0.2">
      <c r="A996" s="5"/>
      <c r="B996" s="1"/>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x14ac:dyDescent="0.2">
      <c r="A997" s="5"/>
      <c r="B997" s="1"/>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x14ac:dyDescent="0.2">
      <c r="A998" s="5"/>
      <c r="B998" s="1"/>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x14ac:dyDescent="0.2">
      <c r="A999" s="5"/>
      <c r="B999" s="1"/>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x14ac:dyDescent="0.2">
      <c r="A1000" s="5"/>
      <c r="B1000" s="1"/>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G978"/>
  <sheetViews>
    <sheetView topLeftCell="E1" workbookViewId="0">
      <selection sqref="A1:R1"/>
    </sheetView>
  </sheetViews>
  <sheetFormatPr baseColWidth="10" defaultColWidth="12.6640625" defaultRowHeight="15.75" customHeight="1" x14ac:dyDescent="0.15"/>
  <cols>
    <col min="1" max="17" width="13.5" customWidth="1"/>
    <col min="18" max="18" width="52.1640625" customWidth="1"/>
    <col min="36" max="36" width="39.33203125" customWidth="1"/>
    <col min="54" max="56" width="37.1640625" customWidth="1"/>
  </cols>
  <sheetData>
    <row r="1" spans="1:59" ht="44.25" customHeight="1" x14ac:dyDescent="0.15">
      <c r="A1" s="50" t="s">
        <v>323</v>
      </c>
      <c r="B1" s="51"/>
      <c r="C1" s="51"/>
      <c r="D1" s="51"/>
      <c r="E1" s="51"/>
      <c r="F1" s="51"/>
      <c r="G1" s="51"/>
      <c r="H1" s="51"/>
      <c r="I1" s="51"/>
      <c r="J1" s="51"/>
      <c r="K1" s="51"/>
      <c r="L1" s="51"/>
      <c r="M1" s="51"/>
      <c r="N1" s="51"/>
      <c r="O1" s="51"/>
      <c r="P1" s="51"/>
      <c r="Q1" s="51"/>
      <c r="R1" s="52"/>
      <c r="S1" s="53" t="s">
        <v>324</v>
      </c>
      <c r="T1" s="51"/>
      <c r="U1" s="51"/>
      <c r="V1" s="51"/>
      <c r="W1" s="51"/>
      <c r="X1" s="51"/>
      <c r="Y1" s="51"/>
      <c r="Z1" s="51"/>
      <c r="AA1" s="51"/>
      <c r="AB1" s="51"/>
      <c r="AC1" s="51"/>
      <c r="AD1" s="51"/>
      <c r="AE1" s="51"/>
      <c r="AF1" s="51"/>
      <c r="AG1" s="51"/>
      <c r="AH1" s="51"/>
      <c r="AI1" s="51"/>
      <c r="AJ1" s="52"/>
      <c r="AK1" s="54" t="s">
        <v>325</v>
      </c>
      <c r="AL1" s="51"/>
      <c r="AM1" s="51"/>
      <c r="AN1" s="51"/>
      <c r="AO1" s="51"/>
      <c r="AP1" s="51"/>
      <c r="AQ1" s="51"/>
      <c r="AR1" s="51"/>
      <c r="AS1" s="51"/>
      <c r="AT1" s="51"/>
      <c r="AU1" s="51"/>
      <c r="AV1" s="51"/>
      <c r="AW1" s="51"/>
      <c r="AX1" s="51"/>
      <c r="AY1" s="51"/>
      <c r="AZ1" s="51"/>
      <c r="BA1" s="51"/>
      <c r="BB1" s="52"/>
      <c r="BC1" s="55" t="s">
        <v>326</v>
      </c>
      <c r="BD1" s="56" t="s">
        <v>327</v>
      </c>
      <c r="BE1" s="14"/>
      <c r="BF1" s="14"/>
      <c r="BG1" s="14"/>
    </row>
    <row r="2" spans="1:59" ht="96" x14ac:dyDescent="0.15">
      <c r="A2" s="15" t="s">
        <v>328</v>
      </c>
      <c r="B2" s="15" t="s">
        <v>329</v>
      </c>
      <c r="C2" s="15" t="s">
        <v>330</v>
      </c>
      <c r="D2" s="15" t="s">
        <v>331</v>
      </c>
      <c r="E2" s="15" t="s">
        <v>332</v>
      </c>
      <c r="F2" s="15" t="s">
        <v>333</v>
      </c>
      <c r="G2" s="15" t="s">
        <v>334</v>
      </c>
      <c r="H2" s="15" t="s">
        <v>335</v>
      </c>
      <c r="I2" s="15" t="s">
        <v>336</v>
      </c>
      <c r="J2" s="15" t="s">
        <v>337</v>
      </c>
      <c r="K2" s="15" t="s">
        <v>338</v>
      </c>
      <c r="L2" s="15" t="s">
        <v>339</v>
      </c>
      <c r="M2" s="15" t="s">
        <v>340</v>
      </c>
      <c r="N2" s="15" t="s">
        <v>341</v>
      </c>
      <c r="O2" s="15" t="s">
        <v>342</v>
      </c>
      <c r="P2" s="15" t="s">
        <v>343</v>
      </c>
      <c r="Q2" s="15" t="s">
        <v>344</v>
      </c>
      <c r="R2" s="16" t="s">
        <v>345</v>
      </c>
      <c r="S2" s="15" t="s">
        <v>328</v>
      </c>
      <c r="T2" s="15" t="s">
        <v>329</v>
      </c>
      <c r="U2" s="15" t="s">
        <v>330</v>
      </c>
      <c r="V2" s="15" t="s">
        <v>331</v>
      </c>
      <c r="W2" s="15" t="s">
        <v>332</v>
      </c>
      <c r="X2" s="15" t="s">
        <v>333</v>
      </c>
      <c r="Y2" s="15" t="s">
        <v>334</v>
      </c>
      <c r="Z2" s="15" t="s">
        <v>335</v>
      </c>
      <c r="AA2" s="15" t="s">
        <v>336</v>
      </c>
      <c r="AB2" s="15" t="s">
        <v>337</v>
      </c>
      <c r="AC2" s="15" t="s">
        <v>338</v>
      </c>
      <c r="AD2" s="15" t="s">
        <v>339</v>
      </c>
      <c r="AE2" s="15" t="s">
        <v>340</v>
      </c>
      <c r="AF2" s="15" t="s">
        <v>341</v>
      </c>
      <c r="AG2" s="15" t="s">
        <v>342</v>
      </c>
      <c r="AH2" s="15" t="s">
        <v>343</v>
      </c>
      <c r="AI2" s="15" t="s">
        <v>344</v>
      </c>
      <c r="AJ2" s="16" t="s">
        <v>346</v>
      </c>
      <c r="AK2" s="15" t="s">
        <v>328</v>
      </c>
      <c r="AL2" s="15" t="s">
        <v>329</v>
      </c>
      <c r="AM2" s="15" t="s">
        <v>330</v>
      </c>
      <c r="AN2" s="15" t="s">
        <v>331</v>
      </c>
      <c r="AO2" s="15" t="s">
        <v>332</v>
      </c>
      <c r="AP2" s="15" t="s">
        <v>333</v>
      </c>
      <c r="AQ2" s="15" t="s">
        <v>334</v>
      </c>
      <c r="AR2" s="15" t="s">
        <v>335</v>
      </c>
      <c r="AS2" s="15" t="s">
        <v>336</v>
      </c>
      <c r="AT2" s="15" t="s">
        <v>337</v>
      </c>
      <c r="AU2" s="15" t="s">
        <v>338</v>
      </c>
      <c r="AV2" s="15" t="s">
        <v>339</v>
      </c>
      <c r="AW2" s="15" t="s">
        <v>340</v>
      </c>
      <c r="AX2" s="15" t="s">
        <v>341</v>
      </c>
      <c r="AY2" s="15" t="s">
        <v>342</v>
      </c>
      <c r="AZ2" s="15" t="s">
        <v>343</v>
      </c>
      <c r="BA2" s="15" t="s">
        <v>344</v>
      </c>
      <c r="BB2" s="16" t="s">
        <v>347</v>
      </c>
      <c r="BC2" s="52"/>
      <c r="BD2" s="52"/>
      <c r="BE2" s="14"/>
      <c r="BF2" s="14"/>
      <c r="BG2" s="14"/>
    </row>
    <row r="3" spans="1:59" ht="160" x14ac:dyDescent="0.15">
      <c r="A3" s="14" t="s">
        <v>348</v>
      </c>
      <c r="B3" s="14" t="s">
        <v>349</v>
      </c>
      <c r="C3" s="14" t="s">
        <v>349</v>
      </c>
      <c r="D3" s="14" t="s">
        <v>348</v>
      </c>
      <c r="E3" s="14" t="s">
        <v>349</v>
      </c>
      <c r="F3" s="14" t="s">
        <v>349</v>
      </c>
      <c r="G3" s="14" t="s">
        <v>349</v>
      </c>
      <c r="H3" s="14" t="s">
        <v>349</v>
      </c>
      <c r="I3" s="14" t="s">
        <v>348</v>
      </c>
      <c r="J3" s="14" t="s">
        <v>348</v>
      </c>
      <c r="K3" s="14" t="s">
        <v>348</v>
      </c>
      <c r="L3" s="14" t="s">
        <v>349</v>
      </c>
      <c r="M3" s="14" t="s">
        <v>349</v>
      </c>
      <c r="N3" s="14" t="s">
        <v>349</v>
      </c>
      <c r="O3" s="14" t="s">
        <v>349</v>
      </c>
      <c r="P3" s="14" t="s">
        <v>348</v>
      </c>
      <c r="Q3" s="14" t="s">
        <v>348</v>
      </c>
      <c r="R3" s="17" t="s">
        <v>350</v>
      </c>
      <c r="S3" s="14" t="s">
        <v>351</v>
      </c>
      <c r="T3" s="14" t="s">
        <v>352</v>
      </c>
      <c r="U3" s="14" t="s">
        <v>353</v>
      </c>
      <c r="V3" s="14" t="s">
        <v>353</v>
      </c>
      <c r="W3" s="14" t="s">
        <v>353</v>
      </c>
      <c r="X3" s="14" t="s">
        <v>353</v>
      </c>
      <c r="Y3" s="14" t="s">
        <v>354</v>
      </c>
      <c r="Z3" s="14" t="s">
        <v>353</v>
      </c>
      <c r="AA3" s="14" t="s">
        <v>354</v>
      </c>
      <c r="AB3" s="14" t="s">
        <v>354</v>
      </c>
      <c r="AC3" s="14" t="s">
        <v>353</v>
      </c>
      <c r="AD3" s="14" t="s">
        <v>354</v>
      </c>
      <c r="AE3" s="14" t="s">
        <v>353</v>
      </c>
      <c r="AF3" s="14" t="s">
        <v>354</v>
      </c>
      <c r="AG3" s="14" t="s">
        <v>354</v>
      </c>
      <c r="AH3" s="14" t="s">
        <v>353</v>
      </c>
      <c r="AI3" s="14" t="s">
        <v>353</v>
      </c>
      <c r="AJ3" s="17" t="s">
        <v>355</v>
      </c>
      <c r="AK3" s="14" t="s">
        <v>356</v>
      </c>
      <c r="AL3" s="14" t="s">
        <v>357</v>
      </c>
      <c r="AM3" s="14" t="s">
        <v>358</v>
      </c>
      <c r="AN3" s="14" t="s">
        <v>357</v>
      </c>
      <c r="AO3" s="14" t="s">
        <v>357</v>
      </c>
      <c r="AP3" s="14" t="s">
        <v>357</v>
      </c>
      <c r="AQ3" s="14" t="s">
        <v>357</v>
      </c>
      <c r="AR3" s="14" t="s">
        <v>357</v>
      </c>
      <c r="AS3" s="14" t="s">
        <v>357</v>
      </c>
      <c r="AT3" s="14" t="s">
        <v>357</v>
      </c>
      <c r="AU3" s="14" t="s">
        <v>357</v>
      </c>
      <c r="AV3" s="14" t="s">
        <v>357</v>
      </c>
      <c r="AW3" s="14" t="s">
        <v>358</v>
      </c>
      <c r="AX3" s="14" t="s">
        <v>357</v>
      </c>
      <c r="AY3" s="14" t="s">
        <v>357</v>
      </c>
      <c r="AZ3" s="14" t="s">
        <v>356</v>
      </c>
      <c r="BA3" s="14" t="s">
        <v>358</v>
      </c>
      <c r="BB3" s="17" t="s">
        <v>359</v>
      </c>
      <c r="BC3" s="17" t="s">
        <v>360</v>
      </c>
      <c r="BD3" s="17" t="s">
        <v>361</v>
      </c>
      <c r="BE3" s="14"/>
      <c r="BF3" s="14"/>
      <c r="BG3" s="14"/>
    </row>
    <row r="4" spans="1:59" ht="80" x14ac:dyDescent="0.15">
      <c r="A4" s="14" t="s">
        <v>349</v>
      </c>
      <c r="B4" s="14" t="s">
        <v>349</v>
      </c>
      <c r="C4" s="14" t="s">
        <v>362</v>
      </c>
      <c r="D4" s="14" t="s">
        <v>348</v>
      </c>
      <c r="E4" s="14" t="s">
        <v>349</v>
      </c>
      <c r="F4" s="14" t="s">
        <v>362</v>
      </c>
      <c r="G4" s="14" t="s">
        <v>348</v>
      </c>
      <c r="H4" s="14" t="s">
        <v>362</v>
      </c>
      <c r="I4" s="14" t="s">
        <v>362</v>
      </c>
      <c r="J4" s="14" t="s">
        <v>362</v>
      </c>
      <c r="K4" s="14" t="s">
        <v>349</v>
      </c>
      <c r="L4" s="14" t="s">
        <v>363</v>
      </c>
      <c r="M4" s="14" t="s">
        <v>363</v>
      </c>
      <c r="N4" s="14" t="s">
        <v>362</v>
      </c>
      <c r="O4" s="14" t="s">
        <v>362</v>
      </c>
      <c r="P4" s="14" t="s">
        <v>363</v>
      </c>
      <c r="Q4" s="14" t="s">
        <v>363</v>
      </c>
      <c r="R4" s="17" t="s">
        <v>364</v>
      </c>
      <c r="S4" s="14" t="s">
        <v>351</v>
      </c>
      <c r="T4" s="14" t="s">
        <v>352</v>
      </c>
      <c r="U4" s="14" t="s">
        <v>352</v>
      </c>
      <c r="V4" s="14" t="s">
        <v>353</v>
      </c>
      <c r="W4" s="14" t="s">
        <v>353</v>
      </c>
      <c r="X4" s="14" t="s">
        <v>353</v>
      </c>
      <c r="Y4" s="14" t="s">
        <v>351</v>
      </c>
      <c r="Z4" s="14" t="s">
        <v>353</v>
      </c>
      <c r="AA4" s="14" t="s">
        <v>353</v>
      </c>
      <c r="AB4" s="14" t="s">
        <v>353</v>
      </c>
      <c r="AC4" s="14" t="s">
        <v>351</v>
      </c>
      <c r="AD4" s="14" t="s">
        <v>351</v>
      </c>
      <c r="AE4" s="14" t="s">
        <v>353</v>
      </c>
      <c r="AF4" s="14" t="s">
        <v>351</v>
      </c>
      <c r="AG4" s="14" t="s">
        <v>353</v>
      </c>
      <c r="AH4" s="14" t="s">
        <v>353</v>
      </c>
      <c r="AI4" s="14" t="s">
        <v>353</v>
      </c>
      <c r="AJ4" s="17" t="s">
        <v>365</v>
      </c>
      <c r="AK4" s="14" t="s">
        <v>357</v>
      </c>
      <c r="AL4" s="14" t="s">
        <v>356</v>
      </c>
      <c r="AM4" s="14" t="s">
        <v>366</v>
      </c>
      <c r="AN4" s="14" t="s">
        <v>357</v>
      </c>
      <c r="AO4" s="14" t="s">
        <v>356</v>
      </c>
      <c r="AP4" s="14" t="s">
        <v>356</v>
      </c>
      <c r="AQ4" s="14" t="s">
        <v>357</v>
      </c>
      <c r="AR4" s="14" t="s">
        <v>357</v>
      </c>
      <c r="AS4" s="14" t="s">
        <v>357</v>
      </c>
      <c r="AT4" s="14" t="s">
        <v>357</v>
      </c>
      <c r="AU4" s="14" t="s">
        <v>357</v>
      </c>
      <c r="AV4" s="14" t="s">
        <v>356</v>
      </c>
      <c r="AW4" s="14" t="s">
        <v>357</v>
      </c>
      <c r="AX4" s="14" t="s">
        <v>357</v>
      </c>
      <c r="AY4" s="14" t="s">
        <v>367</v>
      </c>
      <c r="AZ4" s="14" t="s">
        <v>356</v>
      </c>
      <c r="BA4" s="14" t="s">
        <v>367</v>
      </c>
      <c r="BB4" s="17" t="s">
        <v>368</v>
      </c>
      <c r="BC4" s="17" t="s">
        <v>369</v>
      </c>
      <c r="BD4" s="17" t="s">
        <v>370</v>
      </c>
      <c r="BE4" s="14"/>
      <c r="BF4" s="14"/>
      <c r="BG4" s="14"/>
    </row>
    <row r="5" spans="1:59" ht="176" x14ac:dyDescent="0.15">
      <c r="A5" s="14" t="s">
        <v>349</v>
      </c>
      <c r="B5" s="14" t="s">
        <v>349</v>
      </c>
      <c r="C5" s="14" t="s">
        <v>362</v>
      </c>
      <c r="D5" s="14" t="s">
        <v>348</v>
      </c>
      <c r="E5" s="14" t="s">
        <v>349</v>
      </c>
      <c r="F5" s="14" t="s">
        <v>362</v>
      </c>
      <c r="G5" s="14" t="s">
        <v>348</v>
      </c>
      <c r="H5" s="14" t="s">
        <v>349</v>
      </c>
      <c r="I5" s="14" t="s">
        <v>349</v>
      </c>
      <c r="J5" s="14" t="s">
        <v>348</v>
      </c>
      <c r="K5" s="14" t="s">
        <v>363</v>
      </c>
      <c r="L5" s="14" t="s">
        <v>348</v>
      </c>
      <c r="M5" s="14" t="s">
        <v>349</v>
      </c>
      <c r="N5" s="14" t="s">
        <v>349</v>
      </c>
      <c r="O5" s="14" t="s">
        <v>348</v>
      </c>
      <c r="P5" s="14" t="s">
        <v>348</v>
      </c>
      <c r="Q5" s="14" t="s">
        <v>348</v>
      </c>
      <c r="R5" s="17" t="s">
        <v>371</v>
      </c>
      <c r="S5" s="14" t="s">
        <v>352</v>
      </c>
      <c r="T5" s="14" t="s">
        <v>351</v>
      </c>
      <c r="U5" s="14" t="s">
        <v>352</v>
      </c>
      <c r="V5" s="14" t="s">
        <v>353</v>
      </c>
      <c r="W5" s="14" t="s">
        <v>353</v>
      </c>
      <c r="X5" s="14" t="s">
        <v>353</v>
      </c>
      <c r="Y5" s="14" t="s">
        <v>352</v>
      </c>
      <c r="Z5" s="14" t="s">
        <v>354</v>
      </c>
      <c r="AA5" s="14" t="s">
        <v>354</v>
      </c>
      <c r="AB5" s="14" t="s">
        <v>353</v>
      </c>
      <c r="AC5" s="14" t="s">
        <v>353</v>
      </c>
      <c r="AD5" s="14" t="s">
        <v>352</v>
      </c>
      <c r="AE5" s="14" t="s">
        <v>351</v>
      </c>
      <c r="AF5" s="14" t="s">
        <v>372</v>
      </c>
      <c r="AG5" s="14" t="s">
        <v>351</v>
      </c>
      <c r="AH5" s="14" t="s">
        <v>353</v>
      </c>
      <c r="AI5" s="14" t="s">
        <v>351</v>
      </c>
      <c r="AJ5" s="17" t="s">
        <v>373</v>
      </c>
      <c r="AK5" s="14" t="s">
        <v>356</v>
      </c>
      <c r="AL5" s="14" t="s">
        <v>357</v>
      </c>
      <c r="AM5" s="14" t="s">
        <v>366</v>
      </c>
      <c r="AN5" s="14" t="s">
        <v>357</v>
      </c>
      <c r="AO5" s="14" t="s">
        <v>357</v>
      </c>
      <c r="AP5" s="14" t="s">
        <v>356</v>
      </c>
      <c r="AQ5" s="14" t="s">
        <v>357</v>
      </c>
      <c r="AR5" s="14" t="s">
        <v>357</v>
      </c>
      <c r="AS5" s="14" t="s">
        <v>358</v>
      </c>
      <c r="AT5" s="14" t="s">
        <v>358</v>
      </c>
      <c r="AU5" s="14" t="s">
        <v>367</v>
      </c>
      <c r="AV5" s="14" t="s">
        <v>356</v>
      </c>
      <c r="AW5" s="14" t="s">
        <v>356</v>
      </c>
      <c r="AX5" s="14" t="s">
        <v>358</v>
      </c>
      <c r="AY5" s="14" t="s">
        <v>356</v>
      </c>
      <c r="AZ5" s="14" t="s">
        <v>366</v>
      </c>
      <c r="BA5" s="14" t="s">
        <v>367</v>
      </c>
      <c r="BB5" s="17" t="s">
        <v>374</v>
      </c>
      <c r="BC5" s="17" t="s">
        <v>375</v>
      </c>
      <c r="BD5" s="17" t="s">
        <v>376</v>
      </c>
      <c r="BE5" s="14"/>
      <c r="BF5" s="14"/>
      <c r="BG5" s="14"/>
    </row>
    <row r="6" spans="1:59" ht="409.6" x14ac:dyDescent="0.15">
      <c r="A6" s="14" t="s">
        <v>377</v>
      </c>
      <c r="B6" s="14" t="s">
        <v>349</v>
      </c>
      <c r="C6" s="14" t="s">
        <v>348</v>
      </c>
      <c r="D6" s="14" t="s">
        <v>348</v>
      </c>
      <c r="E6" s="14" t="s">
        <v>362</v>
      </c>
      <c r="F6" s="14" t="s">
        <v>349</v>
      </c>
      <c r="G6" s="14" t="s">
        <v>349</v>
      </c>
      <c r="H6" s="14" t="s">
        <v>362</v>
      </c>
      <c r="I6" s="14" t="s">
        <v>363</v>
      </c>
      <c r="J6" s="14" t="s">
        <v>362</v>
      </c>
      <c r="K6" s="14" t="s">
        <v>377</v>
      </c>
      <c r="L6" s="14" t="s">
        <v>377</v>
      </c>
      <c r="M6" s="14" t="s">
        <v>348</v>
      </c>
      <c r="N6" s="14" t="s">
        <v>362</v>
      </c>
      <c r="O6" s="14" t="s">
        <v>349</v>
      </c>
      <c r="P6" s="14" t="s">
        <v>363</v>
      </c>
      <c r="Q6" s="14" t="s">
        <v>348</v>
      </c>
      <c r="R6" s="17" t="s">
        <v>378</v>
      </c>
      <c r="S6" s="14" t="s">
        <v>353</v>
      </c>
      <c r="T6" s="14" t="s">
        <v>352</v>
      </c>
      <c r="U6" s="14" t="s">
        <v>354</v>
      </c>
      <c r="V6" s="14" t="s">
        <v>353</v>
      </c>
      <c r="W6" s="14" t="s">
        <v>352</v>
      </c>
      <c r="X6" s="14" t="s">
        <v>351</v>
      </c>
      <c r="Y6" s="14" t="s">
        <v>372</v>
      </c>
      <c r="Z6" s="14" t="s">
        <v>351</v>
      </c>
      <c r="AA6" s="14" t="s">
        <v>353</v>
      </c>
      <c r="AB6" s="14" t="s">
        <v>354</v>
      </c>
      <c r="AC6" s="14" t="s">
        <v>352</v>
      </c>
      <c r="AD6" s="14" t="s">
        <v>351</v>
      </c>
      <c r="AE6" s="14" t="s">
        <v>353</v>
      </c>
      <c r="AF6" s="14" t="s">
        <v>351</v>
      </c>
      <c r="AG6" s="14" t="s">
        <v>372</v>
      </c>
      <c r="AH6" s="14" t="s">
        <v>354</v>
      </c>
      <c r="AI6" s="14" t="s">
        <v>353</v>
      </c>
      <c r="AJ6" s="17" t="s">
        <v>379</v>
      </c>
      <c r="AK6" s="14" t="s">
        <v>358</v>
      </c>
      <c r="AL6" s="14" t="s">
        <v>356</v>
      </c>
      <c r="AM6" s="14" t="s">
        <v>357</v>
      </c>
      <c r="AN6" s="14" t="s">
        <v>367</v>
      </c>
      <c r="AO6" s="14" t="s">
        <v>358</v>
      </c>
      <c r="AP6" s="14" t="s">
        <v>356</v>
      </c>
      <c r="AQ6" s="14" t="s">
        <v>358</v>
      </c>
      <c r="AR6" s="14" t="s">
        <v>366</v>
      </c>
      <c r="AS6" s="14" t="s">
        <v>357</v>
      </c>
      <c r="AT6" s="14" t="s">
        <v>358</v>
      </c>
      <c r="AU6" s="14" t="s">
        <v>357</v>
      </c>
      <c r="AV6" s="14" t="s">
        <v>357</v>
      </c>
      <c r="AW6" s="14" t="s">
        <v>366</v>
      </c>
      <c r="AX6" s="14" t="s">
        <v>356</v>
      </c>
      <c r="AY6" s="14" t="s">
        <v>358</v>
      </c>
      <c r="AZ6" s="14" t="s">
        <v>357</v>
      </c>
      <c r="BA6" s="14" t="s">
        <v>358</v>
      </c>
      <c r="BB6" s="17" t="s">
        <v>380</v>
      </c>
      <c r="BC6" s="17" t="s">
        <v>381</v>
      </c>
      <c r="BD6" s="17" t="s">
        <v>382</v>
      </c>
      <c r="BE6" s="14"/>
      <c r="BF6" s="14"/>
      <c r="BG6" s="14"/>
    </row>
    <row r="7" spans="1:59" ht="350" x14ac:dyDescent="0.15">
      <c r="A7" s="14" t="s">
        <v>349</v>
      </c>
      <c r="B7" s="14" t="s">
        <v>377</v>
      </c>
      <c r="C7" s="14" t="s">
        <v>348</v>
      </c>
      <c r="D7" s="14" t="s">
        <v>348</v>
      </c>
      <c r="E7" s="14" t="s">
        <v>348</v>
      </c>
      <c r="F7" s="14" t="s">
        <v>349</v>
      </c>
      <c r="G7" s="14" t="s">
        <v>362</v>
      </c>
      <c r="H7" s="14" t="s">
        <v>362</v>
      </c>
      <c r="I7" s="14" t="s">
        <v>349</v>
      </c>
      <c r="J7" s="14" t="s">
        <v>348</v>
      </c>
      <c r="K7" s="14" t="s">
        <v>348</v>
      </c>
      <c r="L7" s="14" t="s">
        <v>348</v>
      </c>
      <c r="M7" s="14" t="s">
        <v>362</v>
      </c>
      <c r="N7" s="14" t="s">
        <v>348</v>
      </c>
      <c r="O7" s="14" t="s">
        <v>363</v>
      </c>
      <c r="P7" s="14" t="s">
        <v>349</v>
      </c>
      <c r="Q7" s="14" t="s">
        <v>363</v>
      </c>
      <c r="R7" s="17" t="s">
        <v>383</v>
      </c>
      <c r="S7" s="14" t="s">
        <v>353</v>
      </c>
      <c r="T7" s="14" t="s">
        <v>351</v>
      </c>
      <c r="U7" s="14" t="s">
        <v>351</v>
      </c>
      <c r="V7" s="14" t="s">
        <v>353</v>
      </c>
      <c r="W7" s="14" t="s">
        <v>354</v>
      </c>
      <c r="X7" s="14" t="s">
        <v>353</v>
      </c>
      <c r="Y7" s="14" t="s">
        <v>351</v>
      </c>
      <c r="Z7" s="14" t="s">
        <v>351</v>
      </c>
      <c r="AA7" s="14" t="s">
        <v>353</v>
      </c>
      <c r="AB7" s="14" t="s">
        <v>354</v>
      </c>
      <c r="AC7" s="14" t="s">
        <v>351</v>
      </c>
      <c r="AD7" s="14" t="s">
        <v>353</v>
      </c>
      <c r="AE7" s="14" t="s">
        <v>351</v>
      </c>
      <c r="AF7" s="14" t="s">
        <v>351</v>
      </c>
      <c r="AG7" s="14" t="s">
        <v>353</v>
      </c>
      <c r="AH7" s="14" t="s">
        <v>353</v>
      </c>
      <c r="AI7" s="14" t="s">
        <v>354</v>
      </c>
      <c r="AJ7" s="17" t="s">
        <v>384</v>
      </c>
      <c r="AK7" s="14" t="s">
        <v>356</v>
      </c>
      <c r="AL7" s="14" t="s">
        <v>367</v>
      </c>
      <c r="AM7" s="14" t="s">
        <v>358</v>
      </c>
      <c r="AN7" s="14" t="s">
        <v>367</v>
      </c>
      <c r="AO7" s="14" t="s">
        <v>357</v>
      </c>
      <c r="AP7" s="14" t="s">
        <v>367</v>
      </c>
      <c r="AQ7" s="14" t="s">
        <v>357</v>
      </c>
      <c r="AR7" s="14" t="s">
        <v>356</v>
      </c>
      <c r="AS7" s="14" t="s">
        <v>357</v>
      </c>
      <c r="AT7" s="14" t="s">
        <v>357</v>
      </c>
      <c r="AU7" s="14" t="s">
        <v>357</v>
      </c>
      <c r="AV7" s="14" t="s">
        <v>357</v>
      </c>
      <c r="AW7" s="14" t="s">
        <v>356</v>
      </c>
      <c r="AX7" s="14" t="s">
        <v>357</v>
      </c>
      <c r="AY7" s="14" t="s">
        <v>357</v>
      </c>
      <c r="AZ7" s="14" t="s">
        <v>357</v>
      </c>
      <c r="BA7" s="14" t="s">
        <v>358</v>
      </c>
      <c r="BB7" s="17" t="s">
        <v>385</v>
      </c>
      <c r="BC7" s="17" t="s">
        <v>386</v>
      </c>
      <c r="BD7" s="17" t="s">
        <v>387</v>
      </c>
      <c r="BE7" s="14"/>
      <c r="BF7" s="14"/>
      <c r="BG7" s="14"/>
    </row>
    <row r="8" spans="1:59" ht="160" x14ac:dyDescent="0.15">
      <c r="A8" s="14" t="s">
        <v>348</v>
      </c>
      <c r="B8" s="14" t="s">
        <v>349</v>
      </c>
      <c r="C8" s="14" t="s">
        <v>349</v>
      </c>
      <c r="D8" s="14" t="s">
        <v>349</v>
      </c>
      <c r="E8" s="14" t="s">
        <v>349</v>
      </c>
      <c r="F8" s="14" t="s">
        <v>348</v>
      </c>
      <c r="G8" s="14" t="s">
        <v>349</v>
      </c>
      <c r="H8" s="14" t="s">
        <v>362</v>
      </c>
      <c r="I8" s="14" t="s">
        <v>349</v>
      </c>
      <c r="J8" s="14" t="s">
        <v>362</v>
      </c>
      <c r="K8" s="14" t="s">
        <v>349</v>
      </c>
      <c r="L8" s="14" t="s">
        <v>362</v>
      </c>
      <c r="M8" s="14" t="s">
        <v>349</v>
      </c>
      <c r="N8" s="14" t="s">
        <v>349</v>
      </c>
      <c r="O8" s="14" t="s">
        <v>362</v>
      </c>
      <c r="P8" s="14" t="s">
        <v>362</v>
      </c>
      <c r="Q8" s="14" t="s">
        <v>362</v>
      </c>
      <c r="R8" s="17" t="s">
        <v>388</v>
      </c>
      <c r="S8" s="14" t="s">
        <v>351</v>
      </c>
      <c r="T8" s="14" t="s">
        <v>351</v>
      </c>
      <c r="U8" s="14" t="s">
        <v>352</v>
      </c>
      <c r="V8" s="14" t="s">
        <v>352</v>
      </c>
      <c r="W8" s="14" t="s">
        <v>352</v>
      </c>
      <c r="X8" s="14" t="s">
        <v>351</v>
      </c>
      <c r="Y8" s="14" t="s">
        <v>352</v>
      </c>
      <c r="Z8" s="14" t="s">
        <v>351</v>
      </c>
      <c r="AA8" s="14" t="s">
        <v>351</v>
      </c>
      <c r="AB8" s="14" t="s">
        <v>353</v>
      </c>
      <c r="AC8" s="14" t="s">
        <v>351</v>
      </c>
      <c r="AD8" s="14" t="s">
        <v>352</v>
      </c>
      <c r="AE8" s="14" t="s">
        <v>352</v>
      </c>
      <c r="AF8" s="14" t="s">
        <v>372</v>
      </c>
      <c r="AG8" s="14" t="s">
        <v>353</v>
      </c>
      <c r="AH8" s="14" t="s">
        <v>351</v>
      </c>
      <c r="AI8" s="14" t="s">
        <v>351</v>
      </c>
      <c r="AJ8" s="17" t="s">
        <v>389</v>
      </c>
      <c r="AK8" s="14" t="s">
        <v>357</v>
      </c>
      <c r="AL8" s="14" t="s">
        <v>357</v>
      </c>
      <c r="AM8" s="14" t="s">
        <v>357</v>
      </c>
      <c r="AN8" s="14" t="s">
        <v>357</v>
      </c>
      <c r="AO8" s="14" t="s">
        <v>356</v>
      </c>
      <c r="AP8" s="14" t="s">
        <v>356</v>
      </c>
      <c r="AQ8" s="14" t="s">
        <v>357</v>
      </c>
      <c r="AR8" s="14" t="s">
        <v>358</v>
      </c>
      <c r="AS8" s="14" t="s">
        <v>358</v>
      </c>
      <c r="AT8" s="14" t="s">
        <v>356</v>
      </c>
      <c r="AU8" s="14" t="s">
        <v>367</v>
      </c>
      <c r="AV8" s="14" t="s">
        <v>356</v>
      </c>
      <c r="AW8" s="14" t="s">
        <v>357</v>
      </c>
      <c r="AX8" s="14" t="s">
        <v>367</v>
      </c>
      <c r="AY8" s="14" t="s">
        <v>366</v>
      </c>
      <c r="AZ8" s="14" t="s">
        <v>366</v>
      </c>
      <c r="BA8" s="14" t="s">
        <v>366</v>
      </c>
      <c r="BB8" s="17" t="s">
        <v>390</v>
      </c>
      <c r="BC8" s="17" t="s">
        <v>391</v>
      </c>
      <c r="BD8" s="17" t="s">
        <v>392</v>
      </c>
      <c r="BE8" s="14"/>
      <c r="BF8" s="14"/>
      <c r="BG8" s="14"/>
    </row>
    <row r="9" spans="1:59" ht="395" x14ac:dyDescent="0.15">
      <c r="A9" s="14" t="s">
        <v>348</v>
      </c>
      <c r="B9" s="14" t="s">
        <v>348</v>
      </c>
      <c r="C9" s="14" t="s">
        <v>349</v>
      </c>
      <c r="D9" s="14" t="s">
        <v>348</v>
      </c>
      <c r="E9" s="14" t="s">
        <v>348</v>
      </c>
      <c r="F9" s="14" t="s">
        <v>348</v>
      </c>
      <c r="G9" s="14" t="s">
        <v>348</v>
      </c>
      <c r="H9" s="14" t="s">
        <v>348</v>
      </c>
      <c r="I9" s="14" t="s">
        <v>348</v>
      </c>
      <c r="J9" s="14" t="s">
        <v>348</v>
      </c>
      <c r="K9" s="14" t="s">
        <v>349</v>
      </c>
      <c r="L9" s="14" t="s">
        <v>349</v>
      </c>
      <c r="M9" s="14" t="s">
        <v>349</v>
      </c>
      <c r="N9" s="14" t="s">
        <v>349</v>
      </c>
      <c r="O9" s="14" t="s">
        <v>349</v>
      </c>
      <c r="P9" s="14" t="s">
        <v>349</v>
      </c>
      <c r="Q9" s="14" t="s">
        <v>349</v>
      </c>
      <c r="R9" s="17" t="s">
        <v>393</v>
      </c>
      <c r="S9" s="14" t="s">
        <v>353</v>
      </c>
      <c r="T9" s="14" t="s">
        <v>353</v>
      </c>
      <c r="U9" s="14" t="s">
        <v>352</v>
      </c>
      <c r="V9" s="14" t="s">
        <v>353</v>
      </c>
      <c r="W9" s="14" t="s">
        <v>352</v>
      </c>
      <c r="X9" s="14" t="s">
        <v>353</v>
      </c>
      <c r="Y9" s="14" t="s">
        <v>353</v>
      </c>
      <c r="Z9" s="14" t="s">
        <v>352</v>
      </c>
      <c r="AA9" s="14" t="s">
        <v>352</v>
      </c>
      <c r="AB9" s="14" t="s">
        <v>353</v>
      </c>
      <c r="AC9" s="14" t="s">
        <v>353</v>
      </c>
      <c r="AD9" s="14" t="s">
        <v>353</v>
      </c>
      <c r="AE9" s="14" t="s">
        <v>353</v>
      </c>
      <c r="AF9" s="14" t="s">
        <v>353</v>
      </c>
      <c r="AG9" s="14" t="s">
        <v>352</v>
      </c>
      <c r="AH9" s="14" t="s">
        <v>351</v>
      </c>
      <c r="AI9" s="14" t="s">
        <v>352</v>
      </c>
      <c r="AJ9" s="17" t="s">
        <v>394</v>
      </c>
      <c r="AK9" s="14" t="s">
        <v>357</v>
      </c>
      <c r="AL9" s="14" t="s">
        <v>357</v>
      </c>
      <c r="AM9" s="14" t="s">
        <v>357</v>
      </c>
      <c r="AN9" s="14" t="s">
        <v>357</v>
      </c>
      <c r="AO9" s="14" t="s">
        <v>357</v>
      </c>
      <c r="AP9" s="14" t="s">
        <v>357</v>
      </c>
      <c r="AQ9" s="14" t="s">
        <v>357</v>
      </c>
      <c r="AR9" s="14" t="s">
        <v>357</v>
      </c>
      <c r="AS9" s="14" t="s">
        <v>357</v>
      </c>
      <c r="AT9" s="14" t="s">
        <v>357</v>
      </c>
      <c r="AU9" s="14" t="s">
        <v>357</v>
      </c>
      <c r="AV9" s="14" t="s">
        <v>357</v>
      </c>
      <c r="AW9" s="14" t="s">
        <v>357</v>
      </c>
      <c r="AX9" s="14" t="s">
        <v>357</v>
      </c>
      <c r="AY9" s="14" t="s">
        <v>356</v>
      </c>
      <c r="AZ9" s="14" t="s">
        <v>357</v>
      </c>
      <c r="BA9" s="14" t="s">
        <v>356</v>
      </c>
      <c r="BB9" s="17" t="s">
        <v>395</v>
      </c>
      <c r="BC9" s="17" t="s">
        <v>396</v>
      </c>
      <c r="BD9" s="17" t="s">
        <v>397</v>
      </c>
      <c r="BE9" s="14"/>
      <c r="BF9" s="14"/>
      <c r="BG9" s="14"/>
    </row>
    <row r="10" spans="1:59" ht="64" x14ac:dyDescent="0.15">
      <c r="A10" s="14" t="s">
        <v>349</v>
      </c>
      <c r="B10" s="14" t="s">
        <v>349</v>
      </c>
      <c r="C10" s="14" t="s">
        <v>349</v>
      </c>
      <c r="D10" s="14" t="s">
        <v>349</v>
      </c>
      <c r="E10" s="14" t="s">
        <v>377</v>
      </c>
      <c r="F10" s="14" t="s">
        <v>349</v>
      </c>
      <c r="G10" s="14" t="s">
        <v>377</v>
      </c>
      <c r="H10" s="14" t="s">
        <v>349</v>
      </c>
      <c r="I10" s="14" t="s">
        <v>349</v>
      </c>
      <c r="J10" s="14" t="s">
        <v>377</v>
      </c>
      <c r="K10" s="14" t="s">
        <v>349</v>
      </c>
      <c r="L10" s="14" t="s">
        <v>349</v>
      </c>
      <c r="M10" s="14" t="s">
        <v>349</v>
      </c>
      <c r="N10" s="14" t="s">
        <v>377</v>
      </c>
      <c r="O10" s="14" t="s">
        <v>377</v>
      </c>
      <c r="P10" s="14" t="s">
        <v>363</v>
      </c>
      <c r="Q10" s="14" t="s">
        <v>349</v>
      </c>
      <c r="R10" s="17" t="s">
        <v>398</v>
      </c>
      <c r="S10" s="14" t="s">
        <v>351</v>
      </c>
      <c r="T10" s="14" t="s">
        <v>352</v>
      </c>
      <c r="U10" s="14" t="s">
        <v>351</v>
      </c>
      <c r="V10" s="14" t="s">
        <v>353</v>
      </c>
      <c r="W10" s="14" t="s">
        <v>353</v>
      </c>
      <c r="X10" s="14" t="s">
        <v>351</v>
      </c>
      <c r="Y10" s="14" t="s">
        <v>352</v>
      </c>
      <c r="Z10" s="14" t="s">
        <v>353</v>
      </c>
      <c r="AA10" s="14" t="s">
        <v>399</v>
      </c>
      <c r="AB10" s="14" t="s">
        <v>399</v>
      </c>
      <c r="AC10" s="14" t="s">
        <v>353</v>
      </c>
      <c r="AD10" s="14" t="s">
        <v>353</v>
      </c>
      <c r="AE10" s="14" t="s">
        <v>353</v>
      </c>
      <c r="AF10" s="14" t="s">
        <v>399</v>
      </c>
      <c r="AG10" s="14" t="s">
        <v>399</v>
      </c>
      <c r="AH10" s="14" t="s">
        <v>399</v>
      </c>
      <c r="AI10" s="14" t="s">
        <v>399</v>
      </c>
      <c r="AJ10" s="17" t="s">
        <v>400</v>
      </c>
      <c r="AK10" s="14" t="s">
        <v>357</v>
      </c>
      <c r="AL10" s="14" t="s">
        <v>357</v>
      </c>
      <c r="AM10" s="14" t="s">
        <v>357</v>
      </c>
      <c r="AN10" s="14" t="s">
        <v>358</v>
      </c>
      <c r="AO10" s="14" t="s">
        <v>358</v>
      </c>
      <c r="AP10" s="14" t="s">
        <v>367</v>
      </c>
      <c r="AQ10" s="14" t="s">
        <v>358</v>
      </c>
      <c r="AR10" s="14" t="s">
        <v>366</v>
      </c>
      <c r="AS10" s="14" t="s">
        <v>366</v>
      </c>
      <c r="AT10" s="14" t="s">
        <v>401</v>
      </c>
      <c r="AU10" s="14" t="s">
        <v>358</v>
      </c>
      <c r="AV10" s="14" t="s">
        <v>358</v>
      </c>
      <c r="AW10" s="14" t="s">
        <v>358</v>
      </c>
      <c r="AX10" s="14" t="s">
        <v>366</v>
      </c>
      <c r="AY10" s="14" t="s">
        <v>366</v>
      </c>
      <c r="AZ10" s="14" t="s">
        <v>401</v>
      </c>
      <c r="BA10" s="14" t="s">
        <v>366</v>
      </c>
      <c r="BB10" s="17" t="s">
        <v>402</v>
      </c>
      <c r="BC10" s="17" t="s">
        <v>403</v>
      </c>
      <c r="BD10" s="17" t="s">
        <v>404</v>
      </c>
      <c r="BE10" s="14"/>
      <c r="BF10" s="14"/>
      <c r="BG10" s="14"/>
    </row>
    <row r="11" spans="1:59" ht="409.6" x14ac:dyDescent="0.15">
      <c r="A11" s="14" t="s">
        <v>349</v>
      </c>
      <c r="B11" s="14" t="s">
        <v>348</v>
      </c>
      <c r="C11" s="14" t="s">
        <v>349</v>
      </c>
      <c r="D11" s="14" t="s">
        <v>348</v>
      </c>
      <c r="E11" s="14" t="s">
        <v>348</v>
      </c>
      <c r="F11" s="14" t="s">
        <v>377</v>
      </c>
      <c r="G11" s="14" t="s">
        <v>348</v>
      </c>
      <c r="H11" s="14" t="s">
        <v>349</v>
      </c>
      <c r="I11" s="14" t="s">
        <v>348</v>
      </c>
      <c r="J11" s="14" t="s">
        <v>348</v>
      </c>
      <c r="K11" s="14" t="s">
        <v>349</v>
      </c>
      <c r="L11" s="14" t="s">
        <v>349</v>
      </c>
      <c r="M11" s="14" t="s">
        <v>349</v>
      </c>
      <c r="N11" s="14" t="s">
        <v>348</v>
      </c>
      <c r="O11" s="14" t="s">
        <v>348</v>
      </c>
      <c r="P11" s="14" t="s">
        <v>348</v>
      </c>
      <c r="Q11" s="14" t="s">
        <v>348</v>
      </c>
      <c r="R11" s="17" t="s">
        <v>405</v>
      </c>
      <c r="S11" s="14" t="s">
        <v>354</v>
      </c>
      <c r="T11" s="14" t="s">
        <v>351</v>
      </c>
      <c r="U11" s="14" t="s">
        <v>353</v>
      </c>
      <c r="V11" s="14" t="s">
        <v>351</v>
      </c>
      <c r="W11" s="14" t="s">
        <v>354</v>
      </c>
      <c r="X11" s="14" t="s">
        <v>353</v>
      </c>
      <c r="Y11" s="14" t="s">
        <v>351</v>
      </c>
      <c r="Z11" s="14" t="s">
        <v>351</v>
      </c>
      <c r="AA11" s="14" t="s">
        <v>353</v>
      </c>
      <c r="AB11" s="14" t="s">
        <v>353</v>
      </c>
      <c r="AC11" s="14" t="s">
        <v>352</v>
      </c>
      <c r="AD11" s="14" t="s">
        <v>351</v>
      </c>
      <c r="AE11" s="14" t="s">
        <v>399</v>
      </c>
      <c r="AF11" s="14" t="s">
        <v>353</v>
      </c>
      <c r="AG11" s="14" t="s">
        <v>353</v>
      </c>
      <c r="AH11" s="14" t="s">
        <v>353</v>
      </c>
      <c r="AI11" s="14" t="s">
        <v>351</v>
      </c>
      <c r="AJ11" s="17" t="s">
        <v>406</v>
      </c>
      <c r="AK11" s="14" t="s">
        <v>356</v>
      </c>
      <c r="AL11" s="14" t="s">
        <v>357</v>
      </c>
      <c r="AM11" s="14" t="s">
        <v>357</v>
      </c>
      <c r="AN11" s="14" t="s">
        <v>357</v>
      </c>
      <c r="AO11" s="14" t="s">
        <v>357</v>
      </c>
      <c r="AP11" s="14" t="s">
        <v>357</v>
      </c>
      <c r="AQ11" s="14" t="s">
        <v>357</v>
      </c>
      <c r="AR11" s="14" t="s">
        <v>358</v>
      </c>
      <c r="AS11" s="14" t="s">
        <v>357</v>
      </c>
      <c r="AT11" s="14" t="s">
        <v>357</v>
      </c>
      <c r="AU11" s="14" t="s">
        <v>357</v>
      </c>
      <c r="AV11" s="14" t="s">
        <v>357</v>
      </c>
      <c r="AW11" s="14" t="s">
        <v>358</v>
      </c>
      <c r="AX11" s="14" t="s">
        <v>357</v>
      </c>
      <c r="AY11" s="14" t="s">
        <v>357</v>
      </c>
      <c r="AZ11" s="14" t="s">
        <v>357</v>
      </c>
      <c r="BA11" s="14" t="s">
        <v>358</v>
      </c>
      <c r="BB11" s="17" t="s">
        <v>407</v>
      </c>
      <c r="BC11" s="17" t="s">
        <v>408</v>
      </c>
      <c r="BD11" s="17" t="s">
        <v>409</v>
      </c>
      <c r="BE11" s="14"/>
      <c r="BF11" s="14"/>
      <c r="BG11" s="14"/>
    </row>
    <row r="12" spans="1:59" ht="409.6" x14ac:dyDescent="0.15">
      <c r="A12" s="14" t="s">
        <v>362</v>
      </c>
      <c r="B12" s="14" t="s">
        <v>362</v>
      </c>
      <c r="C12" s="14" t="s">
        <v>377</v>
      </c>
      <c r="D12" s="14" t="s">
        <v>362</v>
      </c>
      <c r="E12" s="14" t="s">
        <v>362</v>
      </c>
      <c r="F12" s="14" t="s">
        <v>363</v>
      </c>
      <c r="G12" s="14" t="s">
        <v>363</v>
      </c>
      <c r="H12" s="14" t="s">
        <v>362</v>
      </c>
      <c r="I12" s="14" t="s">
        <v>377</v>
      </c>
      <c r="J12" s="14" t="s">
        <v>363</v>
      </c>
      <c r="K12" s="14" t="s">
        <v>363</v>
      </c>
      <c r="L12" s="14" t="s">
        <v>363</v>
      </c>
      <c r="M12" s="14" t="s">
        <v>349</v>
      </c>
      <c r="N12" s="14" t="s">
        <v>377</v>
      </c>
      <c r="O12" s="14" t="s">
        <v>377</v>
      </c>
      <c r="P12" s="14" t="s">
        <v>362</v>
      </c>
      <c r="Q12" s="14" t="s">
        <v>377</v>
      </c>
      <c r="R12" s="17" t="s">
        <v>410</v>
      </c>
      <c r="S12" s="14" t="s">
        <v>351</v>
      </c>
      <c r="T12" s="14" t="s">
        <v>352</v>
      </c>
      <c r="U12" s="14" t="s">
        <v>351</v>
      </c>
      <c r="V12" s="14" t="s">
        <v>353</v>
      </c>
      <c r="W12" s="14" t="s">
        <v>353</v>
      </c>
      <c r="X12" s="14" t="s">
        <v>351</v>
      </c>
      <c r="Y12" s="14" t="s">
        <v>352</v>
      </c>
      <c r="Z12" s="14" t="s">
        <v>351</v>
      </c>
      <c r="AA12" s="14" t="s">
        <v>351</v>
      </c>
      <c r="AB12" s="14" t="s">
        <v>353</v>
      </c>
      <c r="AC12" s="14" t="s">
        <v>372</v>
      </c>
      <c r="AD12" s="14" t="s">
        <v>351</v>
      </c>
      <c r="AE12" s="14" t="s">
        <v>351</v>
      </c>
      <c r="AF12" s="14" t="s">
        <v>351</v>
      </c>
      <c r="AG12" s="14" t="s">
        <v>352</v>
      </c>
      <c r="AH12" s="14" t="s">
        <v>353</v>
      </c>
      <c r="AI12" s="14" t="s">
        <v>351</v>
      </c>
      <c r="AJ12" s="17" t="s">
        <v>411</v>
      </c>
      <c r="AK12" s="14" t="s">
        <v>356</v>
      </c>
      <c r="AL12" s="14" t="s">
        <v>356</v>
      </c>
      <c r="AM12" s="14" t="s">
        <v>358</v>
      </c>
      <c r="AN12" s="14" t="s">
        <v>358</v>
      </c>
      <c r="AO12" s="14" t="s">
        <v>357</v>
      </c>
      <c r="AP12" s="14" t="s">
        <v>356</v>
      </c>
      <c r="AQ12" s="14" t="s">
        <v>357</v>
      </c>
      <c r="AR12" s="14" t="s">
        <v>367</v>
      </c>
      <c r="AS12" s="14" t="s">
        <v>358</v>
      </c>
      <c r="AT12" s="14" t="s">
        <v>357</v>
      </c>
      <c r="AU12" s="14" t="s">
        <v>358</v>
      </c>
      <c r="AV12" s="14" t="s">
        <v>356</v>
      </c>
      <c r="AW12" s="14" t="s">
        <v>358</v>
      </c>
      <c r="AX12" s="14" t="s">
        <v>356</v>
      </c>
      <c r="AY12" s="14" t="s">
        <v>356</v>
      </c>
      <c r="AZ12" s="14" t="s">
        <v>356</v>
      </c>
      <c r="BA12" s="14" t="s">
        <v>367</v>
      </c>
      <c r="BB12" s="17" t="s">
        <v>412</v>
      </c>
      <c r="BC12" s="17" t="s">
        <v>413</v>
      </c>
      <c r="BD12" s="17" t="s">
        <v>414</v>
      </c>
      <c r="BE12" s="14"/>
      <c r="BF12" s="14"/>
      <c r="BG12" s="14"/>
    </row>
    <row r="13" spans="1:59" ht="80" x14ac:dyDescent="0.15">
      <c r="A13" s="14" t="s">
        <v>349</v>
      </c>
      <c r="B13" s="14" t="s">
        <v>348</v>
      </c>
      <c r="C13" s="14" t="s">
        <v>349</v>
      </c>
      <c r="D13" s="14" t="s">
        <v>362</v>
      </c>
      <c r="E13" s="14" t="s">
        <v>362</v>
      </c>
      <c r="F13" s="14" t="s">
        <v>377</v>
      </c>
      <c r="G13" s="14" t="s">
        <v>349</v>
      </c>
      <c r="H13" s="14" t="s">
        <v>377</v>
      </c>
      <c r="I13" s="14" t="s">
        <v>377</v>
      </c>
      <c r="J13" s="14" t="s">
        <v>349</v>
      </c>
      <c r="K13" s="14" t="s">
        <v>348</v>
      </c>
      <c r="L13" s="14" t="s">
        <v>377</v>
      </c>
      <c r="M13" s="14" t="s">
        <v>377</v>
      </c>
      <c r="N13" s="14" t="s">
        <v>349</v>
      </c>
      <c r="O13" s="14" t="s">
        <v>349</v>
      </c>
      <c r="P13" s="14" t="s">
        <v>377</v>
      </c>
      <c r="Q13" s="14" t="s">
        <v>349</v>
      </c>
      <c r="R13" s="17" t="s">
        <v>415</v>
      </c>
      <c r="S13" s="14" t="s">
        <v>372</v>
      </c>
      <c r="T13" s="14" t="s">
        <v>372</v>
      </c>
      <c r="U13" s="14" t="s">
        <v>351</v>
      </c>
      <c r="V13" s="14" t="s">
        <v>352</v>
      </c>
      <c r="W13" s="14" t="s">
        <v>372</v>
      </c>
      <c r="X13" s="14" t="s">
        <v>351</v>
      </c>
      <c r="Y13" s="14" t="s">
        <v>351</v>
      </c>
      <c r="Z13" s="14" t="s">
        <v>351</v>
      </c>
      <c r="AA13" s="14" t="s">
        <v>352</v>
      </c>
      <c r="AB13" s="14" t="s">
        <v>352</v>
      </c>
      <c r="AC13" s="14" t="s">
        <v>352</v>
      </c>
      <c r="AD13" s="14" t="s">
        <v>351</v>
      </c>
      <c r="AE13" s="14" t="s">
        <v>372</v>
      </c>
      <c r="AF13" s="14" t="s">
        <v>352</v>
      </c>
      <c r="AG13" s="14" t="s">
        <v>351</v>
      </c>
      <c r="AH13" s="14" t="s">
        <v>399</v>
      </c>
      <c r="AI13" s="14" t="s">
        <v>352</v>
      </c>
      <c r="AJ13" s="17" t="s">
        <v>416</v>
      </c>
      <c r="AK13" s="14" t="s">
        <v>356</v>
      </c>
      <c r="AL13" s="14" t="s">
        <v>367</v>
      </c>
      <c r="AM13" s="14" t="s">
        <v>356</v>
      </c>
      <c r="AN13" s="14" t="s">
        <v>356</v>
      </c>
      <c r="AO13" s="14" t="s">
        <v>357</v>
      </c>
      <c r="AP13" s="14" t="s">
        <v>367</v>
      </c>
      <c r="AQ13" s="14" t="s">
        <v>358</v>
      </c>
      <c r="AR13" s="14" t="s">
        <v>367</v>
      </c>
      <c r="AS13" s="14" t="s">
        <v>367</v>
      </c>
      <c r="AT13" s="14" t="s">
        <v>357</v>
      </c>
      <c r="AU13" s="14" t="s">
        <v>357</v>
      </c>
      <c r="AV13" s="14" t="s">
        <v>356</v>
      </c>
      <c r="AW13" s="14" t="s">
        <v>356</v>
      </c>
      <c r="AX13" s="14" t="s">
        <v>356</v>
      </c>
      <c r="AY13" s="14" t="s">
        <v>358</v>
      </c>
      <c r="AZ13" s="14" t="s">
        <v>367</v>
      </c>
      <c r="BA13" s="14" t="s">
        <v>358</v>
      </c>
      <c r="BB13" s="17" t="s">
        <v>417</v>
      </c>
      <c r="BC13" s="17" t="s">
        <v>418</v>
      </c>
      <c r="BD13" s="17" t="s">
        <v>419</v>
      </c>
      <c r="BE13" s="14"/>
      <c r="BF13" s="14"/>
      <c r="BG13" s="14"/>
    </row>
    <row r="14" spans="1:59" ht="409.6" x14ac:dyDescent="0.15">
      <c r="A14" s="14" t="s">
        <v>363</v>
      </c>
      <c r="B14" s="14" t="s">
        <v>349</v>
      </c>
      <c r="C14" s="14" t="s">
        <v>363</v>
      </c>
      <c r="D14" s="14" t="s">
        <v>349</v>
      </c>
      <c r="E14" s="14" t="s">
        <v>348</v>
      </c>
      <c r="F14" s="14" t="s">
        <v>363</v>
      </c>
      <c r="G14" s="14" t="s">
        <v>363</v>
      </c>
      <c r="H14" s="14" t="s">
        <v>363</v>
      </c>
      <c r="I14" s="14" t="s">
        <v>363</v>
      </c>
      <c r="J14" s="14" t="s">
        <v>362</v>
      </c>
      <c r="K14" s="14" t="s">
        <v>362</v>
      </c>
      <c r="L14" s="14" t="s">
        <v>363</v>
      </c>
      <c r="M14" s="14" t="s">
        <v>363</v>
      </c>
      <c r="N14" s="14" t="s">
        <v>363</v>
      </c>
      <c r="O14" s="14" t="s">
        <v>363</v>
      </c>
      <c r="P14" s="14" t="s">
        <v>377</v>
      </c>
      <c r="Q14" s="14" t="s">
        <v>363</v>
      </c>
      <c r="R14" s="17" t="s">
        <v>420</v>
      </c>
      <c r="S14" s="14" t="s">
        <v>351</v>
      </c>
      <c r="T14" s="14" t="s">
        <v>372</v>
      </c>
      <c r="U14" s="14" t="s">
        <v>352</v>
      </c>
      <c r="V14" s="14" t="s">
        <v>352</v>
      </c>
      <c r="W14" s="14" t="s">
        <v>352</v>
      </c>
      <c r="X14" s="14" t="s">
        <v>353</v>
      </c>
      <c r="Y14" s="14" t="s">
        <v>353</v>
      </c>
      <c r="Z14" s="14" t="s">
        <v>353</v>
      </c>
      <c r="AA14" s="14" t="s">
        <v>353</v>
      </c>
      <c r="AB14" s="14" t="s">
        <v>352</v>
      </c>
      <c r="AC14" s="14" t="s">
        <v>354</v>
      </c>
      <c r="AD14" s="14" t="s">
        <v>353</v>
      </c>
      <c r="AE14" s="14" t="s">
        <v>372</v>
      </c>
      <c r="AF14" s="14" t="s">
        <v>352</v>
      </c>
      <c r="AG14" s="14" t="s">
        <v>354</v>
      </c>
      <c r="AH14" s="14" t="s">
        <v>399</v>
      </c>
      <c r="AI14" s="14" t="s">
        <v>353</v>
      </c>
      <c r="AJ14" s="17" t="s">
        <v>421</v>
      </c>
      <c r="AK14" s="14" t="s">
        <v>366</v>
      </c>
      <c r="AL14" s="14" t="s">
        <v>357</v>
      </c>
      <c r="AM14" s="14" t="s">
        <v>356</v>
      </c>
      <c r="AN14" s="14" t="s">
        <v>356</v>
      </c>
      <c r="AO14" s="14" t="s">
        <v>357</v>
      </c>
      <c r="AP14" s="14" t="s">
        <v>367</v>
      </c>
      <c r="AQ14" s="14" t="s">
        <v>367</v>
      </c>
      <c r="AR14" s="14" t="s">
        <v>366</v>
      </c>
      <c r="AS14" s="14" t="s">
        <v>366</v>
      </c>
      <c r="AT14" s="14" t="s">
        <v>366</v>
      </c>
      <c r="AU14" s="14" t="s">
        <v>357</v>
      </c>
      <c r="AV14" s="14" t="s">
        <v>367</v>
      </c>
      <c r="AW14" s="14" t="s">
        <v>357</v>
      </c>
      <c r="AX14" s="14" t="s">
        <v>356</v>
      </c>
      <c r="AY14" s="14" t="s">
        <v>366</v>
      </c>
      <c r="AZ14" s="14" t="s">
        <v>401</v>
      </c>
      <c r="BA14" s="14" t="s">
        <v>367</v>
      </c>
      <c r="BB14" s="17" t="s">
        <v>422</v>
      </c>
      <c r="BC14" s="17" t="s">
        <v>423</v>
      </c>
      <c r="BD14" s="17" t="s">
        <v>424</v>
      </c>
      <c r="BE14" s="14"/>
      <c r="BF14" s="14"/>
      <c r="BG14" s="14"/>
    </row>
    <row r="15" spans="1:59" ht="192" x14ac:dyDescent="0.15">
      <c r="A15" s="14" t="s">
        <v>362</v>
      </c>
      <c r="B15" s="14" t="s">
        <v>349</v>
      </c>
      <c r="C15" s="14" t="s">
        <v>362</v>
      </c>
      <c r="D15" s="14" t="s">
        <v>349</v>
      </c>
      <c r="E15" s="14" t="s">
        <v>362</v>
      </c>
      <c r="F15" s="14" t="s">
        <v>362</v>
      </c>
      <c r="G15" s="14" t="s">
        <v>349</v>
      </c>
      <c r="H15" s="14" t="s">
        <v>362</v>
      </c>
      <c r="I15" s="14" t="s">
        <v>362</v>
      </c>
      <c r="J15" s="14" t="s">
        <v>349</v>
      </c>
      <c r="K15" s="14" t="s">
        <v>362</v>
      </c>
      <c r="L15" s="14" t="s">
        <v>348</v>
      </c>
      <c r="M15" s="14" t="s">
        <v>362</v>
      </c>
      <c r="N15" s="14" t="s">
        <v>362</v>
      </c>
      <c r="O15" s="14" t="s">
        <v>362</v>
      </c>
      <c r="P15" s="14" t="s">
        <v>349</v>
      </c>
      <c r="Q15" s="14" t="s">
        <v>362</v>
      </c>
      <c r="R15" s="17" t="s">
        <v>425</v>
      </c>
      <c r="S15" s="14" t="s">
        <v>352</v>
      </c>
      <c r="T15" s="14" t="s">
        <v>351</v>
      </c>
      <c r="U15" s="14" t="s">
        <v>351</v>
      </c>
      <c r="V15" s="14" t="s">
        <v>372</v>
      </c>
      <c r="W15" s="14" t="s">
        <v>372</v>
      </c>
      <c r="X15" s="14" t="s">
        <v>351</v>
      </c>
      <c r="Y15" s="14" t="s">
        <v>351</v>
      </c>
      <c r="Z15" s="14" t="s">
        <v>353</v>
      </c>
      <c r="AA15" s="14" t="s">
        <v>351</v>
      </c>
      <c r="AB15" s="14" t="s">
        <v>353</v>
      </c>
      <c r="AC15" s="14" t="s">
        <v>372</v>
      </c>
      <c r="AD15" s="14" t="s">
        <v>351</v>
      </c>
      <c r="AE15" s="14" t="s">
        <v>351</v>
      </c>
      <c r="AF15" s="14" t="s">
        <v>372</v>
      </c>
      <c r="AG15" s="14" t="s">
        <v>353</v>
      </c>
      <c r="AH15" s="14" t="s">
        <v>354</v>
      </c>
      <c r="AI15" s="14" t="s">
        <v>351</v>
      </c>
      <c r="AJ15" s="17" t="s">
        <v>426</v>
      </c>
      <c r="AK15" s="14" t="s">
        <v>366</v>
      </c>
      <c r="AL15" s="14" t="s">
        <v>367</v>
      </c>
      <c r="AM15" s="14" t="s">
        <v>356</v>
      </c>
      <c r="AN15" s="14" t="s">
        <v>357</v>
      </c>
      <c r="AO15" s="14" t="s">
        <v>356</v>
      </c>
      <c r="AP15" s="14" t="s">
        <v>367</v>
      </c>
      <c r="AQ15" s="14" t="s">
        <v>357</v>
      </c>
      <c r="AR15" s="14" t="s">
        <v>367</v>
      </c>
      <c r="AS15" s="14" t="s">
        <v>356</v>
      </c>
      <c r="AT15" s="14" t="s">
        <v>356</v>
      </c>
      <c r="AU15" s="14" t="s">
        <v>357</v>
      </c>
      <c r="AV15" s="14" t="s">
        <v>357</v>
      </c>
      <c r="AW15" s="14" t="s">
        <v>358</v>
      </c>
      <c r="AX15" s="14" t="s">
        <v>356</v>
      </c>
      <c r="AY15" s="14" t="s">
        <v>358</v>
      </c>
      <c r="AZ15" s="14" t="s">
        <v>356</v>
      </c>
      <c r="BA15" s="14" t="s">
        <v>358</v>
      </c>
      <c r="BB15" s="17" t="s">
        <v>427</v>
      </c>
      <c r="BC15" s="17" t="s">
        <v>428</v>
      </c>
      <c r="BD15" s="17" t="s">
        <v>429</v>
      </c>
      <c r="BE15" s="14"/>
      <c r="BF15" s="14"/>
      <c r="BG15" s="14"/>
    </row>
    <row r="16" spans="1:59" ht="272" x14ac:dyDescent="0.15">
      <c r="A16" s="14" t="s">
        <v>349</v>
      </c>
      <c r="B16" s="14" t="s">
        <v>349</v>
      </c>
      <c r="C16" s="14" t="s">
        <v>349</v>
      </c>
      <c r="D16" s="14" t="s">
        <v>349</v>
      </c>
      <c r="E16" s="14" t="s">
        <v>348</v>
      </c>
      <c r="F16" s="14" t="s">
        <v>349</v>
      </c>
      <c r="G16" s="14" t="s">
        <v>348</v>
      </c>
      <c r="H16" s="14" t="s">
        <v>348</v>
      </c>
      <c r="I16" s="14" t="s">
        <v>349</v>
      </c>
      <c r="J16" s="14" t="s">
        <v>349</v>
      </c>
      <c r="K16" s="14" t="s">
        <v>349</v>
      </c>
      <c r="L16" s="14" t="s">
        <v>349</v>
      </c>
      <c r="M16" s="14" t="s">
        <v>349</v>
      </c>
      <c r="N16" s="14" t="s">
        <v>348</v>
      </c>
      <c r="O16" s="14" t="s">
        <v>348</v>
      </c>
      <c r="P16" s="14" t="s">
        <v>349</v>
      </c>
      <c r="Q16" s="14" t="s">
        <v>349</v>
      </c>
      <c r="R16" s="17" t="s">
        <v>430</v>
      </c>
      <c r="S16" s="14" t="s">
        <v>353</v>
      </c>
      <c r="T16" s="14" t="s">
        <v>352</v>
      </c>
      <c r="U16" s="14" t="s">
        <v>352</v>
      </c>
      <c r="V16" s="14" t="s">
        <v>353</v>
      </c>
      <c r="W16" s="14" t="s">
        <v>353</v>
      </c>
      <c r="X16" s="14" t="s">
        <v>353</v>
      </c>
      <c r="Y16" s="14" t="s">
        <v>353</v>
      </c>
      <c r="Z16" s="14" t="s">
        <v>353</v>
      </c>
      <c r="AA16" s="14" t="s">
        <v>353</v>
      </c>
      <c r="AB16" s="14" t="s">
        <v>352</v>
      </c>
      <c r="AC16" s="14" t="s">
        <v>352</v>
      </c>
      <c r="AD16" s="14" t="s">
        <v>352</v>
      </c>
      <c r="AE16" s="14" t="s">
        <v>352</v>
      </c>
      <c r="AF16" s="14" t="s">
        <v>351</v>
      </c>
      <c r="AG16" s="14" t="s">
        <v>353</v>
      </c>
      <c r="AH16" s="14" t="s">
        <v>353</v>
      </c>
      <c r="AI16" s="14" t="s">
        <v>351</v>
      </c>
      <c r="AJ16" s="17" t="s">
        <v>431</v>
      </c>
      <c r="AK16" s="14" t="s">
        <v>357</v>
      </c>
      <c r="AL16" s="14" t="s">
        <v>358</v>
      </c>
      <c r="AM16" s="14" t="s">
        <v>358</v>
      </c>
      <c r="AN16" s="14" t="s">
        <v>357</v>
      </c>
      <c r="AO16" s="14" t="s">
        <v>357</v>
      </c>
      <c r="AP16" s="14" t="s">
        <v>358</v>
      </c>
      <c r="AQ16" s="14" t="s">
        <v>357</v>
      </c>
      <c r="AR16" s="14" t="s">
        <v>357</v>
      </c>
      <c r="AS16" s="14" t="s">
        <v>357</v>
      </c>
      <c r="AT16" s="14" t="s">
        <v>358</v>
      </c>
      <c r="AU16" s="14" t="s">
        <v>357</v>
      </c>
      <c r="AV16" s="14" t="s">
        <v>357</v>
      </c>
      <c r="AW16" s="14" t="s">
        <v>358</v>
      </c>
      <c r="AX16" s="14" t="s">
        <v>357</v>
      </c>
      <c r="AY16" s="14" t="s">
        <v>357</v>
      </c>
      <c r="AZ16" s="14" t="s">
        <v>357</v>
      </c>
      <c r="BA16" s="14" t="s">
        <v>358</v>
      </c>
      <c r="BB16" s="17" t="s">
        <v>432</v>
      </c>
      <c r="BC16" s="17" t="s">
        <v>433</v>
      </c>
      <c r="BD16" s="17" t="s">
        <v>434</v>
      </c>
      <c r="BE16" s="14"/>
      <c r="BF16" s="14"/>
      <c r="BG16" s="14"/>
    </row>
    <row r="17" spans="1:59" ht="48" x14ac:dyDescent="0.15">
      <c r="A17" s="14" t="s">
        <v>349</v>
      </c>
      <c r="B17" s="14" t="s">
        <v>349</v>
      </c>
      <c r="C17" s="14" t="s">
        <v>348</v>
      </c>
      <c r="D17" s="14" t="s">
        <v>349</v>
      </c>
      <c r="E17" s="14" t="s">
        <v>349</v>
      </c>
      <c r="F17" s="14" t="s">
        <v>363</v>
      </c>
      <c r="G17" s="14" t="s">
        <v>348</v>
      </c>
      <c r="H17" s="14" t="s">
        <v>363</v>
      </c>
      <c r="I17" s="14" t="s">
        <v>363</v>
      </c>
      <c r="J17" s="14" t="s">
        <v>362</v>
      </c>
      <c r="K17" s="14" t="s">
        <v>348</v>
      </c>
      <c r="L17" s="14" t="s">
        <v>377</v>
      </c>
      <c r="M17" s="14" t="s">
        <v>362</v>
      </c>
      <c r="N17" s="14" t="s">
        <v>377</v>
      </c>
      <c r="O17" s="14" t="s">
        <v>363</v>
      </c>
      <c r="P17" s="14" t="s">
        <v>362</v>
      </c>
      <c r="Q17" s="14" t="s">
        <v>362</v>
      </c>
      <c r="R17" s="17" t="s">
        <v>435</v>
      </c>
      <c r="S17" s="14" t="s">
        <v>351</v>
      </c>
      <c r="T17" s="14" t="s">
        <v>351</v>
      </c>
      <c r="U17" s="14" t="s">
        <v>353</v>
      </c>
      <c r="V17" s="14" t="s">
        <v>352</v>
      </c>
      <c r="W17" s="14" t="s">
        <v>353</v>
      </c>
      <c r="X17" s="14" t="s">
        <v>351</v>
      </c>
      <c r="Y17" s="14" t="s">
        <v>352</v>
      </c>
      <c r="Z17" s="14" t="s">
        <v>351</v>
      </c>
      <c r="AA17" s="14" t="s">
        <v>352</v>
      </c>
      <c r="AB17" s="14" t="s">
        <v>351</v>
      </c>
      <c r="AC17" s="14" t="s">
        <v>352</v>
      </c>
      <c r="AD17" s="14" t="s">
        <v>351</v>
      </c>
      <c r="AE17" s="14" t="s">
        <v>351</v>
      </c>
      <c r="AF17" s="14" t="s">
        <v>351</v>
      </c>
      <c r="AG17" s="14" t="s">
        <v>351</v>
      </c>
      <c r="AH17" s="14" t="s">
        <v>351</v>
      </c>
      <c r="AI17" s="14" t="s">
        <v>352</v>
      </c>
      <c r="AJ17" s="17" t="s">
        <v>436</v>
      </c>
      <c r="AK17" s="14" t="s">
        <v>367</v>
      </c>
      <c r="AL17" s="14" t="s">
        <v>358</v>
      </c>
      <c r="AM17" s="14" t="s">
        <v>358</v>
      </c>
      <c r="AN17" s="14" t="s">
        <v>357</v>
      </c>
      <c r="AO17" s="14" t="s">
        <v>357</v>
      </c>
      <c r="AP17" s="14" t="s">
        <v>367</v>
      </c>
      <c r="AQ17" s="14" t="s">
        <v>358</v>
      </c>
      <c r="AR17" s="14" t="s">
        <v>367</v>
      </c>
      <c r="AS17" s="14" t="s">
        <v>358</v>
      </c>
      <c r="AT17" s="14" t="s">
        <v>358</v>
      </c>
      <c r="AU17" s="14" t="s">
        <v>358</v>
      </c>
      <c r="AV17" s="14" t="s">
        <v>358</v>
      </c>
      <c r="AW17" s="14" t="s">
        <v>358</v>
      </c>
      <c r="AX17" s="14" t="s">
        <v>358</v>
      </c>
      <c r="AY17" s="14" t="s">
        <v>358</v>
      </c>
      <c r="AZ17" s="14" t="s">
        <v>358</v>
      </c>
      <c r="BA17" s="14" t="s">
        <v>358</v>
      </c>
      <c r="BB17" s="17" t="s">
        <v>437</v>
      </c>
      <c r="BC17" s="17" t="s">
        <v>438</v>
      </c>
      <c r="BD17" s="17" t="s">
        <v>439</v>
      </c>
      <c r="BE17" s="14"/>
      <c r="BF17" s="14"/>
      <c r="BG17" s="14"/>
    </row>
    <row r="18" spans="1:59" ht="224" x14ac:dyDescent="0.15">
      <c r="A18" s="14" t="s">
        <v>349</v>
      </c>
      <c r="B18" s="14" t="s">
        <v>348</v>
      </c>
      <c r="C18" s="14" t="s">
        <v>349</v>
      </c>
      <c r="D18" s="14" t="s">
        <v>349</v>
      </c>
      <c r="E18" s="14" t="s">
        <v>348</v>
      </c>
      <c r="F18" s="14" t="s">
        <v>349</v>
      </c>
      <c r="G18" s="14" t="s">
        <v>348</v>
      </c>
      <c r="H18" s="14" t="s">
        <v>348</v>
      </c>
      <c r="I18" s="14" t="s">
        <v>348</v>
      </c>
      <c r="J18" s="14" t="s">
        <v>363</v>
      </c>
      <c r="K18" s="14" t="s">
        <v>363</v>
      </c>
      <c r="L18" s="14" t="s">
        <v>348</v>
      </c>
      <c r="M18" s="14" t="s">
        <v>348</v>
      </c>
      <c r="N18" s="14" t="s">
        <v>348</v>
      </c>
      <c r="O18" s="14" t="s">
        <v>349</v>
      </c>
      <c r="P18" s="14" t="s">
        <v>363</v>
      </c>
      <c r="Q18" s="14" t="s">
        <v>348</v>
      </c>
      <c r="R18" s="17" t="s">
        <v>440</v>
      </c>
      <c r="S18" s="14" t="s">
        <v>351</v>
      </c>
      <c r="T18" s="14" t="s">
        <v>351</v>
      </c>
      <c r="U18" s="14" t="s">
        <v>353</v>
      </c>
      <c r="V18" s="14" t="s">
        <v>353</v>
      </c>
      <c r="W18" s="14" t="s">
        <v>354</v>
      </c>
      <c r="X18" s="14" t="s">
        <v>353</v>
      </c>
      <c r="Y18" s="14" t="s">
        <v>353</v>
      </c>
      <c r="Z18" s="14" t="s">
        <v>351</v>
      </c>
      <c r="AA18" s="14" t="s">
        <v>353</v>
      </c>
      <c r="AB18" s="14" t="s">
        <v>353</v>
      </c>
      <c r="AC18" s="14" t="s">
        <v>353</v>
      </c>
      <c r="AD18" s="14" t="s">
        <v>354</v>
      </c>
      <c r="AE18" s="14" t="s">
        <v>354</v>
      </c>
      <c r="AF18" s="14" t="s">
        <v>351</v>
      </c>
      <c r="AG18" s="14" t="s">
        <v>353</v>
      </c>
      <c r="AH18" s="14" t="s">
        <v>351</v>
      </c>
      <c r="AI18" s="14" t="s">
        <v>353</v>
      </c>
      <c r="AJ18" s="17" t="s">
        <v>441</v>
      </c>
      <c r="AK18" s="14" t="s">
        <v>358</v>
      </c>
      <c r="AL18" s="14" t="s">
        <v>357</v>
      </c>
      <c r="AM18" s="14" t="s">
        <v>356</v>
      </c>
      <c r="AN18" s="14" t="s">
        <v>356</v>
      </c>
      <c r="AO18" s="14" t="s">
        <v>358</v>
      </c>
      <c r="AP18" s="14" t="s">
        <v>356</v>
      </c>
      <c r="AQ18" s="14" t="s">
        <v>358</v>
      </c>
      <c r="AR18" s="14" t="s">
        <v>367</v>
      </c>
      <c r="AS18" s="14" t="s">
        <v>367</v>
      </c>
      <c r="AT18" s="14" t="s">
        <v>356</v>
      </c>
      <c r="AU18" s="14" t="s">
        <v>357</v>
      </c>
      <c r="AV18" s="14" t="s">
        <v>357</v>
      </c>
      <c r="AW18" s="14" t="s">
        <v>357</v>
      </c>
      <c r="AX18" s="14" t="s">
        <v>356</v>
      </c>
      <c r="AY18" s="14" t="s">
        <v>358</v>
      </c>
      <c r="AZ18" s="14" t="s">
        <v>357</v>
      </c>
      <c r="BA18" s="14" t="s">
        <v>357</v>
      </c>
      <c r="BB18" s="17" t="s">
        <v>442</v>
      </c>
      <c r="BC18" s="17" t="s">
        <v>443</v>
      </c>
      <c r="BD18" s="17" t="s">
        <v>444</v>
      </c>
      <c r="BE18" s="14"/>
      <c r="BF18" s="14"/>
      <c r="BG18" s="14"/>
    </row>
    <row r="19" spans="1:59" ht="256" x14ac:dyDescent="0.15">
      <c r="A19" s="14" t="s">
        <v>349</v>
      </c>
      <c r="B19" s="14" t="s">
        <v>348</v>
      </c>
      <c r="C19" s="14" t="s">
        <v>363</v>
      </c>
      <c r="D19" s="14" t="s">
        <v>362</v>
      </c>
      <c r="E19" s="14" t="s">
        <v>349</v>
      </c>
      <c r="F19" s="14" t="s">
        <v>377</v>
      </c>
      <c r="G19" s="14" t="s">
        <v>363</v>
      </c>
      <c r="H19" s="14" t="s">
        <v>363</v>
      </c>
      <c r="I19" s="14" t="s">
        <v>349</v>
      </c>
      <c r="J19" s="14" t="s">
        <v>348</v>
      </c>
      <c r="K19" s="14" t="s">
        <v>348</v>
      </c>
      <c r="L19" s="14" t="s">
        <v>362</v>
      </c>
      <c r="M19" s="14" t="s">
        <v>377</v>
      </c>
      <c r="N19" s="14" t="s">
        <v>349</v>
      </c>
      <c r="O19" s="14" t="s">
        <v>349</v>
      </c>
      <c r="P19" s="14" t="s">
        <v>362</v>
      </c>
      <c r="Q19" s="14" t="s">
        <v>362</v>
      </c>
      <c r="R19" s="17" t="s">
        <v>445</v>
      </c>
      <c r="S19" s="14" t="s">
        <v>352</v>
      </c>
      <c r="T19" s="14" t="s">
        <v>352</v>
      </c>
      <c r="U19" s="14" t="s">
        <v>351</v>
      </c>
      <c r="V19" s="14" t="s">
        <v>353</v>
      </c>
      <c r="W19" s="14" t="s">
        <v>353</v>
      </c>
      <c r="X19" s="14" t="s">
        <v>353</v>
      </c>
      <c r="Y19" s="14" t="s">
        <v>353</v>
      </c>
      <c r="Z19" s="14" t="s">
        <v>354</v>
      </c>
      <c r="AA19" s="14" t="s">
        <v>354</v>
      </c>
      <c r="AB19" s="14" t="s">
        <v>351</v>
      </c>
      <c r="AC19" s="14" t="s">
        <v>352</v>
      </c>
      <c r="AD19" s="14" t="s">
        <v>351</v>
      </c>
      <c r="AE19" s="14" t="s">
        <v>352</v>
      </c>
      <c r="AF19" s="14" t="s">
        <v>352</v>
      </c>
      <c r="AG19" s="14" t="s">
        <v>351</v>
      </c>
      <c r="AH19" s="14" t="s">
        <v>351</v>
      </c>
      <c r="AI19" s="14" t="s">
        <v>351</v>
      </c>
      <c r="AJ19" s="17" t="s">
        <v>446</v>
      </c>
      <c r="AK19" s="14" t="s">
        <v>367</v>
      </c>
      <c r="AL19" s="14" t="s">
        <v>367</v>
      </c>
      <c r="AM19" s="14" t="s">
        <v>367</v>
      </c>
      <c r="AN19" s="14" t="s">
        <v>367</v>
      </c>
      <c r="AO19" s="14" t="s">
        <v>367</v>
      </c>
      <c r="AP19" s="14" t="s">
        <v>367</v>
      </c>
      <c r="AQ19" s="14" t="s">
        <v>367</v>
      </c>
      <c r="AR19" s="14" t="s">
        <v>366</v>
      </c>
      <c r="AS19" s="14" t="s">
        <v>366</v>
      </c>
      <c r="AT19" s="14" t="s">
        <v>366</v>
      </c>
      <c r="AU19" s="14" t="s">
        <v>367</v>
      </c>
      <c r="AV19" s="14" t="s">
        <v>366</v>
      </c>
      <c r="AW19" s="14" t="s">
        <v>366</v>
      </c>
      <c r="AX19" s="14" t="s">
        <v>366</v>
      </c>
      <c r="AY19" s="14" t="s">
        <v>366</v>
      </c>
      <c r="AZ19" s="14" t="s">
        <v>366</v>
      </c>
      <c r="BA19" s="14" t="s">
        <v>366</v>
      </c>
      <c r="BB19" s="17" t="s">
        <v>447</v>
      </c>
      <c r="BC19" s="17" t="s">
        <v>448</v>
      </c>
      <c r="BD19" s="17" t="s">
        <v>449</v>
      </c>
      <c r="BE19" s="14"/>
      <c r="BF19" s="14"/>
      <c r="BG19" s="14"/>
    </row>
    <row r="20" spans="1:59" ht="112" x14ac:dyDescent="0.15">
      <c r="A20" s="14" t="s">
        <v>348</v>
      </c>
      <c r="B20" s="14" t="s">
        <v>349</v>
      </c>
      <c r="C20" s="14" t="s">
        <v>349</v>
      </c>
      <c r="D20" s="14" t="s">
        <v>348</v>
      </c>
      <c r="E20" s="14" t="s">
        <v>348</v>
      </c>
      <c r="F20" s="14" t="s">
        <v>349</v>
      </c>
      <c r="G20" s="14" t="s">
        <v>348</v>
      </c>
      <c r="H20" s="14" t="s">
        <v>349</v>
      </c>
      <c r="I20" s="14" t="s">
        <v>349</v>
      </c>
      <c r="J20" s="14" t="s">
        <v>349</v>
      </c>
      <c r="K20" s="14" t="s">
        <v>348</v>
      </c>
      <c r="L20" s="14" t="s">
        <v>363</v>
      </c>
      <c r="M20" s="14" t="s">
        <v>363</v>
      </c>
      <c r="N20" s="14" t="s">
        <v>349</v>
      </c>
      <c r="O20" s="14" t="s">
        <v>349</v>
      </c>
      <c r="P20" s="14" t="s">
        <v>349</v>
      </c>
      <c r="Q20" s="14" t="s">
        <v>349</v>
      </c>
      <c r="R20" s="17" t="s">
        <v>450</v>
      </c>
      <c r="S20" s="14" t="s">
        <v>351</v>
      </c>
      <c r="T20" s="14" t="s">
        <v>352</v>
      </c>
      <c r="U20" s="14" t="s">
        <v>351</v>
      </c>
      <c r="V20" s="14" t="s">
        <v>351</v>
      </c>
      <c r="W20" s="14" t="s">
        <v>352</v>
      </c>
      <c r="X20" s="14" t="s">
        <v>352</v>
      </c>
      <c r="Y20" s="14" t="s">
        <v>351</v>
      </c>
      <c r="Z20" s="14" t="s">
        <v>353</v>
      </c>
      <c r="AA20" s="14" t="s">
        <v>353</v>
      </c>
      <c r="AB20" s="14" t="s">
        <v>351</v>
      </c>
      <c r="AC20" s="14" t="s">
        <v>352</v>
      </c>
      <c r="AD20" s="14" t="s">
        <v>352</v>
      </c>
      <c r="AE20" s="14" t="s">
        <v>352</v>
      </c>
      <c r="AF20" s="14" t="s">
        <v>352</v>
      </c>
      <c r="AG20" s="14" t="s">
        <v>351</v>
      </c>
      <c r="AH20" s="14" t="s">
        <v>353</v>
      </c>
      <c r="AI20" s="14" t="s">
        <v>351</v>
      </c>
      <c r="AJ20" s="17" t="s">
        <v>451</v>
      </c>
      <c r="AK20" s="14" t="s">
        <v>358</v>
      </c>
      <c r="AL20" s="14" t="s">
        <v>356</v>
      </c>
      <c r="AM20" s="14" t="s">
        <v>358</v>
      </c>
      <c r="AN20" s="14" t="s">
        <v>358</v>
      </c>
      <c r="AO20" s="14" t="s">
        <v>358</v>
      </c>
      <c r="AP20" s="14" t="s">
        <v>358</v>
      </c>
      <c r="AQ20" s="14" t="s">
        <v>358</v>
      </c>
      <c r="AR20" s="14" t="s">
        <v>356</v>
      </c>
      <c r="AS20" s="14" t="s">
        <v>356</v>
      </c>
      <c r="AT20" s="14" t="s">
        <v>357</v>
      </c>
      <c r="AU20" s="14" t="s">
        <v>358</v>
      </c>
      <c r="AV20" s="14" t="s">
        <v>358</v>
      </c>
      <c r="AW20" s="14" t="s">
        <v>358</v>
      </c>
      <c r="AX20" s="14" t="s">
        <v>358</v>
      </c>
      <c r="AY20" s="14" t="s">
        <v>356</v>
      </c>
      <c r="AZ20" s="14" t="s">
        <v>358</v>
      </c>
      <c r="BA20" s="14" t="s">
        <v>358</v>
      </c>
      <c r="BB20" s="17" t="s">
        <v>452</v>
      </c>
      <c r="BC20" s="17" t="s">
        <v>453</v>
      </c>
      <c r="BD20" s="17" t="s">
        <v>454</v>
      </c>
      <c r="BE20" s="14"/>
      <c r="BF20" s="14"/>
      <c r="BG20" s="14"/>
    </row>
    <row r="21" spans="1:59" ht="335" x14ac:dyDescent="0.15">
      <c r="A21" s="14" t="s">
        <v>362</v>
      </c>
      <c r="B21" s="14" t="s">
        <v>348</v>
      </c>
      <c r="C21" s="14" t="s">
        <v>363</v>
      </c>
      <c r="D21" s="14" t="s">
        <v>363</v>
      </c>
      <c r="E21" s="14" t="s">
        <v>348</v>
      </c>
      <c r="F21" s="14" t="s">
        <v>362</v>
      </c>
      <c r="G21" s="14" t="s">
        <v>348</v>
      </c>
      <c r="H21" s="14" t="s">
        <v>348</v>
      </c>
      <c r="I21" s="14" t="s">
        <v>348</v>
      </c>
      <c r="J21" s="14" t="s">
        <v>362</v>
      </c>
      <c r="K21" s="14" t="s">
        <v>348</v>
      </c>
      <c r="L21" s="14" t="s">
        <v>348</v>
      </c>
      <c r="M21" s="14" t="s">
        <v>349</v>
      </c>
      <c r="N21" s="14" t="s">
        <v>348</v>
      </c>
      <c r="O21" s="14" t="s">
        <v>362</v>
      </c>
      <c r="P21" s="14" t="s">
        <v>362</v>
      </c>
      <c r="Q21" s="14" t="s">
        <v>348</v>
      </c>
      <c r="R21" s="17" t="s">
        <v>455</v>
      </c>
      <c r="S21" s="14" t="s">
        <v>353</v>
      </c>
      <c r="T21" s="14" t="s">
        <v>352</v>
      </c>
      <c r="U21" s="14" t="s">
        <v>351</v>
      </c>
      <c r="V21" s="14" t="s">
        <v>351</v>
      </c>
      <c r="W21" s="14" t="s">
        <v>354</v>
      </c>
      <c r="X21" s="14" t="s">
        <v>354</v>
      </c>
      <c r="Y21" s="14" t="s">
        <v>351</v>
      </c>
      <c r="Z21" s="14" t="s">
        <v>353</v>
      </c>
      <c r="AA21" s="14" t="s">
        <v>354</v>
      </c>
      <c r="AB21" s="14" t="s">
        <v>353</v>
      </c>
      <c r="AC21" s="14" t="s">
        <v>354</v>
      </c>
      <c r="AD21" s="14" t="s">
        <v>354</v>
      </c>
      <c r="AE21" s="14" t="s">
        <v>353</v>
      </c>
      <c r="AF21" s="14" t="s">
        <v>353</v>
      </c>
      <c r="AG21" s="14" t="s">
        <v>354</v>
      </c>
      <c r="AH21" s="14" t="s">
        <v>354</v>
      </c>
      <c r="AI21" s="14" t="s">
        <v>372</v>
      </c>
      <c r="AJ21" s="17" t="s">
        <v>456</v>
      </c>
      <c r="AK21" s="14" t="s">
        <v>356</v>
      </c>
      <c r="AL21" s="14" t="s">
        <v>358</v>
      </c>
      <c r="AM21" s="14" t="s">
        <v>356</v>
      </c>
      <c r="AN21" s="14" t="s">
        <v>358</v>
      </c>
      <c r="AO21" s="14" t="s">
        <v>357</v>
      </c>
      <c r="AP21" s="14" t="s">
        <v>357</v>
      </c>
      <c r="AQ21" s="14" t="s">
        <v>357</v>
      </c>
      <c r="AR21" s="14" t="s">
        <v>357</v>
      </c>
      <c r="AS21" s="14" t="s">
        <v>357</v>
      </c>
      <c r="AT21" s="14" t="s">
        <v>357</v>
      </c>
      <c r="AU21" s="14" t="s">
        <v>357</v>
      </c>
      <c r="AV21" s="14" t="s">
        <v>357</v>
      </c>
      <c r="AW21" s="14" t="s">
        <v>357</v>
      </c>
      <c r="AX21" s="14" t="s">
        <v>357</v>
      </c>
      <c r="AY21" s="14" t="s">
        <v>356</v>
      </c>
      <c r="AZ21" s="14" t="s">
        <v>358</v>
      </c>
      <c r="BA21" s="14" t="s">
        <v>357</v>
      </c>
      <c r="BB21" s="17" t="s">
        <v>457</v>
      </c>
      <c r="BC21" s="17" t="s">
        <v>458</v>
      </c>
      <c r="BD21" s="17" t="s">
        <v>459</v>
      </c>
      <c r="BE21" s="14"/>
      <c r="BF21" s="14"/>
      <c r="BG21" s="14"/>
    </row>
    <row r="22" spans="1:59" ht="192" x14ac:dyDescent="0.15">
      <c r="A22" s="14" t="s">
        <v>349</v>
      </c>
      <c r="B22" s="14" t="s">
        <v>349</v>
      </c>
      <c r="C22" s="14" t="s">
        <v>377</v>
      </c>
      <c r="D22" s="14" t="s">
        <v>349</v>
      </c>
      <c r="E22" s="14" t="s">
        <v>349</v>
      </c>
      <c r="F22" s="14" t="s">
        <v>349</v>
      </c>
      <c r="G22" s="14" t="s">
        <v>349</v>
      </c>
      <c r="H22" s="14" t="s">
        <v>349</v>
      </c>
      <c r="I22" s="14" t="s">
        <v>349</v>
      </c>
      <c r="J22" s="14" t="s">
        <v>348</v>
      </c>
      <c r="K22" s="14" t="s">
        <v>348</v>
      </c>
      <c r="L22" s="14" t="s">
        <v>349</v>
      </c>
      <c r="M22" s="14" t="s">
        <v>348</v>
      </c>
      <c r="N22" s="14" t="s">
        <v>348</v>
      </c>
      <c r="O22" s="14" t="s">
        <v>349</v>
      </c>
      <c r="P22" s="14" t="s">
        <v>377</v>
      </c>
      <c r="Q22" s="14" t="s">
        <v>349</v>
      </c>
      <c r="R22" s="17" t="s">
        <v>460</v>
      </c>
      <c r="S22" s="14" t="s">
        <v>351</v>
      </c>
      <c r="T22" s="14" t="s">
        <v>353</v>
      </c>
      <c r="U22" s="14" t="s">
        <v>351</v>
      </c>
      <c r="V22" s="14" t="s">
        <v>353</v>
      </c>
      <c r="W22" s="14" t="s">
        <v>353</v>
      </c>
      <c r="X22" s="14" t="s">
        <v>351</v>
      </c>
      <c r="Y22" s="14" t="s">
        <v>352</v>
      </c>
      <c r="Z22" s="14" t="s">
        <v>352</v>
      </c>
      <c r="AA22" s="14" t="s">
        <v>353</v>
      </c>
      <c r="AB22" s="14" t="s">
        <v>353</v>
      </c>
      <c r="AC22" s="14" t="s">
        <v>353</v>
      </c>
      <c r="AD22" s="14" t="s">
        <v>352</v>
      </c>
      <c r="AE22" s="14" t="s">
        <v>354</v>
      </c>
      <c r="AF22" s="14" t="s">
        <v>353</v>
      </c>
      <c r="AG22" s="14" t="s">
        <v>353</v>
      </c>
      <c r="AH22" s="14" t="s">
        <v>351</v>
      </c>
      <c r="AI22" s="14" t="s">
        <v>351</v>
      </c>
      <c r="AJ22" s="17" t="s">
        <v>461</v>
      </c>
      <c r="AK22" s="14" t="s">
        <v>358</v>
      </c>
      <c r="AL22" s="14" t="s">
        <v>357</v>
      </c>
      <c r="AM22" s="14" t="s">
        <v>356</v>
      </c>
      <c r="AN22" s="14" t="s">
        <v>356</v>
      </c>
      <c r="AO22" s="14" t="s">
        <v>358</v>
      </c>
      <c r="AP22" s="14" t="s">
        <v>356</v>
      </c>
      <c r="AQ22" s="14" t="s">
        <v>358</v>
      </c>
      <c r="AR22" s="14" t="s">
        <v>358</v>
      </c>
      <c r="AS22" s="14" t="s">
        <v>358</v>
      </c>
      <c r="AT22" s="14" t="s">
        <v>357</v>
      </c>
      <c r="AU22" s="14" t="s">
        <v>358</v>
      </c>
      <c r="AV22" s="14" t="s">
        <v>358</v>
      </c>
      <c r="AW22" s="14" t="s">
        <v>357</v>
      </c>
      <c r="AX22" s="14" t="s">
        <v>357</v>
      </c>
      <c r="AY22" s="14" t="s">
        <v>358</v>
      </c>
      <c r="AZ22" s="14" t="s">
        <v>358</v>
      </c>
      <c r="BA22" s="14" t="s">
        <v>357</v>
      </c>
      <c r="BB22" s="17" t="s">
        <v>462</v>
      </c>
      <c r="BC22" s="17" t="s">
        <v>463</v>
      </c>
      <c r="BD22" s="17" t="s">
        <v>464</v>
      </c>
      <c r="BE22" s="14"/>
      <c r="BF22" s="14"/>
      <c r="BG22" s="14"/>
    </row>
    <row r="23" spans="1:59" ht="409.6" x14ac:dyDescent="0.15">
      <c r="A23" s="14" t="s">
        <v>362</v>
      </c>
      <c r="B23" s="14" t="s">
        <v>349</v>
      </c>
      <c r="C23" s="14" t="s">
        <v>362</v>
      </c>
      <c r="D23" s="14" t="s">
        <v>377</v>
      </c>
      <c r="E23" s="14" t="s">
        <v>349</v>
      </c>
      <c r="F23" s="14" t="s">
        <v>362</v>
      </c>
      <c r="G23" s="14" t="s">
        <v>349</v>
      </c>
      <c r="H23" s="14" t="s">
        <v>377</v>
      </c>
      <c r="I23" s="14" t="s">
        <v>349</v>
      </c>
      <c r="J23" s="14" t="s">
        <v>362</v>
      </c>
      <c r="K23" s="14" t="s">
        <v>377</v>
      </c>
      <c r="L23" s="14" t="s">
        <v>377</v>
      </c>
      <c r="M23" s="14" t="s">
        <v>362</v>
      </c>
      <c r="N23" s="14" t="s">
        <v>349</v>
      </c>
      <c r="O23" s="14" t="s">
        <v>377</v>
      </c>
      <c r="P23" s="14" t="s">
        <v>362</v>
      </c>
      <c r="Q23" s="14" t="s">
        <v>377</v>
      </c>
      <c r="R23" s="17" t="s">
        <v>465</v>
      </c>
      <c r="S23" s="14" t="s">
        <v>353</v>
      </c>
      <c r="T23" s="14" t="s">
        <v>353</v>
      </c>
      <c r="U23" s="14" t="s">
        <v>351</v>
      </c>
      <c r="V23" s="14" t="s">
        <v>353</v>
      </c>
      <c r="W23" s="14" t="s">
        <v>351</v>
      </c>
      <c r="X23" s="14" t="s">
        <v>353</v>
      </c>
      <c r="Y23" s="14" t="s">
        <v>351</v>
      </c>
      <c r="Z23" s="14" t="s">
        <v>353</v>
      </c>
      <c r="AA23" s="14" t="s">
        <v>351</v>
      </c>
      <c r="AB23" s="14" t="s">
        <v>351</v>
      </c>
      <c r="AC23" s="14" t="s">
        <v>352</v>
      </c>
      <c r="AD23" s="14" t="s">
        <v>372</v>
      </c>
      <c r="AE23" s="14" t="s">
        <v>351</v>
      </c>
      <c r="AF23" s="14" t="s">
        <v>353</v>
      </c>
      <c r="AG23" s="14" t="s">
        <v>354</v>
      </c>
      <c r="AH23" s="14" t="s">
        <v>352</v>
      </c>
      <c r="AI23" s="14" t="s">
        <v>351</v>
      </c>
      <c r="AJ23" s="17" t="s">
        <v>466</v>
      </c>
      <c r="AK23" s="14" t="s">
        <v>356</v>
      </c>
      <c r="AL23" s="14" t="s">
        <v>367</v>
      </c>
      <c r="AM23" s="14" t="s">
        <v>358</v>
      </c>
      <c r="AN23" s="14" t="s">
        <v>356</v>
      </c>
      <c r="AO23" s="14" t="s">
        <v>367</v>
      </c>
      <c r="AP23" s="14" t="s">
        <v>356</v>
      </c>
      <c r="AQ23" s="14" t="s">
        <v>358</v>
      </c>
      <c r="AR23" s="14" t="s">
        <v>367</v>
      </c>
      <c r="AS23" s="14" t="s">
        <v>356</v>
      </c>
      <c r="AT23" s="14" t="s">
        <v>358</v>
      </c>
      <c r="AU23" s="14" t="s">
        <v>367</v>
      </c>
      <c r="AV23" s="14" t="s">
        <v>356</v>
      </c>
      <c r="AW23" s="14" t="s">
        <v>367</v>
      </c>
      <c r="AX23" s="14" t="s">
        <v>356</v>
      </c>
      <c r="AY23" s="14" t="s">
        <v>358</v>
      </c>
      <c r="AZ23" s="14" t="s">
        <v>356</v>
      </c>
      <c r="BA23" s="14" t="s">
        <v>356</v>
      </c>
      <c r="BB23" s="17" t="s">
        <v>467</v>
      </c>
      <c r="BC23" s="17" t="s">
        <v>468</v>
      </c>
      <c r="BD23" s="17" t="s">
        <v>469</v>
      </c>
      <c r="BE23" s="14"/>
      <c r="BF23" s="14"/>
      <c r="BG23" s="14"/>
    </row>
    <row r="24" spans="1:59" ht="176" x14ac:dyDescent="0.15">
      <c r="A24" s="14" t="s">
        <v>348</v>
      </c>
      <c r="B24" s="14" t="s">
        <v>348</v>
      </c>
      <c r="C24" s="14" t="s">
        <v>349</v>
      </c>
      <c r="D24" s="14" t="s">
        <v>362</v>
      </c>
      <c r="E24" s="14" t="s">
        <v>348</v>
      </c>
      <c r="F24" s="14" t="s">
        <v>362</v>
      </c>
      <c r="G24" s="14" t="s">
        <v>349</v>
      </c>
      <c r="H24" s="14" t="s">
        <v>363</v>
      </c>
      <c r="I24" s="14" t="s">
        <v>363</v>
      </c>
      <c r="J24" s="14" t="s">
        <v>349</v>
      </c>
      <c r="K24" s="14" t="s">
        <v>348</v>
      </c>
      <c r="L24" s="14" t="s">
        <v>349</v>
      </c>
      <c r="M24" s="14" t="s">
        <v>349</v>
      </c>
      <c r="N24" s="14" t="s">
        <v>362</v>
      </c>
      <c r="O24" s="14" t="s">
        <v>363</v>
      </c>
      <c r="P24" s="14" t="s">
        <v>362</v>
      </c>
      <c r="Q24" s="14" t="s">
        <v>362</v>
      </c>
      <c r="R24" s="17" t="s">
        <v>470</v>
      </c>
      <c r="S24" s="14" t="s">
        <v>352</v>
      </c>
      <c r="T24" s="14" t="s">
        <v>353</v>
      </c>
      <c r="U24" s="14" t="s">
        <v>352</v>
      </c>
      <c r="V24" s="14" t="s">
        <v>353</v>
      </c>
      <c r="W24" s="14" t="s">
        <v>353</v>
      </c>
      <c r="X24" s="14" t="s">
        <v>351</v>
      </c>
      <c r="Y24" s="14" t="s">
        <v>353</v>
      </c>
      <c r="Z24" s="14" t="s">
        <v>351</v>
      </c>
      <c r="AA24" s="14" t="s">
        <v>351</v>
      </c>
      <c r="AB24" s="14" t="s">
        <v>353</v>
      </c>
      <c r="AC24" s="14" t="s">
        <v>354</v>
      </c>
      <c r="AD24" s="14" t="s">
        <v>351</v>
      </c>
      <c r="AE24" s="14" t="s">
        <v>352</v>
      </c>
      <c r="AF24" s="14" t="s">
        <v>351</v>
      </c>
      <c r="AG24" s="14" t="s">
        <v>351</v>
      </c>
      <c r="AH24" s="14" t="s">
        <v>351</v>
      </c>
      <c r="AI24" s="14" t="s">
        <v>351</v>
      </c>
      <c r="AJ24" s="17" t="s">
        <v>471</v>
      </c>
      <c r="AK24" s="14" t="s">
        <v>358</v>
      </c>
      <c r="AL24" s="14" t="s">
        <v>358</v>
      </c>
      <c r="AM24" s="14" t="s">
        <v>366</v>
      </c>
      <c r="AN24" s="14" t="s">
        <v>358</v>
      </c>
      <c r="AO24" s="14" t="s">
        <v>367</v>
      </c>
      <c r="AP24" s="14" t="s">
        <v>367</v>
      </c>
      <c r="AQ24" s="14" t="s">
        <v>358</v>
      </c>
      <c r="AR24" s="14" t="s">
        <v>367</v>
      </c>
      <c r="AS24" s="14" t="s">
        <v>367</v>
      </c>
      <c r="AT24" s="14" t="s">
        <v>358</v>
      </c>
      <c r="AU24" s="14" t="s">
        <v>358</v>
      </c>
      <c r="AV24" s="14" t="s">
        <v>367</v>
      </c>
      <c r="AW24" s="14" t="s">
        <v>367</v>
      </c>
      <c r="AX24" s="14" t="s">
        <v>366</v>
      </c>
      <c r="AY24" s="14" t="s">
        <v>366</v>
      </c>
      <c r="AZ24" s="14" t="s">
        <v>367</v>
      </c>
      <c r="BA24" s="14" t="s">
        <v>366</v>
      </c>
      <c r="BB24" s="17" t="s">
        <v>472</v>
      </c>
      <c r="BC24" s="17" t="s">
        <v>473</v>
      </c>
      <c r="BD24" s="17" t="s">
        <v>474</v>
      </c>
      <c r="BE24" s="14"/>
      <c r="BF24" s="14"/>
      <c r="BG24" s="14"/>
    </row>
    <row r="25" spans="1:59" ht="64" x14ac:dyDescent="0.15">
      <c r="A25" s="14" t="s">
        <v>349</v>
      </c>
      <c r="B25" s="14" t="s">
        <v>377</v>
      </c>
      <c r="C25" s="14" t="s">
        <v>349</v>
      </c>
      <c r="D25" s="14" t="s">
        <v>349</v>
      </c>
      <c r="E25" s="14" t="s">
        <v>377</v>
      </c>
      <c r="F25" s="14" t="s">
        <v>377</v>
      </c>
      <c r="G25" s="14" t="s">
        <v>362</v>
      </c>
      <c r="H25" s="14" t="s">
        <v>377</v>
      </c>
      <c r="I25" s="14" t="s">
        <v>349</v>
      </c>
      <c r="J25" s="14" t="s">
        <v>349</v>
      </c>
      <c r="K25" s="14" t="s">
        <v>349</v>
      </c>
      <c r="L25" s="14" t="s">
        <v>349</v>
      </c>
      <c r="M25" s="14" t="s">
        <v>377</v>
      </c>
      <c r="N25" s="14" t="s">
        <v>349</v>
      </c>
      <c r="O25" s="14" t="s">
        <v>377</v>
      </c>
      <c r="P25" s="14" t="s">
        <v>377</v>
      </c>
      <c r="Q25" s="14" t="s">
        <v>349</v>
      </c>
      <c r="R25" s="17" t="s">
        <v>475</v>
      </c>
      <c r="S25" s="14" t="s">
        <v>351</v>
      </c>
      <c r="T25" s="14" t="s">
        <v>351</v>
      </c>
      <c r="U25" s="14" t="s">
        <v>351</v>
      </c>
      <c r="V25" s="14" t="s">
        <v>353</v>
      </c>
      <c r="W25" s="14" t="s">
        <v>353</v>
      </c>
      <c r="X25" s="14" t="s">
        <v>351</v>
      </c>
      <c r="Y25" s="14" t="s">
        <v>351</v>
      </c>
      <c r="Z25" s="14" t="s">
        <v>372</v>
      </c>
      <c r="AA25" s="14" t="s">
        <v>351</v>
      </c>
      <c r="AB25" s="14" t="s">
        <v>353</v>
      </c>
      <c r="AC25" s="14" t="s">
        <v>351</v>
      </c>
      <c r="AD25" s="14" t="s">
        <v>351</v>
      </c>
      <c r="AE25" s="14" t="s">
        <v>351</v>
      </c>
      <c r="AF25" s="14" t="s">
        <v>351</v>
      </c>
      <c r="AG25" s="14" t="s">
        <v>351</v>
      </c>
      <c r="AH25" s="14" t="s">
        <v>351</v>
      </c>
      <c r="AI25" s="14" t="s">
        <v>351</v>
      </c>
      <c r="AJ25" s="17" t="s">
        <v>476</v>
      </c>
      <c r="AK25" s="14" t="s">
        <v>357</v>
      </c>
      <c r="AL25" s="14" t="s">
        <v>357</v>
      </c>
      <c r="AM25" s="14" t="s">
        <v>357</v>
      </c>
      <c r="AN25" s="14" t="s">
        <v>357</v>
      </c>
      <c r="AO25" s="14" t="s">
        <v>357</v>
      </c>
      <c r="AP25" s="14" t="s">
        <v>367</v>
      </c>
      <c r="AQ25" s="14" t="s">
        <v>356</v>
      </c>
      <c r="AR25" s="14" t="s">
        <v>356</v>
      </c>
      <c r="AS25" s="14" t="s">
        <v>356</v>
      </c>
      <c r="AT25" s="14" t="s">
        <v>358</v>
      </c>
      <c r="AU25" s="14" t="s">
        <v>358</v>
      </c>
      <c r="AV25" s="14" t="s">
        <v>358</v>
      </c>
      <c r="AW25" s="14" t="s">
        <v>356</v>
      </c>
      <c r="AX25" s="14" t="s">
        <v>357</v>
      </c>
      <c r="AY25" s="14" t="s">
        <v>367</v>
      </c>
      <c r="AZ25" s="14" t="s">
        <v>356</v>
      </c>
      <c r="BA25" s="14" t="s">
        <v>356</v>
      </c>
      <c r="BB25" s="17" t="s">
        <v>477</v>
      </c>
      <c r="BC25" s="17" t="s">
        <v>478</v>
      </c>
      <c r="BD25" s="17" t="s">
        <v>479</v>
      </c>
      <c r="BE25" s="14"/>
      <c r="BF25" s="14"/>
      <c r="BG25" s="14"/>
    </row>
    <row r="26" spans="1:59" ht="144" x14ac:dyDescent="0.15">
      <c r="A26" s="14" t="s">
        <v>348</v>
      </c>
      <c r="B26" s="14" t="s">
        <v>349</v>
      </c>
      <c r="C26" s="14" t="s">
        <v>349</v>
      </c>
      <c r="D26" s="14" t="s">
        <v>349</v>
      </c>
      <c r="E26" s="14" t="s">
        <v>349</v>
      </c>
      <c r="F26" s="14" t="s">
        <v>349</v>
      </c>
      <c r="G26" s="14" t="s">
        <v>348</v>
      </c>
      <c r="H26" s="14" t="s">
        <v>349</v>
      </c>
      <c r="I26" s="14" t="s">
        <v>348</v>
      </c>
      <c r="J26" s="14" t="s">
        <v>348</v>
      </c>
      <c r="K26" s="14" t="s">
        <v>348</v>
      </c>
      <c r="L26" s="14" t="s">
        <v>349</v>
      </c>
      <c r="M26" s="14" t="s">
        <v>349</v>
      </c>
      <c r="N26" s="14" t="s">
        <v>348</v>
      </c>
      <c r="O26" s="14" t="s">
        <v>349</v>
      </c>
      <c r="P26" s="14" t="s">
        <v>349</v>
      </c>
      <c r="Q26" s="14" t="s">
        <v>349</v>
      </c>
      <c r="R26" s="17" t="s">
        <v>480</v>
      </c>
      <c r="S26" s="14" t="s">
        <v>353</v>
      </c>
      <c r="T26" s="14" t="s">
        <v>351</v>
      </c>
      <c r="U26" s="14" t="s">
        <v>351</v>
      </c>
      <c r="V26" s="14" t="s">
        <v>353</v>
      </c>
      <c r="W26" s="14" t="s">
        <v>353</v>
      </c>
      <c r="X26" s="14" t="s">
        <v>353</v>
      </c>
      <c r="Y26" s="14" t="s">
        <v>353</v>
      </c>
      <c r="Z26" s="14" t="s">
        <v>353</v>
      </c>
      <c r="AA26" s="14" t="s">
        <v>353</v>
      </c>
      <c r="AB26" s="14" t="s">
        <v>353</v>
      </c>
      <c r="AC26" s="14" t="s">
        <v>353</v>
      </c>
      <c r="AD26" s="14" t="s">
        <v>353</v>
      </c>
      <c r="AE26" s="14" t="s">
        <v>353</v>
      </c>
      <c r="AF26" s="14" t="s">
        <v>353</v>
      </c>
      <c r="AG26" s="14" t="s">
        <v>351</v>
      </c>
      <c r="AH26" s="14" t="s">
        <v>351</v>
      </c>
      <c r="AI26" s="14" t="s">
        <v>353</v>
      </c>
      <c r="AJ26" s="17" t="s">
        <v>481</v>
      </c>
      <c r="AK26" s="14" t="s">
        <v>367</v>
      </c>
      <c r="AL26" s="14" t="s">
        <v>367</v>
      </c>
      <c r="AM26" s="14" t="s">
        <v>367</v>
      </c>
      <c r="AN26" s="14" t="s">
        <v>367</v>
      </c>
      <c r="AO26" s="14" t="s">
        <v>367</v>
      </c>
      <c r="AP26" s="14" t="s">
        <v>367</v>
      </c>
      <c r="AQ26" s="14" t="s">
        <v>367</v>
      </c>
      <c r="AR26" s="14" t="s">
        <v>367</v>
      </c>
      <c r="AS26" s="14" t="s">
        <v>367</v>
      </c>
      <c r="AT26" s="14" t="s">
        <v>367</v>
      </c>
      <c r="AU26" s="14" t="s">
        <v>367</v>
      </c>
      <c r="AV26" s="14" t="s">
        <v>356</v>
      </c>
      <c r="AW26" s="14" t="s">
        <v>356</v>
      </c>
      <c r="AX26" s="14" t="s">
        <v>367</v>
      </c>
      <c r="AY26" s="14" t="s">
        <v>367</v>
      </c>
      <c r="AZ26" s="14" t="s">
        <v>367</v>
      </c>
      <c r="BA26" s="14" t="s">
        <v>367</v>
      </c>
      <c r="BB26" s="17" t="s">
        <v>482</v>
      </c>
      <c r="BC26" s="17" t="s">
        <v>483</v>
      </c>
      <c r="BD26" s="17" t="s">
        <v>484</v>
      </c>
      <c r="BE26" s="14"/>
      <c r="BF26" s="14"/>
      <c r="BG26" s="14"/>
    </row>
    <row r="27" spans="1:59" ht="304" x14ac:dyDescent="0.15">
      <c r="A27" s="14" t="s">
        <v>349</v>
      </c>
      <c r="B27" s="14" t="s">
        <v>349</v>
      </c>
      <c r="C27" s="14" t="s">
        <v>363</v>
      </c>
      <c r="D27" s="14" t="s">
        <v>362</v>
      </c>
      <c r="E27" s="14" t="s">
        <v>362</v>
      </c>
      <c r="F27" s="14" t="s">
        <v>363</v>
      </c>
      <c r="G27" s="14" t="s">
        <v>377</v>
      </c>
      <c r="H27" s="14" t="s">
        <v>377</v>
      </c>
      <c r="I27" s="14" t="s">
        <v>363</v>
      </c>
      <c r="J27" s="14" t="s">
        <v>363</v>
      </c>
      <c r="K27" s="14" t="s">
        <v>363</v>
      </c>
      <c r="L27" s="14" t="s">
        <v>362</v>
      </c>
      <c r="M27" s="14" t="s">
        <v>348</v>
      </c>
      <c r="N27" s="14" t="s">
        <v>348</v>
      </c>
      <c r="O27" s="14" t="s">
        <v>348</v>
      </c>
      <c r="P27" s="14" t="s">
        <v>363</v>
      </c>
      <c r="Q27" s="14" t="s">
        <v>362</v>
      </c>
      <c r="R27" s="17" t="s">
        <v>485</v>
      </c>
      <c r="S27" s="14" t="s">
        <v>351</v>
      </c>
      <c r="T27" s="14" t="s">
        <v>352</v>
      </c>
      <c r="U27" s="14" t="s">
        <v>352</v>
      </c>
      <c r="V27" s="14" t="s">
        <v>353</v>
      </c>
      <c r="W27" s="14" t="s">
        <v>353</v>
      </c>
      <c r="X27" s="14" t="s">
        <v>351</v>
      </c>
      <c r="Y27" s="14" t="s">
        <v>351</v>
      </c>
      <c r="Z27" s="14" t="s">
        <v>353</v>
      </c>
      <c r="AA27" s="14" t="s">
        <v>351</v>
      </c>
      <c r="AB27" s="14" t="s">
        <v>352</v>
      </c>
      <c r="AC27" s="14" t="s">
        <v>352</v>
      </c>
      <c r="AD27" s="14" t="s">
        <v>352</v>
      </c>
      <c r="AE27" s="14" t="s">
        <v>352</v>
      </c>
      <c r="AF27" s="14" t="s">
        <v>353</v>
      </c>
      <c r="AG27" s="14" t="s">
        <v>352</v>
      </c>
      <c r="AH27" s="14" t="s">
        <v>352</v>
      </c>
      <c r="AI27" s="14" t="s">
        <v>351</v>
      </c>
      <c r="AJ27" s="17" t="s">
        <v>486</v>
      </c>
      <c r="AK27" s="14" t="s">
        <v>357</v>
      </c>
      <c r="AL27" s="14" t="s">
        <v>367</v>
      </c>
      <c r="AM27" s="14" t="s">
        <v>367</v>
      </c>
      <c r="AN27" s="14" t="s">
        <v>357</v>
      </c>
      <c r="AO27" s="14" t="s">
        <v>357</v>
      </c>
      <c r="AP27" s="14" t="s">
        <v>358</v>
      </c>
      <c r="AQ27" s="14" t="s">
        <v>357</v>
      </c>
      <c r="AR27" s="14" t="s">
        <v>358</v>
      </c>
      <c r="AS27" s="14" t="s">
        <v>356</v>
      </c>
      <c r="AT27" s="14" t="s">
        <v>357</v>
      </c>
      <c r="AU27" s="14" t="s">
        <v>357</v>
      </c>
      <c r="AV27" s="14" t="s">
        <v>356</v>
      </c>
      <c r="AW27" s="14" t="s">
        <v>367</v>
      </c>
      <c r="AX27" s="14" t="s">
        <v>357</v>
      </c>
      <c r="AY27" s="14" t="s">
        <v>367</v>
      </c>
      <c r="AZ27" s="14" t="s">
        <v>367</v>
      </c>
      <c r="BA27" s="14" t="s">
        <v>367</v>
      </c>
      <c r="BB27" s="17" t="s">
        <v>487</v>
      </c>
      <c r="BC27" s="17" t="s">
        <v>488</v>
      </c>
      <c r="BD27" s="17" t="s">
        <v>489</v>
      </c>
      <c r="BE27" s="14"/>
      <c r="BF27" s="14"/>
      <c r="BG27" s="14"/>
    </row>
    <row r="28" spans="1:59" ht="335" x14ac:dyDescent="0.15">
      <c r="A28" s="14" t="s">
        <v>348</v>
      </c>
      <c r="B28" s="14" t="s">
        <v>348</v>
      </c>
      <c r="C28" s="14" t="s">
        <v>348</v>
      </c>
      <c r="D28" s="14" t="s">
        <v>348</v>
      </c>
      <c r="E28" s="14" t="s">
        <v>348</v>
      </c>
      <c r="F28" s="14" t="s">
        <v>349</v>
      </c>
      <c r="G28" s="14" t="s">
        <v>349</v>
      </c>
      <c r="H28" s="14" t="s">
        <v>348</v>
      </c>
      <c r="I28" s="14" t="s">
        <v>348</v>
      </c>
      <c r="J28" s="14" t="s">
        <v>348</v>
      </c>
      <c r="K28" s="14" t="s">
        <v>349</v>
      </c>
      <c r="L28" s="14" t="s">
        <v>349</v>
      </c>
      <c r="M28" s="14" t="s">
        <v>348</v>
      </c>
      <c r="N28" s="14" t="s">
        <v>348</v>
      </c>
      <c r="O28" s="14" t="s">
        <v>348</v>
      </c>
      <c r="P28" s="14" t="s">
        <v>348</v>
      </c>
      <c r="Q28" s="14" t="s">
        <v>349</v>
      </c>
      <c r="R28" s="17" t="s">
        <v>490</v>
      </c>
      <c r="S28" s="14" t="s">
        <v>354</v>
      </c>
      <c r="T28" s="14" t="s">
        <v>353</v>
      </c>
      <c r="U28" s="14" t="s">
        <v>372</v>
      </c>
      <c r="V28" s="14" t="s">
        <v>353</v>
      </c>
      <c r="W28" s="14" t="s">
        <v>353</v>
      </c>
      <c r="X28" s="14" t="s">
        <v>351</v>
      </c>
      <c r="Y28" s="14" t="s">
        <v>372</v>
      </c>
      <c r="Z28" s="14" t="s">
        <v>351</v>
      </c>
      <c r="AA28" s="14" t="s">
        <v>353</v>
      </c>
      <c r="AB28" s="14" t="s">
        <v>354</v>
      </c>
      <c r="AC28" s="14" t="s">
        <v>354</v>
      </c>
      <c r="AD28" s="14" t="s">
        <v>353</v>
      </c>
      <c r="AE28" s="14" t="s">
        <v>353</v>
      </c>
      <c r="AF28" s="14" t="s">
        <v>352</v>
      </c>
      <c r="AG28" s="14" t="s">
        <v>372</v>
      </c>
      <c r="AH28" s="14" t="s">
        <v>353</v>
      </c>
      <c r="AI28" s="14" t="s">
        <v>351</v>
      </c>
      <c r="AJ28" s="17" t="s">
        <v>491</v>
      </c>
      <c r="AK28" s="14" t="s">
        <v>358</v>
      </c>
      <c r="AL28" s="14" t="s">
        <v>357</v>
      </c>
      <c r="AM28" s="14" t="s">
        <v>357</v>
      </c>
      <c r="AN28" s="14" t="s">
        <v>358</v>
      </c>
      <c r="AO28" s="14" t="s">
        <v>357</v>
      </c>
      <c r="AP28" s="14" t="s">
        <v>356</v>
      </c>
      <c r="AQ28" s="14" t="s">
        <v>358</v>
      </c>
      <c r="AR28" s="14" t="s">
        <v>358</v>
      </c>
      <c r="AS28" s="14" t="s">
        <v>358</v>
      </c>
      <c r="AT28" s="14" t="s">
        <v>357</v>
      </c>
      <c r="AU28" s="14" t="s">
        <v>358</v>
      </c>
      <c r="AV28" s="14" t="s">
        <v>358</v>
      </c>
      <c r="AW28" s="14" t="s">
        <v>358</v>
      </c>
      <c r="AX28" s="14" t="s">
        <v>357</v>
      </c>
      <c r="AY28" s="14" t="s">
        <v>357</v>
      </c>
      <c r="AZ28" s="14" t="s">
        <v>357</v>
      </c>
      <c r="BA28" s="14" t="s">
        <v>358</v>
      </c>
      <c r="BB28" s="17" t="s">
        <v>492</v>
      </c>
      <c r="BC28" s="17" t="s">
        <v>493</v>
      </c>
      <c r="BD28" s="17" t="s">
        <v>494</v>
      </c>
      <c r="BE28" s="14"/>
      <c r="BF28" s="14"/>
      <c r="BG28" s="14"/>
    </row>
    <row r="29" spans="1:59" ht="409.6" x14ac:dyDescent="0.15">
      <c r="A29" s="14" t="s">
        <v>363</v>
      </c>
      <c r="B29" s="14" t="s">
        <v>363</v>
      </c>
      <c r="C29" s="14" t="s">
        <v>363</v>
      </c>
      <c r="D29" s="14" t="s">
        <v>363</v>
      </c>
      <c r="E29" s="14" t="s">
        <v>362</v>
      </c>
      <c r="F29" s="14" t="s">
        <v>362</v>
      </c>
      <c r="G29" s="14" t="s">
        <v>363</v>
      </c>
      <c r="H29" s="14" t="s">
        <v>362</v>
      </c>
      <c r="I29" s="14" t="s">
        <v>363</v>
      </c>
      <c r="J29" s="14" t="s">
        <v>348</v>
      </c>
      <c r="K29" s="14" t="s">
        <v>348</v>
      </c>
      <c r="L29" s="14" t="s">
        <v>349</v>
      </c>
      <c r="M29" s="14" t="s">
        <v>349</v>
      </c>
      <c r="N29" s="14" t="s">
        <v>363</v>
      </c>
      <c r="O29" s="14" t="s">
        <v>362</v>
      </c>
      <c r="P29" s="14" t="s">
        <v>362</v>
      </c>
      <c r="Q29" s="14" t="s">
        <v>362</v>
      </c>
      <c r="R29" s="17" t="s">
        <v>495</v>
      </c>
      <c r="S29" s="14" t="s">
        <v>353</v>
      </c>
      <c r="T29" s="14" t="s">
        <v>353</v>
      </c>
      <c r="U29" s="14" t="s">
        <v>353</v>
      </c>
      <c r="V29" s="14" t="s">
        <v>353</v>
      </c>
      <c r="W29" s="14" t="s">
        <v>353</v>
      </c>
      <c r="X29" s="14" t="s">
        <v>353</v>
      </c>
      <c r="Y29" s="14" t="s">
        <v>353</v>
      </c>
      <c r="Z29" s="14" t="s">
        <v>351</v>
      </c>
      <c r="AA29" s="14" t="s">
        <v>351</v>
      </c>
      <c r="AB29" s="14" t="s">
        <v>353</v>
      </c>
      <c r="AC29" s="14" t="s">
        <v>352</v>
      </c>
      <c r="AD29" s="14" t="s">
        <v>353</v>
      </c>
      <c r="AE29" s="14" t="s">
        <v>353</v>
      </c>
      <c r="AF29" s="14" t="s">
        <v>351</v>
      </c>
      <c r="AG29" s="14" t="s">
        <v>353</v>
      </c>
      <c r="AH29" s="14" t="s">
        <v>351</v>
      </c>
      <c r="AI29" s="14" t="s">
        <v>351</v>
      </c>
      <c r="AJ29" s="17" t="s">
        <v>496</v>
      </c>
      <c r="AK29" s="14" t="s">
        <v>357</v>
      </c>
      <c r="AL29" s="14" t="s">
        <v>357</v>
      </c>
      <c r="AM29" s="14" t="s">
        <v>358</v>
      </c>
      <c r="AN29" s="14" t="s">
        <v>357</v>
      </c>
      <c r="AO29" s="14" t="s">
        <v>357</v>
      </c>
      <c r="AP29" s="14" t="s">
        <v>356</v>
      </c>
      <c r="AQ29" s="14" t="s">
        <v>357</v>
      </c>
      <c r="AR29" s="14" t="s">
        <v>356</v>
      </c>
      <c r="AS29" s="14" t="s">
        <v>356</v>
      </c>
      <c r="AT29" s="14" t="s">
        <v>357</v>
      </c>
      <c r="AU29" s="14" t="s">
        <v>357</v>
      </c>
      <c r="AV29" s="14" t="s">
        <v>356</v>
      </c>
      <c r="AW29" s="14" t="s">
        <v>358</v>
      </c>
      <c r="AX29" s="14" t="s">
        <v>357</v>
      </c>
      <c r="AY29" s="14" t="s">
        <v>358</v>
      </c>
      <c r="AZ29" s="14" t="s">
        <v>356</v>
      </c>
      <c r="BA29" s="14" t="s">
        <v>357</v>
      </c>
      <c r="BB29" s="17" t="s">
        <v>497</v>
      </c>
      <c r="BC29" s="17" t="s">
        <v>498</v>
      </c>
      <c r="BD29" s="17" t="s">
        <v>499</v>
      </c>
      <c r="BE29" s="14"/>
      <c r="BF29" s="14"/>
      <c r="BG29" s="14"/>
    </row>
    <row r="30" spans="1:59" ht="350" x14ac:dyDescent="0.15">
      <c r="A30" s="14" t="s">
        <v>363</v>
      </c>
      <c r="B30" s="14" t="s">
        <v>363</v>
      </c>
      <c r="C30" s="14" t="s">
        <v>348</v>
      </c>
      <c r="D30" s="14" t="s">
        <v>363</v>
      </c>
      <c r="E30" s="14" t="s">
        <v>362</v>
      </c>
      <c r="F30" s="14" t="s">
        <v>348</v>
      </c>
      <c r="G30" s="14" t="s">
        <v>348</v>
      </c>
      <c r="H30" s="14" t="s">
        <v>349</v>
      </c>
      <c r="I30" s="14" t="s">
        <v>349</v>
      </c>
      <c r="J30" s="14" t="s">
        <v>348</v>
      </c>
      <c r="K30" s="14" t="s">
        <v>348</v>
      </c>
      <c r="L30" s="14" t="s">
        <v>348</v>
      </c>
      <c r="M30" s="14" t="s">
        <v>363</v>
      </c>
      <c r="N30" s="14" t="s">
        <v>348</v>
      </c>
      <c r="O30" s="14" t="s">
        <v>349</v>
      </c>
      <c r="P30" s="14" t="s">
        <v>348</v>
      </c>
      <c r="Q30" s="14" t="s">
        <v>349</v>
      </c>
      <c r="R30" s="17" t="s">
        <v>500</v>
      </c>
      <c r="S30" s="14" t="s">
        <v>351</v>
      </c>
      <c r="T30" s="14" t="s">
        <v>352</v>
      </c>
      <c r="U30" s="14" t="s">
        <v>352</v>
      </c>
      <c r="V30" s="14" t="s">
        <v>351</v>
      </c>
      <c r="W30" s="14" t="s">
        <v>353</v>
      </c>
      <c r="X30" s="14" t="s">
        <v>353</v>
      </c>
      <c r="Y30" s="14" t="s">
        <v>351</v>
      </c>
      <c r="Z30" s="14" t="s">
        <v>353</v>
      </c>
      <c r="AA30" s="14" t="s">
        <v>351</v>
      </c>
      <c r="AB30" s="14" t="s">
        <v>354</v>
      </c>
      <c r="AC30" s="14" t="s">
        <v>354</v>
      </c>
      <c r="AD30" s="14" t="s">
        <v>354</v>
      </c>
      <c r="AE30" s="14" t="s">
        <v>354</v>
      </c>
      <c r="AF30" s="14" t="s">
        <v>353</v>
      </c>
      <c r="AG30" s="14" t="s">
        <v>353</v>
      </c>
      <c r="AH30" s="14" t="s">
        <v>354</v>
      </c>
      <c r="AI30" s="14" t="s">
        <v>354</v>
      </c>
      <c r="AJ30" s="17" t="s">
        <v>501</v>
      </c>
      <c r="AK30" s="14" t="s">
        <v>358</v>
      </c>
      <c r="AL30" s="14" t="s">
        <v>357</v>
      </c>
      <c r="AM30" s="14" t="s">
        <v>358</v>
      </c>
      <c r="AN30" s="14" t="s">
        <v>357</v>
      </c>
      <c r="AO30" s="14" t="s">
        <v>356</v>
      </c>
      <c r="AP30" s="14" t="s">
        <v>357</v>
      </c>
      <c r="AQ30" s="14" t="s">
        <v>357</v>
      </c>
      <c r="AR30" s="14" t="s">
        <v>356</v>
      </c>
      <c r="AS30" s="14" t="s">
        <v>358</v>
      </c>
      <c r="AT30" s="14" t="s">
        <v>357</v>
      </c>
      <c r="AU30" s="14" t="s">
        <v>357</v>
      </c>
      <c r="AV30" s="14" t="s">
        <v>357</v>
      </c>
      <c r="AW30" s="14" t="s">
        <v>356</v>
      </c>
      <c r="AX30" s="14" t="s">
        <v>357</v>
      </c>
      <c r="AY30" s="14" t="s">
        <v>356</v>
      </c>
      <c r="AZ30" s="14" t="s">
        <v>357</v>
      </c>
      <c r="BA30" s="14" t="s">
        <v>356</v>
      </c>
      <c r="BB30" s="17" t="s">
        <v>502</v>
      </c>
      <c r="BC30" s="17" t="s">
        <v>503</v>
      </c>
      <c r="BD30" s="17" t="s">
        <v>504</v>
      </c>
      <c r="BE30" s="14"/>
      <c r="BF30" s="14"/>
      <c r="BG30" s="14"/>
    </row>
    <row r="31" spans="1:59" ht="365" x14ac:dyDescent="0.15">
      <c r="A31" s="14" t="s">
        <v>349</v>
      </c>
      <c r="B31" s="14" t="s">
        <v>349</v>
      </c>
      <c r="C31" s="14" t="s">
        <v>349</v>
      </c>
      <c r="D31" s="14" t="s">
        <v>349</v>
      </c>
      <c r="E31" s="14" t="s">
        <v>349</v>
      </c>
      <c r="F31" s="14" t="s">
        <v>349</v>
      </c>
      <c r="G31" s="14" t="s">
        <v>348</v>
      </c>
      <c r="H31" s="14" t="s">
        <v>362</v>
      </c>
      <c r="I31" s="14" t="s">
        <v>349</v>
      </c>
      <c r="J31" s="14" t="s">
        <v>349</v>
      </c>
      <c r="K31" s="14" t="s">
        <v>349</v>
      </c>
      <c r="L31" s="14" t="s">
        <v>349</v>
      </c>
      <c r="M31" s="14" t="s">
        <v>349</v>
      </c>
      <c r="N31" s="14" t="s">
        <v>349</v>
      </c>
      <c r="O31" s="14" t="s">
        <v>362</v>
      </c>
      <c r="P31" s="14" t="s">
        <v>349</v>
      </c>
      <c r="Q31" s="14" t="s">
        <v>362</v>
      </c>
      <c r="R31" s="17" t="s">
        <v>505</v>
      </c>
      <c r="S31" s="14" t="s">
        <v>353</v>
      </c>
      <c r="T31" s="14" t="s">
        <v>353</v>
      </c>
      <c r="U31" s="14" t="s">
        <v>353</v>
      </c>
      <c r="V31" s="14" t="s">
        <v>353</v>
      </c>
      <c r="W31" s="14" t="s">
        <v>353</v>
      </c>
      <c r="X31" s="14" t="s">
        <v>353</v>
      </c>
      <c r="Y31" s="14" t="s">
        <v>353</v>
      </c>
      <c r="Z31" s="14" t="s">
        <v>353</v>
      </c>
      <c r="AA31" s="14" t="s">
        <v>353</v>
      </c>
      <c r="AB31" s="14" t="s">
        <v>352</v>
      </c>
      <c r="AC31" s="14" t="s">
        <v>352</v>
      </c>
      <c r="AD31" s="14" t="s">
        <v>352</v>
      </c>
      <c r="AE31" s="14" t="s">
        <v>352</v>
      </c>
      <c r="AF31" s="14" t="s">
        <v>352</v>
      </c>
      <c r="AG31" s="14" t="s">
        <v>352</v>
      </c>
      <c r="AH31" s="14" t="s">
        <v>352</v>
      </c>
      <c r="AI31" s="14" t="s">
        <v>352</v>
      </c>
      <c r="AJ31" s="17" t="s">
        <v>506</v>
      </c>
      <c r="AK31" s="14" t="s">
        <v>357</v>
      </c>
      <c r="AL31" s="14" t="s">
        <v>357</v>
      </c>
      <c r="AM31" s="14" t="s">
        <v>357</v>
      </c>
      <c r="AN31" s="14" t="s">
        <v>357</v>
      </c>
      <c r="AO31" s="14" t="s">
        <v>357</v>
      </c>
      <c r="AP31" s="14" t="s">
        <v>358</v>
      </c>
      <c r="AQ31" s="14" t="s">
        <v>357</v>
      </c>
      <c r="AR31" s="14" t="s">
        <v>358</v>
      </c>
      <c r="AS31" s="14" t="s">
        <v>358</v>
      </c>
      <c r="AT31" s="14" t="s">
        <v>357</v>
      </c>
      <c r="AU31" s="14" t="s">
        <v>358</v>
      </c>
      <c r="AV31" s="14" t="s">
        <v>357</v>
      </c>
      <c r="AW31" s="14" t="s">
        <v>357</v>
      </c>
      <c r="AX31" s="14" t="s">
        <v>357</v>
      </c>
      <c r="AY31" s="14" t="s">
        <v>358</v>
      </c>
      <c r="AZ31" s="14" t="s">
        <v>357</v>
      </c>
      <c r="BA31" s="14" t="s">
        <v>358</v>
      </c>
      <c r="BB31" s="17" t="s">
        <v>507</v>
      </c>
      <c r="BC31" s="17" t="s">
        <v>508</v>
      </c>
      <c r="BD31" s="17" t="s">
        <v>509</v>
      </c>
      <c r="BE31" s="14"/>
      <c r="BF31" s="14"/>
      <c r="BG31" s="14"/>
    </row>
    <row r="32" spans="1:59" ht="208" x14ac:dyDescent="0.15">
      <c r="A32" s="14" t="s">
        <v>377</v>
      </c>
      <c r="B32" s="14" t="s">
        <v>349</v>
      </c>
      <c r="C32" s="14" t="s">
        <v>349</v>
      </c>
      <c r="D32" s="14" t="s">
        <v>349</v>
      </c>
      <c r="E32" s="14" t="s">
        <v>349</v>
      </c>
      <c r="F32" s="14" t="s">
        <v>377</v>
      </c>
      <c r="G32" s="14" t="s">
        <v>348</v>
      </c>
      <c r="H32" s="14" t="s">
        <v>377</v>
      </c>
      <c r="I32" s="14" t="s">
        <v>349</v>
      </c>
      <c r="J32" s="14" t="s">
        <v>349</v>
      </c>
      <c r="K32" s="14" t="s">
        <v>377</v>
      </c>
      <c r="L32" s="14" t="s">
        <v>349</v>
      </c>
      <c r="M32" s="14" t="s">
        <v>377</v>
      </c>
      <c r="N32" s="14" t="s">
        <v>348</v>
      </c>
      <c r="O32" s="14" t="s">
        <v>349</v>
      </c>
      <c r="P32" s="14" t="s">
        <v>377</v>
      </c>
      <c r="Q32" s="14" t="s">
        <v>377</v>
      </c>
      <c r="R32" s="17" t="s">
        <v>510</v>
      </c>
      <c r="S32" s="14" t="s">
        <v>352</v>
      </c>
      <c r="T32" s="14" t="s">
        <v>352</v>
      </c>
      <c r="U32" s="14" t="s">
        <v>372</v>
      </c>
      <c r="V32" s="14" t="s">
        <v>351</v>
      </c>
      <c r="W32" s="14" t="s">
        <v>353</v>
      </c>
      <c r="X32" s="14" t="s">
        <v>372</v>
      </c>
      <c r="Y32" s="14" t="s">
        <v>352</v>
      </c>
      <c r="Z32" s="14" t="s">
        <v>372</v>
      </c>
      <c r="AA32" s="14" t="s">
        <v>372</v>
      </c>
      <c r="AB32" s="14" t="s">
        <v>352</v>
      </c>
      <c r="AC32" s="14" t="s">
        <v>372</v>
      </c>
      <c r="AD32" s="14" t="s">
        <v>353</v>
      </c>
      <c r="AE32" s="14" t="s">
        <v>372</v>
      </c>
      <c r="AF32" s="14" t="s">
        <v>372</v>
      </c>
      <c r="AG32" s="14" t="s">
        <v>353</v>
      </c>
      <c r="AH32" s="14" t="s">
        <v>353</v>
      </c>
      <c r="AI32" s="14" t="s">
        <v>351</v>
      </c>
      <c r="AJ32" s="17" t="s">
        <v>511</v>
      </c>
      <c r="AK32" s="14" t="s">
        <v>358</v>
      </c>
      <c r="AL32" s="14" t="s">
        <v>356</v>
      </c>
      <c r="AM32" s="14" t="s">
        <v>357</v>
      </c>
      <c r="AN32" s="14" t="s">
        <v>358</v>
      </c>
      <c r="AO32" s="14" t="s">
        <v>358</v>
      </c>
      <c r="AP32" s="14" t="s">
        <v>357</v>
      </c>
      <c r="AQ32" s="14" t="s">
        <v>357</v>
      </c>
      <c r="AR32" s="14" t="s">
        <v>367</v>
      </c>
      <c r="AS32" s="14" t="s">
        <v>358</v>
      </c>
      <c r="AT32" s="14" t="s">
        <v>367</v>
      </c>
      <c r="AU32" s="14" t="s">
        <v>366</v>
      </c>
      <c r="AV32" s="14" t="s">
        <v>356</v>
      </c>
      <c r="AW32" s="14" t="s">
        <v>367</v>
      </c>
      <c r="AX32" s="14" t="s">
        <v>366</v>
      </c>
      <c r="AY32" s="14" t="s">
        <v>366</v>
      </c>
      <c r="AZ32" s="14" t="s">
        <v>358</v>
      </c>
      <c r="BA32" s="14" t="s">
        <v>366</v>
      </c>
      <c r="BB32" s="17" t="s">
        <v>512</v>
      </c>
      <c r="BC32" s="17" t="s">
        <v>513</v>
      </c>
      <c r="BD32" s="17" t="s">
        <v>514</v>
      </c>
      <c r="BE32" s="14"/>
      <c r="BF32" s="14"/>
      <c r="BG32" s="14"/>
    </row>
    <row r="33" spans="1:59" ht="409.6" x14ac:dyDescent="0.15">
      <c r="A33" s="14" t="s">
        <v>348</v>
      </c>
      <c r="B33" s="14" t="s">
        <v>348</v>
      </c>
      <c r="C33" s="14" t="s">
        <v>348</v>
      </c>
      <c r="D33" s="14" t="s">
        <v>348</v>
      </c>
      <c r="E33" s="14" t="s">
        <v>348</v>
      </c>
      <c r="F33" s="14" t="s">
        <v>348</v>
      </c>
      <c r="G33" s="14" t="s">
        <v>348</v>
      </c>
      <c r="H33" s="14" t="s">
        <v>348</v>
      </c>
      <c r="I33" s="14" t="s">
        <v>348</v>
      </c>
      <c r="J33" s="14" t="s">
        <v>348</v>
      </c>
      <c r="K33" s="14" t="s">
        <v>349</v>
      </c>
      <c r="L33" s="14" t="s">
        <v>348</v>
      </c>
      <c r="M33" s="14" t="s">
        <v>348</v>
      </c>
      <c r="N33" s="14" t="s">
        <v>348</v>
      </c>
      <c r="O33" s="14" t="s">
        <v>348</v>
      </c>
      <c r="P33" s="14" t="s">
        <v>348</v>
      </c>
      <c r="Q33" s="14" t="s">
        <v>348</v>
      </c>
      <c r="R33" s="17" t="s">
        <v>515</v>
      </c>
      <c r="S33" s="14" t="s">
        <v>353</v>
      </c>
      <c r="T33" s="14" t="s">
        <v>353</v>
      </c>
      <c r="U33" s="14" t="s">
        <v>353</v>
      </c>
      <c r="V33" s="14" t="s">
        <v>353</v>
      </c>
      <c r="W33" s="14" t="s">
        <v>353</v>
      </c>
      <c r="X33" s="14" t="s">
        <v>353</v>
      </c>
      <c r="Y33" s="14" t="s">
        <v>353</v>
      </c>
      <c r="Z33" s="14" t="s">
        <v>353</v>
      </c>
      <c r="AA33" s="14" t="s">
        <v>353</v>
      </c>
      <c r="AB33" s="14" t="s">
        <v>353</v>
      </c>
      <c r="AC33" s="14" t="s">
        <v>353</v>
      </c>
      <c r="AD33" s="14" t="s">
        <v>353</v>
      </c>
      <c r="AE33" s="14" t="s">
        <v>353</v>
      </c>
      <c r="AF33" s="14" t="s">
        <v>353</v>
      </c>
      <c r="AG33" s="14" t="s">
        <v>353</v>
      </c>
      <c r="AH33" s="14" t="s">
        <v>353</v>
      </c>
      <c r="AI33" s="14" t="s">
        <v>353</v>
      </c>
      <c r="AJ33" s="17" t="s">
        <v>516</v>
      </c>
      <c r="AK33" s="14" t="s">
        <v>358</v>
      </c>
      <c r="AL33" s="14" t="s">
        <v>358</v>
      </c>
      <c r="AM33" s="14" t="s">
        <v>358</v>
      </c>
      <c r="AN33" s="14" t="s">
        <v>358</v>
      </c>
      <c r="AO33" s="14" t="s">
        <v>358</v>
      </c>
      <c r="AP33" s="14" t="s">
        <v>358</v>
      </c>
      <c r="AQ33" s="14" t="s">
        <v>358</v>
      </c>
      <c r="AR33" s="14" t="s">
        <v>358</v>
      </c>
      <c r="AS33" s="14" t="s">
        <v>358</v>
      </c>
      <c r="AT33" s="14" t="s">
        <v>358</v>
      </c>
      <c r="AU33" s="14" t="s">
        <v>358</v>
      </c>
      <c r="AV33" s="14" t="s">
        <v>358</v>
      </c>
      <c r="AW33" s="14" t="s">
        <v>358</v>
      </c>
      <c r="AX33" s="14" t="s">
        <v>358</v>
      </c>
      <c r="AY33" s="14" t="s">
        <v>358</v>
      </c>
      <c r="AZ33" s="14" t="s">
        <v>358</v>
      </c>
      <c r="BA33" s="14" t="s">
        <v>358</v>
      </c>
      <c r="BB33" s="17" t="s">
        <v>517</v>
      </c>
      <c r="BC33" s="17" t="s">
        <v>518</v>
      </c>
      <c r="BD33" s="17" t="s">
        <v>519</v>
      </c>
      <c r="BE33" s="14"/>
      <c r="BF33" s="14"/>
      <c r="BG33" s="14"/>
    </row>
    <row r="34" spans="1:59" ht="350" x14ac:dyDescent="0.15">
      <c r="A34" s="14" t="s">
        <v>362</v>
      </c>
      <c r="B34" s="14" t="s">
        <v>377</v>
      </c>
      <c r="C34" s="14" t="s">
        <v>348</v>
      </c>
      <c r="D34" s="14" t="s">
        <v>362</v>
      </c>
      <c r="E34" s="14" t="s">
        <v>349</v>
      </c>
      <c r="F34" s="14" t="s">
        <v>363</v>
      </c>
      <c r="G34" s="14" t="s">
        <v>349</v>
      </c>
      <c r="H34" s="14" t="s">
        <v>362</v>
      </c>
      <c r="I34" s="14" t="s">
        <v>362</v>
      </c>
      <c r="J34" s="14" t="s">
        <v>363</v>
      </c>
      <c r="K34" s="14" t="s">
        <v>348</v>
      </c>
      <c r="L34" s="14" t="s">
        <v>362</v>
      </c>
      <c r="M34" s="14" t="s">
        <v>362</v>
      </c>
      <c r="N34" s="14" t="s">
        <v>363</v>
      </c>
      <c r="O34" s="14" t="s">
        <v>362</v>
      </c>
      <c r="P34" s="14" t="s">
        <v>377</v>
      </c>
      <c r="Q34" s="14" t="s">
        <v>362</v>
      </c>
      <c r="R34" s="17" t="s">
        <v>520</v>
      </c>
      <c r="S34" s="14" t="s">
        <v>352</v>
      </c>
      <c r="T34" s="14" t="s">
        <v>351</v>
      </c>
      <c r="U34" s="14" t="s">
        <v>351</v>
      </c>
      <c r="V34" s="14" t="s">
        <v>353</v>
      </c>
      <c r="W34" s="14" t="s">
        <v>353</v>
      </c>
      <c r="X34" s="14" t="s">
        <v>351</v>
      </c>
      <c r="Y34" s="14" t="s">
        <v>353</v>
      </c>
      <c r="Z34" s="14" t="s">
        <v>352</v>
      </c>
      <c r="AA34" s="14" t="s">
        <v>351</v>
      </c>
      <c r="AB34" s="14" t="s">
        <v>353</v>
      </c>
      <c r="AC34" s="14" t="s">
        <v>352</v>
      </c>
      <c r="AD34" s="14" t="s">
        <v>351</v>
      </c>
      <c r="AE34" s="14" t="s">
        <v>353</v>
      </c>
      <c r="AF34" s="14" t="s">
        <v>352</v>
      </c>
      <c r="AG34" s="14" t="s">
        <v>351</v>
      </c>
      <c r="AH34" s="14" t="s">
        <v>352</v>
      </c>
      <c r="AI34" s="14" t="s">
        <v>351</v>
      </c>
      <c r="AJ34" s="17" t="s">
        <v>521</v>
      </c>
      <c r="AK34" s="14" t="s">
        <v>357</v>
      </c>
      <c r="AL34" s="14" t="s">
        <v>356</v>
      </c>
      <c r="AM34" s="14" t="s">
        <v>357</v>
      </c>
      <c r="AN34" s="14" t="s">
        <v>356</v>
      </c>
      <c r="AO34" s="14" t="s">
        <v>357</v>
      </c>
      <c r="AP34" s="14" t="s">
        <v>367</v>
      </c>
      <c r="AQ34" s="14" t="s">
        <v>356</v>
      </c>
      <c r="AR34" s="14" t="s">
        <v>367</v>
      </c>
      <c r="AS34" s="14" t="s">
        <v>356</v>
      </c>
      <c r="AT34" s="14" t="s">
        <v>356</v>
      </c>
      <c r="AU34" s="14" t="s">
        <v>357</v>
      </c>
      <c r="AV34" s="14" t="s">
        <v>356</v>
      </c>
      <c r="AW34" s="14" t="s">
        <v>358</v>
      </c>
      <c r="AX34" s="14" t="s">
        <v>367</v>
      </c>
      <c r="AY34" s="14" t="s">
        <v>356</v>
      </c>
      <c r="AZ34" s="14" t="s">
        <v>366</v>
      </c>
      <c r="BA34" s="14" t="s">
        <v>367</v>
      </c>
      <c r="BB34" s="17" t="s">
        <v>522</v>
      </c>
      <c r="BC34" s="17" t="s">
        <v>523</v>
      </c>
      <c r="BD34" s="17" t="s">
        <v>524</v>
      </c>
      <c r="BE34" s="14"/>
      <c r="BF34" s="14"/>
      <c r="BG34" s="14"/>
    </row>
    <row r="35" spans="1:59" ht="365" x14ac:dyDescent="0.15">
      <c r="A35" s="14" t="s">
        <v>349</v>
      </c>
      <c r="B35" s="14" t="s">
        <v>348</v>
      </c>
      <c r="C35" s="14" t="s">
        <v>349</v>
      </c>
      <c r="D35" s="14" t="s">
        <v>348</v>
      </c>
      <c r="E35" s="14" t="s">
        <v>348</v>
      </c>
      <c r="F35" s="14" t="s">
        <v>349</v>
      </c>
      <c r="G35" s="14" t="s">
        <v>348</v>
      </c>
      <c r="H35" s="14" t="s">
        <v>349</v>
      </c>
      <c r="I35" s="14" t="s">
        <v>349</v>
      </c>
      <c r="J35" s="14" t="s">
        <v>348</v>
      </c>
      <c r="K35" s="14" t="s">
        <v>349</v>
      </c>
      <c r="L35" s="14" t="s">
        <v>349</v>
      </c>
      <c r="M35" s="14" t="s">
        <v>348</v>
      </c>
      <c r="N35" s="14" t="s">
        <v>349</v>
      </c>
      <c r="O35" s="14" t="s">
        <v>349</v>
      </c>
      <c r="P35" s="14" t="s">
        <v>349</v>
      </c>
      <c r="Q35" s="14" t="s">
        <v>349</v>
      </c>
      <c r="R35" s="17" t="s">
        <v>525</v>
      </c>
      <c r="S35" s="14" t="s">
        <v>353</v>
      </c>
      <c r="T35" s="14" t="s">
        <v>372</v>
      </c>
      <c r="U35" s="14" t="s">
        <v>353</v>
      </c>
      <c r="V35" s="14" t="s">
        <v>353</v>
      </c>
      <c r="W35" s="14" t="s">
        <v>353</v>
      </c>
      <c r="X35" s="14" t="s">
        <v>353</v>
      </c>
      <c r="Y35" s="14" t="s">
        <v>353</v>
      </c>
      <c r="Z35" s="14" t="s">
        <v>353</v>
      </c>
      <c r="AA35" s="14" t="s">
        <v>353</v>
      </c>
      <c r="AB35" s="14" t="s">
        <v>353</v>
      </c>
      <c r="AC35" s="14" t="s">
        <v>353</v>
      </c>
      <c r="AD35" s="14" t="s">
        <v>353</v>
      </c>
      <c r="AE35" s="14" t="s">
        <v>351</v>
      </c>
      <c r="AF35" s="14" t="s">
        <v>351</v>
      </c>
      <c r="AG35" s="14" t="s">
        <v>353</v>
      </c>
      <c r="AH35" s="14" t="s">
        <v>353</v>
      </c>
      <c r="AI35" s="14" t="s">
        <v>351</v>
      </c>
      <c r="AJ35" s="17" t="s">
        <v>526</v>
      </c>
      <c r="AK35" s="14" t="s">
        <v>356</v>
      </c>
      <c r="AL35" s="14" t="s">
        <v>358</v>
      </c>
      <c r="AM35" s="14" t="s">
        <v>356</v>
      </c>
      <c r="AN35" s="14" t="s">
        <v>358</v>
      </c>
      <c r="AO35" s="14" t="s">
        <v>358</v>
      </c>
      <c r="AP35" s="14" t="s">
        <v>358</v>
      </c>
      <c r="AQ35" s="14" t="s">
        <v>358</v>
      </c>
      <c r="AR35" s="14" t="s">
        <v>356</v>
      </c>
      <c r="AS35" s="14" t="s">
        <v>358</v>
      </c>
      <c r="AT35" s="14" t="s">
        <v>356</v>
      </c>
      <c r="AU35" s="14" t="s">
        <v>358</v>
      </c>
      <c r="AV35" s="14" t="s">
        <v>356</v>
      </c>
      <c r="AW35" s="14" t="s">
        <v>358</v>
      </c>
      <c r="AX35" s="14" t="s">
        <v>358</v>
      </c>
      <c r="AY35" s="14" t="s">
        <v>358</v>
      </c>
      <c r="AZ35" s="14" t="s">
        <v>358</v>
      </c>
      <c r="BA35" s="14" t="s">
        <v>358</v>
      </c>
      <c r="BB35" s="17" t="s">
        <v>527</v>
      </c>
      <c r="BC35" s="17" t="s">
        <v>528</v>
      </c>
      <c r="BD35" s="17" t="s">
        <v>529</v>
      </c>
      <c r="BE35" s="14"/>
      <c r="BF35" s="14"/>
      <c r="BG35" s="14"/>
    </row>
    <row r="36" spans="1:59" ht="320" x14ac:dyDescent="0.15">
      <c r="A36" s="14" t="s">
        <v>349</v>
      </c>
      <c r="B36" s="14" t="s">
        <v>349</v>
      </c>
      <c r="C36" s="14" t="s">
        <v>349</v>
      </c>
      <c r="D36" s="14" t="s">
        <v>348</v>
      </c>
      <c r="E36" s="14" t="s">
        <v>349</v>
      </c>
      <c r="F36" s="14" t="s">
        <v>362</v>
      </c>
      <c r="G36" s="14" t="s">
        <v>349</v>
      </c>
      <c r="H36" s="14" t="s">
        <v>362</v>
      </c>
      <c r="I36" s="14" t="s">
        <v>349</v>
      </c>
      <c r="J36" s="14" t="s">
        <v>348</v>
      </c>
      <c r="K36" s="14" t="s">
        <v>348</v>
      </c>
      <c r="L36" s="14" t="s">
        <v>349</v>
      </c>
      <c r="M36" s="14" t="s">
        <v>349</v>
      </c>
      <c r="N36" s="14" t="s">
        <v>362</v>
      </c>
      <c r="O36" s="14" t="s">
        <v>362</v>
      </c>
      <c r="P36" s="14" t="s">
        <v>349</v>
      </c>
      <c r="Q36" s="14" t="s">
        <v>362</v>
      </c>
      <c r="R36" s="17" t="s">
        <v>530</v>
      </c>
      <c r="S36" s="14" t="s">
        <v>352</v>
      </c>
      <c r="T36" s="14" t="s">
        <v>352</v>
      </c>
      <c r="U36" s="14" t="s">
        <v>352</v>
      </c>
      <c r="V36" s="14" t="s">
        <v>351</v>
      </c>
      <c r="W36" s="14" t="s">
        <v>352</v>
      </c>
      <c r="X36" s="14" t="s">
        <v>353</v>
      </c>
      <c r="Y36" s="14" t="s">
        <v>353</v>
      </c>
      <c r="Z36" s="14" t="s">
        <v>353</v>
      </c>
      <c r="AA36" s="14" t="s">
        <v>353</v>
      </c>
      <c r="AB36" s="14" t="s">
        <v>353</v>
      </c>
      <c r="AC36" s="14" t="s">
        <v>352</v>
      </c>
      <c r="AD36" s="14" t="s">
        <v>353</v>
      </c>
      <c r="AE36" s="14" t="s">
        <v>353</v>
      </c>
      <c r="AF36" s="14" t="s">
        <v>353</v>
      </c>
      <c r="AG36" s="14" t="s">
        <v>353</v>
      </c>
      <c r="AH36" s="14" t="s">
        <v>351</v>
      </c>
      <c r="AI36" s="14" t="s">
        <v>352</v>
      </c>
      <c r="AJ36" s="17" t="s">
        <v>531</v>
      </c>
      <c r="AK36" s="14" t="s">
        <v>358</v>
      </c>
      <c r="AL36" s="14" t="s">
        <v>356</v>
      </c>
      <c r="AM36" s="14" t="s">
        <v>367</v>
      </c>
      <c r="AN36" s="14" t="s">
        <v>358</v>
      </c>
      <c r="AO36" s="14" t="s">
        <v>358</v>
      </c>
      <c r="AP36" s="14" t="s">
        <v>358</v>
      </c>
      <c r="AQ36" s="14" t="s">
        <v>358</v>
      </c>
      <c r="AR36" s="14" t="s">
        <v>358</v>
      </c>
      <c r="AS36" s="14" t="s">
        <v>358</v>
      </c>
      <c r="AT36" s="14" t="s">
        <v>357</v>
      </c>
      <c r="AU36" s="14" t="s">
        <v>358</v>
      </c>
      <c r="AV36" s="14" t="s">
        <v>358</v>
      </c>
      <c r="AW36" s="14" t="s">
        <v>357</v>
      </c>
      <c r="AX36" s="14" t="s">
        <v>357</v>
      </c>
      <c r="AY36" s="14" t="s">
        <v>357</v>
      </c>
      <c r="AZ36" s="14" t="s">
        <v>358</v>
      </c>
      <c r="BA36" s="14" t="s">
        <v>358</v>
      </c>
      <c r="BB36" s="17" t="s">
        <v>532</v>
      </c>
      <c r="BC36" s="17" t="s">
        <v>533</v>
      </c>
      <c r="BD36" s="17" t="s">
        <v>534</v>
      </c>
      <c r="BE36" s="14"/>
      <c r="BF36" s="14"/>
      <c r="BG36" s="14"/>
    </row>
    <row r="37" spans="1:59" ht="409.6" x14ac:dyDescent="0.15">
      <c r="A37" s="14" t="s">
        <v>348</v>
      </c>
      <c r="B37" s="14" t="s">
        <v>362</v>
      </c>
      <c r="C37" s="14" t="s">
        <v>349</v>
      </c>
      <c r="D37" s="14" t="s">
        <v>349</v>
      </c>
      <c r="E37" s="14" t="s">
        <v>349</v>
      </c>
      <c r="F37" s="14" t="s">
        <v>349</v>
      </c>
      <c r="G37" s="14" t="s">
        <v>362</v>
      </c>
      <c r="H37" s="14" t="s">
        <v>377</v>
      </c>
      <c r="I37" s="14" t="s">
        <v>349</v>
      </c>
      <c r="J37" s="14" t="s">
        <v>349</v>
      </c>
      <c r="K37" s="14" t="s">
        <v>362</v>
      </c>
      <c r="L37" s="14" t="s">
        <v>349</v>
      </c>
      <c r="M37" s="14" t="s">
        <v>349</v>
      </c>
      <c r="N37" s="14" t="s">
        <v>349</v>
      </c>
      <c r="O37" s="14" t="s">
        <v>363</v>
      </c>
      <c r="P37" s="14" t="s">
        <v>363</v>
      </c>
      <c r="Q37" s="14" t="s">
        <v>362</v>
      </c>
      <c r="R37" s="17" t="s">
        <v>535</v>
      </c>
      <c r="S37" s="14" t="s">
        <v>351</v>
      </c>
      <c r="T37" s="14" t="s">
        <v>351</v>
      </c>
      <c r="U37" s="14" t="s">
        <v>353</v>
      </c>
      <c r="V37" s="14" t="s">
        <v>352</v>
      </c>
      <c r="W37" s="14" t="s">
        <v>352</v>
      </c>
      <c r="X37" s="14" t="s">
        <v>351</v>
      </c>
      <c r="Y37" s="14" t="s">
        <v>351</v>
      </c>
      <c r="Z37" s="14" t="s">
        <v>352</v>
      </c>
      <c r="AA37" s="14" t="s">
        <v>351</v>
      </c>
      <c r="AB37" s="14" t="s">
        <v>351</v>
      </c>
      <c r="AC37" s="14" t="s">
        <v>352</v>
      </c>
      <c r="AD37" s="14" t="s">
        <v>351</v>
      </c>
      <c r="AE37" s="14" t="s">
        <v>351</v>
      </c>
      <c r="AF37" s="14" t="s">
        <v>351</v>
      </c>
      <c r="AG37" s="14" t="s">
        <v>353</v>
      </c>
      <c r="AH37" s="14" t="s">
        <v>353</v>
      </c>
      <c r="AI37" s="14" t="s">
        <v>351</v>
      </c>
      <c r="AJ37" s="17" t="s">
        <v>536</v>
      </c>
      <c r="AK37" s="14" t="s">
        <v>358</v>
      </c>
      <c r="AL37" s="14" t="s">
        <v>356</v>
      </c>
      <c r="AM37" s="14" t="s">
        <v>358</v>
      </c>
      <c r="AN37" s="14" t="s">
        <v>357</v>
      </c>
      <c r="AO37" s="14" t="s">
        <v>357</v>
      </c>
      <c r="AP37" s="14" t="s">
        <v>356</v>
      </c>
      <c r="AQ37" s="14" t="s">
        <v>357</v>
      </c>
      <c r="AR37" s="14" t="s">
        <v>356</v>
      </c>
      <c r="AS37" s="14" t="s">
        <v>356</v>
      </c>
      <c r="AT37" s="14" t="s">
        <v>358</v>
      </c>
      <c r="AU37" s="14" t="s">
        <v>358</v>
      </c>
      <c r="AV37" s="14" t="s">
        <v>358</v>
      </c>
      <c r="AW37" s="14" t="s">
        <v>358</v>
      </c>
      <c r="AX37" s="14" t="s">
        <v>358</v>
      </c>
      <c r="AY37" s="14" t="s">
        <v>367</v>
      </c>
      <c r="AZ37" s="14" t="s">
        <v>356</v>
      </c>
      <c r="BA37" s="14" t="s">
        <v>356</v>
      </c>
      <c r="BB37" s="17" t="s">
        <v>537</v>
      </c>
      <c r="BC37" s="17" t="s">
        <v>538</v>
      </c>
      <c r="BD37" s="17" t="s">
        <v>539</v>
      </c>
      <c r="BE37" s="14"/>
      <c r="BF37" s="14"/>
      <c r="BG37" s="14"/>
    </row>
    <row r="38" spans="1:59" ht="304" x14ac:dyDescent="0.15">
      <c r="A38" s="14" t="s">
        <v>349</v>
      </c>
      <c r="B38" s="14" t="s">
        <v>349</v>
      </c>
      <c r="C38" s="14" t="s">
        <v>349</v>
      </c>
      <c r="D38" s="14" t="s">
        <v>349</v>
      </c>
      <c r="E38" s="14" t="s">
        <v>349</v>
      </c>
      <c r="F38" s="14" t="s">
        <v>362</v>
      </c>
      <c r="G38" s="14" t="s">
        <v>348</v>
      </c>
      <c r="H38" s="14" t="s">
        <v>349</v>
      </c>
      <c r="I38" s="14" t="s">
        <v>363</v>
      </c>
      <c r="J38" s="14" t="s">
        <v>349</v>
      </c>
      <c r="K38" s="14" t="s">
        <v>348</v>
      </c>
      <c r="L38" s="14" t="s">
        <v>363</v>
      </c>
      <c r="M38" s="14" t="s">
        <v>349</v>
      </c>
      <c r="N38" s="14" t="s">
        <v>362</v>
      </c>
      <c r="O38" s="14" t="s">
        <v>349</v>
      </c>
      <c r="P38" s="14" t="s">
        <v>349</v>
      </c>
      <c r="Q38" s="14" t="s">
        <v>363</v>
      </c>
      <c r="R38" s="17" t="s">
        <v>540</v>
      </c>
      <c r="S38" s="14" t="s">
        <v>353</v>
      </c>
      <c r="T38" s="14" t="s">
        <v>351</v>
      </c>
      <c r="U38" s="14" t="s">
        <v>353</v>
      </c>
      <c r="V38" s="14" t="s">
        <v>353</v>
      </c>
      <c r="W38" s="14" t="s">
        <v>352</v>
      </c>
      <c r="X38" s="14" t="s">
        <v>353</v>
      </c>
      <c r="Y38" s="14" t="s">
        <v>353</v>
      </c>
      <c r="Z38" s="14" t="s">
        <v>353</v>
      </c>
      <c r="AA38" s="14" t="s">
        <v>353</v>
      </c>
      <c r="AB38" s="14" t="s">
        <v>353</v>
      </c>
      <c r="AC38" s="14" t="s">
        <v>352</v>
      </c>
      <c r="AD38" s="14" t="s">
        <v>353</v>
      </c>
      <c r="AE38" s="14" t="s">
        <v>353</v>
      </c>
      <c r="AF38" s="14" t="s">
        <v>353</v>
      </c>
      <c r="AG38" s="14" t="s">
        <v>353</v>
      </c>
      <c r="AH38" s="14" t="s">
        <v>352</v>
      </c>
      <c r="AI38" s="14" t="s">
        <v>351</v>
      </c>
      <c r="AJ38" s="17" t="s">
        <v>541</v>
      </c>
      <c r="AK38" s="14" t="s">
        <v>358</v>
      </c>
      <c r="AL38" s="14" t="s">
        <v>358</v>
      </c>
      <c r="AM38" s="14" t="s">
        <v>356</v>
      </c>
      <c r="AN38" s="14" t="s">
        <v>356</v>
      </c>
      <c r="AO38" s="14" t="s">
        <v>356</v>
      </c>
      <c r="AP38" s="14" t="s">
        <v>356</v>
      </c>
      <c r="AQ38" s="14" t="s">
        <v>358</v>
      </c>
      <c r="AR38" s="14" t="s">
        <v>358</v>
      </c>
      <c r="AS38" s="14" t="s">
        <v>356</v>
      </c>
      <c r="AT38" s="14" t="s">
        <v>358</v>
      </c>
      <c r="AU38" s="14" t="s">
        <v>356</v>
      </c>
      <c r="AV38" s="14" t="s">
        <v>358</v>
      </c>
      <c r="AW38" s="14" t="s">
        <v>358</v>
      </c>
      <c r="AX38" s="14" t="s">
        <v>358</v>
      </c>
      <c r="AY38" s="14" t="s">
        <v>358</v>
      </c>
      <c r="AZ38" s="14" t="s">
        <v>356</v>
      </c>
      <c r="BA38" s="14" t="s">
        <v>358</v>
      </c>
      <c r="BB38" s="17" t="s">
        <v>542</v>
      </c>
      <c r="BC38" s="17" t="s">
        <v>543</v>
      </c>
      <c r="BD38" s="17" t="s">
        <v>544</v>
      </c>
      <c r="BE38" s="14"/>
      <c r="BF38" s="14"/>
      <c r="BG38" s="14"/>
    </row>
    <row r="39" spans="1:59" ht="208" x14ac:dyDescent="0.15">
      <c r="A39" s="14" t="s">
        <v>348</v>
      </c>
      <c r="B39" s="14" t="s">
        <v>349</v>
      </c>
      <c r="C39" s="14" t="s">
        <v>348</v>
      </c>
      <c r="D39" s="14" t="s">
        <v>349</v>
      </c>
      <c r="E39" s="14" t="s">
        <v>349</v>
      </c>
      <c r="F39" s="14" t="s">
        <v>349</v>
      </c>
      <c r="G39" s="14" t="s">
        <v>348</v>
      </c>
      <c r="H39" s="14" t="s">
        <v>377</v>
      </c>
      <c r="I39" s="14" t="s">
        <v>349</v>
      </c>
      <c r="J39" s="14" t="s">
        <v>349</v>
      </c>
      <c r="K39" s="14" t="s">
        <v>348</v>
      </c>
      <c r="L39" s="14" t="s">
        <v>348</v>
      </c>
      <c r="M39" s="14" t="s">
        <v>377</v>
      </c>
      <c r="N39" s="14" t="s">
        <v>348</v>
      </c>
      <c r="O39" s="14" t="s">
        <v>349</v>
      </c>
      <c r="P39" s="14" t="s">
        <v>349</v>
      </c>
      <c r="Q39" s="14" t="s">
        <v>349</v>
      </c>
      <c r="R39" s="17" t="s">
        <v>545</v>
      </c>
      <c r="S39" s="14" t="s">
        <v>352</v>
      </c>
      <c r="T39" s="14" t="s">
        <v>352</v>
      </c>
      <c r="U39" s="14" t="s">
        <v>353</v>
      </c>
      <c r="V39" s="14" t="s">
        <v>351</v>
      </c>
      <c r="W39" s="14" t="s">
        <v>351</v>
      </c>
      <c r="X39" s="14" t="s">
        <v>353</v>
      </c>
      <c r="Y39" s="14" t="s">
        <v>352</v>
      </c>
      <c r="Z39" s="14" t="s">
        <v>353</v>
      </c>
      <c r="AA39" s="14" t="s">
        <v>353</v>
      </c>
      <c r="AB39" s="14" t="s">
        <v>354</v>
      </c>
      <c r="AC39" s="14" t="s">
        <v>352</v>
      </c>
      <c r="AD39" s="14" t="s">
        <v>352</v>
      </c>
      <c r="AE39" s="14" t="s">
        <v>353</v>
      </c>
      <c r="AF39" s="14" t="s">
        <v>351</v>
      </c>
      <c r="AG39" s="14" t="s">
        <v>352</v>
      </c>
      <c r="AH39" s="14" t="s">
        <v>351</v>
      </c>
      <c r="AI39" s="14" t="s">
        <v>352</v>
      </c>
      <c r="AJ39" s="17" t="s">
        <v>546</v>
      </c>
      <c r="AK39" s="14" t="s">
        <v>356</v>
      </c>
      <c r="AL39" s="14" t="s">
        <v>358</v>
      </c>
      <c r="AM39" s="14" t="s">
        <v>358</v>
      </c>
      <c r="AN39" s="14" t="s">
        <v>358</v>
      </c>
      <c r="AO39" s="14" t="s">
        <v>358</v>
      </c>
      <c r="AP39" s="14" t="s">
        <v>357</v>
      </c>
      <c r="AQ39" s="14" t="s">
        <v>357</v>
      </c>
      <c r="AR39" s="14" t="s">
        <v>358</v>
      </c>
      <c r="AS39" s="14" t="s">
        <v>357</v>
      </c>
      <c r="AT39" s="14" t="s">
        <v>357</v>
      </c>
      <c r="AU39" s="14" t="s">
        <v>357</v>
      </c>
      <c r="AV39" s="14" t="s">
        <v>357</v>
      </c>
      <c r="AW39" s="14" t="s">
        <v>358</v>
      </c>
      <c r="AX39" s="14" t="s">
        <v>357</v>
      </c>
      <c r="AY39" s="14" t="s">
        <v>357</v>
      </c>
      <c r="AZ39" s="14" t="s">
        <v>358</v>
      </c>
      <c r="BA39" s="14" t="s">
        <v>358</v>
      </c>
      <c r="BB39" s="17" t="s">
        <v>547</v>
      </c>
      <c r="BC39" s="17" t="s">
        <v>548</v>
      </c>
      <c r="BD39" s="17" t="s">
        <v>549</v>
      </c>
      <c r="BE39" s="14"/>
      <c r="BF39" s="14"/>
      <c r="BG39" s="14"/>
    </row>
    <row r="40" spans="1:59" ht="304" x14ac:dyDescent="0.15">
      <c r="A40" s="14" t="s">
        <v>349</v>
      </c>
      <c r="B40" s="14" t="s">
        <v>362</v>
      </c>
      <c r="C40" s="14" t="s">
        <v>363</v>
      </c>
      <c r="D40" s="14" t="s">
        <v>363</v>
      </c>
      <c r="E40" s="14" t="s">
        <v>363</v>
      </c>
      <c r="F40" s="14" t="s">
        <v>363</v>
      </c>
      <c r="G40" s="14" t="s">
        <v>349</v>
      </c>
      <c r="H40" s="14" t="s">
        <v>349</v>
      </c>
      <c r="I40" s="14" t="s">
        <v>349</v>
      </c>
      <c r="J40" s="14" t="s">
        <v>363</v>
      </c>
      <c r="K40" s="14" t="s">
        <v>348</v>
      </c>
      <c r="L40" s="14" t="s">
        <v>349</v>
      </c>
      <c r="M40" s="14" t="s">
        <v>363</v>
      </c>
      <c r="N40" s="14" t="s">
        <v>349</v>
      </c>
      <c r="O40" s="14" t="s">
        <v>363</v>
      </c>
      <c r="P40" s="14" t="s">
        <v>349</v>
      </c>
      <c r="Q40" s="14" t="s">
        <v>349</v>
      </c>
      <c r="R40" s="17" t="s">
        <v>550</v>
      </c>
      <c r="S40" s="14" t="s">
        <v>352</v>
      </c>
      <c r="T40" s="14" t="s">
        <v>352</v>
      </c>
      <c r="U40" s="14" t="s">
        <v>352</v>
      </c>
      <c r="V40" s="14" t="s">
        <v>352</v>
      </c>
      <c r="W40" s="14" t="s">
        <v>353</v>
      </c>
      <c r="X40" s="14" t="s">
        <v>351</v>
      </c>
      <c r="Y40" s="14" t="s">
        <v>353</v>
      </c>
      <c r="Z40" s="14" t="s">
        <v>353</v>
      </c>
      <c r="AA40" s="14" t="s">
        <v>353</v>
      </c>
      <c r="AB40" s="14" t="s">
        <v>353</v>
      </c>
      <c r="AC40" s="14" t="s">
        <v>352</v>
      </c>
      <c r="AD40" s="14" t="s">
        <v>353</v>
      </c>
      <c r="AE40" s="14" t="s">
        <v>353</v>
      </c>
      <c r="AF40" s="14" t="s">
        <v>351</v>
      </c>
      <c r="AG40" s="14" t="s">
        <v>351</v>
      </c>
      <c r="AH40" s="14" t="s">
        <v>351</v>
      </c>
      <c r="AI40" s="14" t="s">
        <v>351</v>
      </c>
      <c r="AJ40" s="17" t="s">
        <v>551</v>
      </c>
      <c r="AK40" s="14" t="s">
        <v>356</v>
      </c>
      <c r="AL40" s="14" t="s">
        <v>356</v>
      </c>
      <c r="AM40" s="14" t="s">
        <v>356</v>
      </c>
      <c r="AN40" s="14" t="s">
        <v>358</v>
      </c>
      <c r="AO40" s="14" t="s">
        <v>357</v>
      </c>
      <c r="AP40" s="14" t="s">
        <v>358</v>
      </c>
      <c r="AQ40" s="14" t="s">
        <v>357</v>
      </c>
      <c r="AR40" s="14" t="s">
        <v>357</v>
      </c>
      <c r="AS40" s="14" t="s">
        <v>357</v>
      </c>
      <c r="AT40" s="14" t="s">
        <v>357</v>
      </c>
      <c r="AU40" s="14" t="s">
        <v>357</v>
      </c>
      <c r="AV40" s="14" t="s">
        <v>357</v>
      </c>
      <c r="AW40" s="14" t="s">
        <v>358</v>
      </c>
      <c r="AX40" s="14" t="s">
        <v>357</v>
      </c>
      <c r="AY40" s="14" t="s">
        <v>367</v>
      </c>
      <c r="AZ40" s="14" t="s">
        <v>356</v>
      </c>
      <c r="BA40" s="14" t="s">
        <v>358</v>
      </c>
      <c r="BB40" s="17" t="s">
        <v>552</v>
      </c>
      <c r="BC40" s="17" t="s">
        <v>553</v>
      </c>
      <c r="BD40" s="17" t="s">
        <v>554</v>
      </c>
      <c r="BE40" s="14"/>
      <c r="BF40" s="14"/>
      <c r="BG40" s="14"/>
    </row>
    <row r="41" spans="1:59" ht="64" x14ac:dyDescent="0.15">
      <c r="A41" s="14" t="s">
        <v>377</v>
      </c>
      <c r="B41" s="14" t="s">
        <v>362</v>
      </c>
      <c r="C41" s="14" t="s">
        <v>362</v>
      </c>
      <c r="D41" s="14" t="s">
        <v>349</v>
      </c>
      <c r="E41" s="14" t="s">
        <v>363</v>
      </c>
      <c r="F41" s="14" t="s">
        <v>362</v>
      </c>
      <c r="G41" s="14" t="s">
        <v>363</v>
      </c>
      <c r="H41" s="14" t="s">
        <v>363</v>
      </c>
      <c r="I41" s="14" t="s">
        <v>363</v>
      </c>
      <c r="J41" s="14" t="s">
        <v>349</v>
      </c>
      <c r="K41" s="14" t="s">
        <v>363</v>
      </c>
      <c r="L41" s="14" t="s">
        <v>363</v>
      </c>
      <c r="M41" s="14" t="s">
        <v>362</v>
      </c>
      <c r="N41" s="14" t="s">
        <v>362</v>
      </c>
      <c r="O41" s="14" t="s">
        <v>349</v>
      </c>
      <c r="P41" s="14" t="s">
        <v>377</v>
      </c>
      <c r="Q41" s="14" t="s">
        <v>362</v>
      </c>
      <c r="R41" s="17" t="s">
        <v>555</v>
      </c>
      <c r="S41" s="14" t="s">
        <v>352</v>
      </c>
      <c r="T41" s="14" t="s">
        <v>351</v>
      </c>
      <c r="U41" s="14" t="s">
        <v>351</v>
      </c>
      <c r="V41" s="14" t="s">
        <v>372</v>
      </c>
      <c r="W41" s="14" t="s">
        <v>351</v>
      </c>
      <c r="X41" s="14" t="s">
        <v>372</v>
      </c>
      <c r="Y41" s="14" t="s">
        <v>354</v>
      </c>
      <c r="Z41" s="14" t="s">
        <v>354</v>
      </c>
      <c r="AA41" s="14" t="s">
        <v>353</v>
      </c>
      <c r="AB41" s="14" t="s">
        <v>354</v>
      </c>
      <c r="AC41" s="14" t="s">
        <v>351</v>
      </c>
      <c r="AD41" s="14" t="s">
        <v>351</v>
      </c>
      <c r="AE41" s="14" t="s">
        <v>352</v>
      </c>
      <c r="AF41" s="14" t="s">
        <v>372</v>
      </c>
      <c r="AG41" s="14" t="s">
        <v>351</v>
      </c>
      <c r="AH41" s="14" t="s">
        <v>372</v>
      </c>
      <c r="AI41" s="14" t="s">
        <v>351</v>
      </c>
      <c r="AJ41" s="17" t="s">
        <v>556</v>
      </c>
      <c r="AK41" s="14" t="s">
        <v>367</v>
      </c>
      <c r="AL41" s="14" t="s">
        <v>366</v>
      </c>
      <c r="AM41" s="14" t="s">
        <v>367</v>
      </c>
      <c r="AN41" s="14" t="s">
        <v>366</v>
      </c>
      <c r="AO41" s="14" t="s">
        <v>358</v>
      </c>
      <c r="AP41" s="14" t="s">
        <v>356</v>
      </c>
      <c r="AQ41" s="14" t="s">
        <v>367</v>
      </c>
      <c r="AR41" s="14" t="s">
        <v>367</v>
      </c>
      <c r="AS41" s="14" t="s">
        <v>366</v>
      </c>
      <c r="AT41" s="14" t="s">
        <v>366</v>
      </c>
      <c r="AU41" s="14" t="s">
        <v>356</v>
      </c>
      <c r="AV41" s="14" t="s">
        <v>367</v>
      </c>
      <c r="AW41" s="14" t="s">
        <v>366</v>
      </c>
      <c r="AX41" s="14" t="s">
        <v>401</v>
      </c>
      <c r="AY41" s="14" t="s">
        <v>366</v>
      </c>
      <c r="AZ41" s="14" t="s">
        <v>366</v>
      </c>
      <c r="BA41" s="14" t="s">
        <v>366</v>
      </c>
      <c r="BB41" s="17" t="s">
        <v>557</v>
      </c>
      <c r="BC41" s="17" t="s">
        <v>558</v>
      </c>
      <c r="BD41" s="17" t="s">
        <v>559</v>
      </c>
      <c r="BE41" s="14"/>
      <c r="BF41" s="14"/>
      <c r="BG41" s="14"/>
    </row>
    <row r="42" spans="1:59" ht="176" x14ac:dyDescent="0.15">
      <c r="A42" s="14" t="s">
        <v>362</v>
      </c>
      <c r="B42" s="14" t="s">
        <v>377</v>
      </c>
      <c r="C42" s="14" t="s">
        <v>377</v>
      </c>
      <c r="D42" s="14" t="s">
        <v>377</v>
      </c>
      <c r="E42" s="14" t="s">
        <v>362</v>
      </c>
      <c r="F42" s="14" t="s">
        <v>377</v>
      </c>
      <c r="G42" s="14" t="s">
        <v>377</v>
      </c>
      <c r="H42" s="14" t="s">
        <v>362</v>
      </c>
      <c r="I42" s="14" t="s">
        <v>377</v>
      </c>
      <c r="J42" s="14" t="s">
        <v>377</v>
      </c>
      <c r="K42" s="14" t="s">
        <v>377</v>
      </c>
      <c r="L42" s="14" t="s">
        <v>377</v>
      </c>
      <c r="M42" s="14" t="s">
        <v>362</v>
      </c>
      <c r="N42" s="14" t="s">
        <v>377</v>
      </c>
      <c r="O42" s="14" t="s">
        <v>349</v>
      </c>
      <c r="P42" s="14" t="s">
        <v>377</v>
      </c>
      <c r="Q42" s="14" t="s">
        <v>349</v>
      </c>
      <c r="R42" s="17" t="s">
        <v>560</v>
      </c>
      <c r="S42" s="14" t="s">
        <v>353</v>
      </c>
      <c r="T42" s="14" t="s">
        <v>372</v>
      </c>
      <c r="U42" s="14" t="s">
        <v>351</v>
      </c>
      <c r="V42" s="14" t="s">
        <v>351</v>
      </c>
      <c r="W42" s="14" t="s">
        <v>372</v>
      </c>
      <c r="X42" s="14" t="s">
        <v>372</v>
      </c>
      <c r="Y42" s="14" t="s">
        <v>351</v>
      </c>
      <c r="Z42" s="14" t="s">
        <v>351</v>
      </c>
      <c r="AA42" s="14" t="s">
        <v>372</v>
      </c>
      <c r="AB42" s="14" t="s">
        <v>351</v>
      </c>
      <c r="AC42" s="14" t="s">
        <v>372</v>
      </c>
      <c r="AD42" s="14" t="s">
        <v>351</v>
      </c>
      <c r="AE42" s="14" t="s">
        <v>353</v>
      </c>
      <c r="AF42" s="14" t="s">
        <v>351</v>
      </c>
      <c r="AG42" s="14" t="s">
        <v>372</v>
      </c>
      <c r="AH42" s="14" t="s">
        <v>372</v>
      </c>
      <c r="AI42" s="14" t="s">
        <v>372</v>
      </c>
      <c r="AJ42" s="17" t="s">
        <v>561</v>
      </c>
      <c r="AK42" s="14" t="s">
        <v>356</v>
      </c>
      <c r="AL42" s="14" t="s">
        <v>356</v>
      </c>
      <c r="AM42" s="14" t="s">
        <v>356</v>
      </c>
      <c r="AN42" s="14" t="s">
        <v>356</v>
      </c>
      <c r="AO42" s="14" t="s">
        <v>358</v>
      </c>
      <c r="AP42" s="14" t="s">
        <v>356</v>
      </c>
      <c r="AQ42" s="14" t="s">
        <v>356</v>
      </c>
      <c r="AR42" s="14" t="s">
        <v>358</v>
      </c>
      <c r="AS42" s="14" t="s">
        <v>356</v>
      </c>
      <c r="AT42" s="14" t="s">
        <v>356</v>
      </c>
      <c r="AU42" s="14" t="s">
        <v>358</v>
      </c>
      <c r="AV42" s="14" t="s">
        <v>356</v>
      </c>
      <c r="AW42" s="14" t="s">
        <v>356</v>
      </c>
      <c r="AX42" s="14" t="s">
        <v>358</v>
      </c>
      <c r="AY42" s="14" t="s">
        <v>356</v>
      </c>
      <c r="AZ42" s="14" t="s">
        <v>356</v>
      </c>
      <c r="BA42" s="14" t="s">
        <v>356</v>
      </c>
      <c r="BB42" s="17" t="s">
        <v>562</v>
      </c>
      <c r="BC42" s="17" t="s">
        <v>563</v>
      </c>
      <c r="BD42" s="17" t="s">
        <v>564</v>
      </c>
      <c r="BE42" s="14"/>
      <c r="BF42" s="14"/>
      <c r="BG42" s="14"/>
    </row>
    <row r="43" spans="1:59" ht="128" x14ac:dyDescent="0.15">
      <c r="A43" s="14" t="s">
        <v>362</v>
      </c>
      <c r="B43" s="14" t="s">
        <v>349</v>
      </c>
      <c r="C43" s="14" t="s">
        <v>349</v>
      </c>
      <c r="D43" s="14" t="s">
        <v>349</v>
      </c>
      <c r="E43" s="14" t="s">
        <v>349</v>
      </c>
      <c r="F43" s="14" t="s">
        <v>362</v>
      </c>
      <c r="G43" s="14" t="s">
        <v>348</v>
      </c>
      <c r="H43" s="14" t="s">
        <v>362</v>
      </c>
      <c r="I43" s="14" t="s">
        <v>348</v>
      </c>
      <c r="J43" s="14" t="s">
        <v>349</v>
      </c>
      <c r="K43" s="14" t="s">
        <v>348</v>
      </c>
      <c r="L43" s="14" t="s">
        <v>348</v>
      </c>
      <c r="M43" s="14" t="s">
        <v>363</v>
      </c>
      <c r="N43" s="14" t="s">
        <v>349</v>
      </c>
      <c r="O43" s="14" t="s">
        <v>349</v>
      </c>
      <c r="P43" s="14" t="s">
        <v>349</v>
      </c>
      <c r="Q43" s="14" t="s">
        <v>362</v>
      </c>
      <c r="R43" s="17" t="s">
        <v>565</v>
      </c>
      <c r="S43" s="14" t="s">
        <v>353</v>
      </c>
      <c r="T43" s="14" t="s">
        <v>351</v>
      </c>
      <c r="U43" s="14" t="s">
        <v>352</v>
      </c>
      <c r="V43" s="14" t="s">
        <v>353</v>
      </c>
      <c r="W43" s="14" t="s">
        <v>351</v>
      </c>
      <c r="X43" s="14" t="s">
        <v>351</v>
      </c>
      <c r="Y43" s="14" t="s">
        <v>352</v>
      </c>
      <c r="Z43" s="14" t="s">
        <v>351</v>
      </c>
      <c r="AA43" s="14" t="s">
        <v>353</v>
      </c>
      <c r="AB43" s="14" t="s">
        <v>353</v>
      </c>
      <c r="AC43" s="14" t="s">
        <v>352</v>
      </c>
      <c r="AD43" s="14" t="s">
        <v>351</v>
      </c>
      <c r="AE43" s="14" t="s">
        <v>351</v>
      </c>
      <c r="AF43" s="14" t="s">
        <v>351</v>
      </c>
      <c r="AG43" s="14" t="s">
        <v>353</v>
      </c>
      <c r="AH43" s="14" t="s">
        <v>353</v>
      </c>
      <c r="AI43" s="14" t="s">
        <v>352</v>
      </c>
      <c r="AJ43" s="17" t="s">
        <v>566</v>
      </c>
      <c r="AK43" s="14" t="s">
        <v>367</v>
      </c>
      <c r="AL43" s="14" t="s">
        <v>356</v>
      </c>
      <c r="AM43" s="14" t="s">
        <v>358</v>
      </c>
      <c r="AN43" s="14" t="s">
        <v>358</v>
      </c>
      <c r="AO43" s="14" t="s">
        <v>358</v>
      </c>
      <c r="AP43" s="14" t="s">
        <v>367</v>
      </c>
      <c r="AQ43" s="14" t="s">
        <v>357</v>
      </c>
      <c r="AR43" s="14" t="s">
        <v>366</v>
      </c>
      <c r="AS43" s="14" t="s">
        <v>358</v>
      </c>
      <c r="AT43" s="14" t="s">
        <v>358</v>
      </c>
      <c r="AU43" s="14" t="s">
        <v>358</v>
      </c>
      <c r="AV43" s="14" t="s">
        <v>357</v>
      </c>
      <c r="AW43" s="14" t="s">
        <v>366</v>
      </c>
      <c r="AX43" s="14" t="s">
        <v>357</v>
      </c>
      <c r="AY43" s="14" t="s">
        <v>358</v>
      </c>
      <c r="AZ43" s="14" t="s">
        <v>357</v>
      </c>
      <c r="BA43" s="14" t="s">
        <v>367</v>
      </c>
      <c r="BB43" s="17" t="s">
        <v>567</v>
      </c>
      <c r="BC43" s="17" t="s">
        <v>568</v>
      </c>
      <c r="BD43" s="17" t="s">
        <v>569</v>
      </c>
      <c r="BE43" s="14"/>
      <c r="BF43" s="14"/>
      <c r="BG43" s="14"/>
    </row>
    <row r="44" spans="1:59" ht="304" x14ac:dyDescent="0.15">
      <c r="A44" s="14" t="s">
        <v>348</v>
      </c>
      <c r="B44" s="14" t="s">
        <v>348</v>
      </c>
      <c r="C44" s="14" t="s">
        <v>362</v>
      </c>
      <c r="D44" s="14" t="s">
        <v>349</v>
      </c>
      <c r="E44" s="14" t="s">
        <v>349</v>
      </c>
      <c r="F44" s="14" t="s">
        <v>349</v>
      </c>
      <c r="G44" s="14" t="s">
        <v>348</v>
      </c>
      <c r="H44" s="14" t="s">
        <v>362</v>
      </c>
      <c r="I44" s="14" t="s">
        <v>349</v>
      </c>
      <c r="J44" s="14" t="s">
        <v>348</v>
      </c>
      <c r="K44" s="14" t="s">
        <v>348</v>
      </c>
      <c r="L44" s="14" t="s">
        <v>348</v>
      </c>
      <c r="M44" s="14" t="s">
        <v>362</v>
      </c>
      <c r="N44" s="14" t="s">
        <v>348</v>
      </c>
      <c r="O44" s="14" t="s">
        <v>349</v>
      </c>
      <c r="P44" s="14" t="s">
        <v>348</v>
      </c>
      <c r="Q44" s="14" t="s">
        <v>348</v>
      </c>
      <c r="R44" s="17" t="s">
        <v>570</v>
      </c>
      <c r="S44" s="14" t="s">
        <v>354</v>
      </c>
      <c r="T44" s="14" t="s">
        <v>351</v>
      </c>
      <c r="U44" s="14" t="s">
        <v>351</v>
      </c>
      <c r="V44" s="14" t="s">
        <v>351</v>
      </c>
      <c r="W44" s="14" t="s">
        <v>352</v>
      </c>
      <c r="X44" s="14" t="s">
        <v>353</v>
      </c>
      <c r="Y44" s="14" t="s">
        <v>351</v>
      </c>
      <c r="Z44" s="14" t="s">
        <v>353</v>
      </c>
      <c r="AA44" s="14" t="s">
        <v>353</v>
      </c>
      <c r="AB44" s="14" t="s">
        <v>353</v>
      </c>
      <c r="AC44" s="14" t="s">
        <v>352</v>
      </c>
      <c r="AD44" s="14" t="s">
        <v>353</v>
      </c>
      <c r="AE44" s="14" t="s">
        <v>351</v>
      </c>
      <c r="AF44" s="14" t="s">
        <v>351</v>
      </c>
      <c r="AG44" s="14" t="s">
        <v>352</v>
      </c>
      <c r="AH44" s="14" t="s">
        <v>353</v>
      </c>
      <c r="AI44" s="14" t="s">
        <v>353</v>
      </c>
      <c r="AJ44" s="17" t="s">
        <v>571</v>
      </c>
      <c r="AK44" s="14" t="s">
        <v>358</v>
      </c>
      <c r="AL44" s="14" t="s">
        <v>356</v>
      </c>
      <c r="AM44" s="14" t="s">
        <v>358</v>
      </c>
      <c r="AN44" s="14" t="s">
        <v>358</v>
      </c>
      <c r="AO44" s="14" t="s">
        <v>357</v>
      </c>
      <c r="AP44" s="14" t="s">
        <v>358</v>
      </c>
      <c r="AQ44" s="14" t="s">
        <v>357</v>
      </c>
      <c r="AR44" s="14" t="s">
        <v>358</v>
      </c>
      <c r="AS44" s="14" t="s">
        <v>357</v>
      </c>
      <c r="AT44" s="14" t="s">
        <v>357</v>
      </c>
      <c r="AU44" s="14" t="s">
        <v>358</v>
      </c>
      <c r="AV44" s="14" t="s">
        <v>358</v>
      </c>
      <c r="AW44" s="14" t="s">
        <v>358</v>
      </c>
      <c r="AX44" s="14" t="s">
        <v>357</v>
      </c>
      <c r="AY44" s="14" t="s">
        <v>357</v>
      </c>
      <c r="AZ44" s="14" t="s">
        <v>357</v>
      </c>
      <c r="BA44" s="14" t="s">
        <v>357</v>
      </c>
      <c r="BB44" s="17" t="s">
        <v>572</v>
      </c>
      <c r="BC44" s="17" t="s">
        <v>573</v>
      </c>
      <c r="BD44" s="17" t="s">
        <v>574</v>
      </c>
      <c r="BE44" s="14"/>
      <c r="BF44" s="14"/>
      <c r="BG44" s="14"/>
    </row>
    <row r="45" spans="1:59" ht="256" x14ac:dyDescent="0.15">
      <c r="A45" s="14" t="s">
        <v>348</v>
      </c>
      <c r="B45" s="14" t="s">
        <v>349</v>
      </c>
      <c r="C45" s="14" t="s">
        <v>349</v>
      </c>
      <c r="D45" s="14" t="s">
        <v>348</v>
      </c>
      <c r="E45" s="14" t="s">
        <v>348</v>
      </c>
      <c r="F45" s="14" t="s">
        <v>349</v>
      </c>
      <c r="G45" s="14" t="s">
        <v>349</v>
      </c>
      <c r="H45" s="14" t="s">
        <v>377</v>
      </c>
      <c r="I45" s="14" t="s">
        <v>377</v>
      </c>
      <c r="J45" s="14" t="s">
        <v>349</v>
      </c>
      <c r="K45" s="14" t="s">
        <v>348</v>
      </c>
      <c r="L45" s="14" t="s">
        <v>377</v>
      </c>
      <c r="M45" s="14" t="s">
        <v>377</v>
      </c>
      <c r="N45" s="14" t="s">
        <v>349</v>
      </c>
      <c r="O45" s="14" t="s">
        <v>348</v>
      </c>
      <c r="P45" s="14" t="s">
        <v>348</v>
      </c>
      <c r="Q45" s="14" t="s">
        <v>348</v>
      </c>
      <c r="R45" s="17" t="s">
        <v>575</v>
      </c>
      <c r="S45" s="14" t="s">
        <v>372</v>
      </c>
      <c r="T45" s="14" t="s">
        <v>353</v>
      </c>
      <c r="U45" s="14" t="s">
        <v>354</v>
      </c>
      <c r="V45" s="14" t="s">
        <v>372</v>
      </c>
      <c r="W45" s="14" t="s">
        <v>353</v>
      </c>
      <c r="X45" s="14" t="s">
        <v>353</v>
      </c>
      <c r="Y45" s="14" t="s">
        <v>354</v>
      </c>
      <c r="Z45" s="14" t="s">
        <v>353</v>
      </c>
      <c r="AA45" s="14" t="s">
        <v>372</v>
      </c>
      <c r="AB45" s="14" t="s">
        <v>354</v>
      </c>
      <c r="AC45" s="14" t="s">
        <v>354</v>
      </c>
      <c r="AD45" s="14" t="s">
        <v>353</v>
      </c>
      <c r="AE45" s="14" t="s">
        <v>354</v>
      </c>
      <c r="AF45" s="14" t="s">
        <v>372</v>
      </c>
      <c r="AG45" s="14" t="s">
        <v>353</v>
      </c>
      <c r="AH45" s="14" t="s">
        <v>354</v>
      </c>
      <c r="AI45" s="14" t="s">
        <v>353</v>
      </c>
      <c r="AJ45" s="17" t="s">
        <v>576</v>
      </c>
      <c r="AK45" s="14" t="s">
        <v>358</v>
      </c>
      <c r="AL45" s="14" t="s">
        <v>357</v>
      </c>
      <c r="AM45" s="14" t="s">
        <v>357</v>
      </c>
      <c r="AN45" s="14" t="s">
        <v>358</v>
      </c>
      <c r="AO45" s="14" t="s">
        <v>358</v>
      </c>
      <c r="AP45" s="14" t="s">
        <v>358</v>
      </c>
      <c r="AQ45" s="14" t="s">
        <v>356</v>
      </c>
      <c r="AR45" s="14" t="s">
        <v>358</v>
      </c>
      <c r="AS45" s="14" t="s">
        <v>358</v>
      </c>
      <c r="AT45" s="14" t="s">
        <v>357</v>
      </c>
      <c r="AU45" s="14" t="s">
        <v>358</v>
      </c>
      <c r="AV45" s="14" t="s">
        <v>356</v>
      </c>
      <c r="AW45" s="14" t="s">
        <v>357</v>
      </c>
      <c r="AX45" s="14" t="s">
        <v>356</v>
      </c>
      <c r="AY45" s="14" t="s">
        <v>358</v>
      </c>
      <c r="AZ45" s="14" t="s">
        <v>357</v>
      </c>
      <c r="BA45" s="14" t="s">
        <v>358</v>
      </c>
      <c r="BB45" s="17" t="s">
        <v>577</v>
      </c>
      <c r="BC45" s="17" t="s">
        <v>578</v>
      </c>
      <c r="BD45" s="17" t="s">
        <v>579</v>
      </c>
      <c r="BE45" s="14"/>
      <c r="BF45" s="14"/>
      <c r="BG45" s="14"/>
    </row>
    <row r="46" spans="1:59" ht="160" x14ac:dyDescent="0.15">
      <c r="A46" s="14" t="s">
        <v>349</v>
      </c>
      <c r="B46" s="14" t="s">
        <v>349</v>
      </c>
      <c r="C46" s="14" t="s">
        <v>348</v>
      </c>
      <c r="D46" s="14" t="s">
        <v>349</v>
      </c>
      <c r="E46" s="14" t="s">
        <v>377</v>
      </c>
      <c r="F46" s="14" t="s">
        <v>362</v>
      </c>
      <c r="G46" s="14" t="s">
        <v>349</v>
      </c>
      <c r="H46" s="14" t="s">
        <v>377</v>
      </c>
      <c r="I46" s="14" t="s">
        <v>349</v>
      </c>
      <c r="J46" s="14" t="s">
        <v>349</v>
      </c>
      <c r="K46" s="14" t="s">
        <v>377</v>
      </c>
      <c r="L46" s="14" t="s">
        <v>349</v>
      </c>
      <c r="M46" s="14" t="s">
        <v>362</v>
      </c>
      <c r="N46" s="14" t="s">
        <v>377</v>
      </c>
      <c r="O46" s="14" t="s">
        <v>377</v>
      </c>
      <c r="P46" s="14" t="s">
        <v>377</v>
      </c>
      <c r="Q46" s="14" t="s">
        <v>362</v>
      </c>
      <c r="R46" s="17" t="s">
        <v>580</v>
      </c>
      <c r="S46" s="14" t="s">
        <v>352</v>
      </c>
      <c r="T46" s="14" t="s">
        <v>372</v>
      </c>
      <c r="U46" s="14" t="s">
        <v>372</v>
      </c>
      <c r="V46" s="14" t="s">
        <v>352</v>
      </c>
      <c r="W46" s="14" t="s">
        <v>353</v>
      </c>
      <c r="X46" s="14" t="s">
        <v>351</v>
      </c>
      <c r="Y46" s="14" t="s">
        <v>351</v>
      </c>
      <c r="Z46" s="14" t="s">
        <v>353</v>
      </c>
      <c r="AA46" s="14" t="s">
        <v>353</v>
      </c>
      <c r="AB46" s="14" t="s">
        <v>353</v>
      </c>
      <c r="AC46" s="14" t="s">
        <v>351</v>
      </c>
      <c r="AD46" s="14" t="s">
        <v>353</v>
      </c>
      <c r="AE46" s="14" t="s">
        <v>353</v>
      </c>
      <c r="AF46" s="14" t="s">
        <v>353</v>
      </c>
      <c r="AG46" s="14" t="s">
        <v>353</v>
      </c>
      <c r="AH46" s="14" t="s">
        <v>353</v>
      </c>
      <c r="AI46" s="14" t="s">
        <v>351</v>
      </c>
      <c r="AJ46" s="17" t="s">
        <v>581</v>
      </c>
      <c r="AK46" s="14" t="s">
        <v>358</v>
      </c>
      <c r="AL46" s="14" t="s">
        <v>357</v>
      </c>
      <c r="AM46" s="14" t="s">
        <v>357</v>
      </c>
      <c r="AN46" s="14" t="s">
        <v>357</v>
      </c>
      <c r="AO46" s="14" t="s">
        <v>358</v>
      </c>
      <c r="AP46" s="14" t="s">
        <v>358</v>
      </c>
      <c r="AQ46" s="14" t="s">
        <v>357</v>
      </c>
      <c r="AR46" s="14" t="s">
        <v>367</v>
      </c>
      <c r="AS46" s="14" t="s">
        <v>356</v>
      </c>
      <c r="AT46" s="14" t="s">
        <v>367</v>
      </c>
      <c r="AU46" s="14" t="s">
        <v>366</v>
      </c>
      <c r="AV46" s="14" t="s">
        <v>356</v>
      </c>
      <c r="AW46" s="14" t="s">
        <v>356</v>
      </c>
      <c r="AX46" s="14" t="s">
        <v>358</v>
      </c>
      <c r="AY46" s="14" t="s">
        <v>356</v>
      </c>
      <c r="AZ46" s="14" t="s">
        <v>356</v>
      </c>
      <c r="BA46" s="14" t="s">
        <v>367</v>
      </c>
      <c r="BB46" s="17" t="s">
        <v>582</v>
      </c>
      <c r="BC46" s="17" t="s">
        <v>583</v>
      </c>
      <c r="BD46" s="17" t="s">
        <v>584</v>
      </c>
      <c r="BE46" s="14"/>
      <c r="BF46" s="14"/>
      <c r="BG46" s="14"/>
    </row>
    <row r="47" spans="1:59" ht="409.6" x14ac:dyDescent="0.15">
      <c r="A47" s="14" t="s">
        <v>349</v>
      </c>
      <c r="B47" s="14" t="s">
        <v>349</v>
      </c>
      <c r="C47" s="14" t="s">
        <v>349</v>
      </c>
      <c r="D47" s="14" t="s">
        <v>348</v>
      </c>
      <c r="E47" s="14" t="s">
        <v>349</v>
      </c>
      <c r="F47" s="14" t="s">
        <v>362</v>
      </c>
      <c r="G47" s="14" t="s">
        <v>362</v>
      </c>
      <c r="H47" s="14" t="s">
        <v>349</v>
      </c>
      <c r="I47" s="14" t="s">
        <v>349</v>
      </c>
      <c r="J47" s="14" t="s">
        <v>362</v>
      </c>
      <c r="K47" s="14" t="s">
        <v>349</v>
      </c>
      <c r="L47" s="14" t="s">
        <v>349</v>
      </c>
      <c r="M47" s="14" t="s">
        <v>362</v>
      </c>
      <c r="N47" s="14" t="s">
        <v>362</v>
      </c>
      <c r="O47" s="14" t="s">
        <v>349</v>
      </c>
      <c r="P47" s="14" t="s">
        <v>363</v>
      </c>
      <c r="Q47" s="14" t="s">
        <v>349</v>
      </c>
      <c r="R47" s="17" t="s">
        <v>585</v>
      </c>
      <c r="S47" s="14" t="s">
        <v>351</v>
      </c>
      <c r="T47" s="14" t="s">
        <v>351</v>
      </c>
      <c r="U47" s="14" t="s">
        <v>353</v>
      </c>
      <c r="V47" s="14" t="s">
        <v>351</v>
      </c>
      <c r="W47" s="14" t="s">
        <v>353</v>
      </c>
      <c r="X47" s="14" t="s">
        <v>353</v>
      </c>
      <c r="Y47" s="14" t="s">
        <v>353</v>
      </c>
      <c r="Z47" s="14" t="s">
        <v>351</v>
      </c>
      <c r="AA47" s="14" t="s">
        <v>353</v>
      </c>
      <c r="AB47" s="14" t="s">
        <v>351</v>
      </c>
      <c r="AC47" s="14" t="s">
        <v>353</v>
      </c>
      <c r="AD47" s="14" t="s">
        <v>353</v>
      </c>
      <c r="AE47" s="14" t="s">
        <v>351</v>
      </c>
      <c r="AF47" s="14" t="s">
        <v>351</v>
      </c>
      <c r="AG47" s="14" t="s">
        <v>353</v>
      </c>
      <c r="AH47" s="14" t="s">
        <v>353</v>
      </c>
      <c r="AI47" s="14" t="s">
        <v>351</v>
      </c>
      <c r="AJ47" s="17" t="s">
        <v>586</v>
      </c>
      <c r="AK47" s="14" t="s">
        <v>358</v>
      </c>
      <c r="AL47" s="14" t="s">
        <v>356</v>
      </c>
      <c r="AM47" s="14" t="s">
        <v>358</v>
      </c>
      <c r="AN47" s="14" t="s">
        <v>356</v>
      </c>
      <c r="AO47" s="14" t="s">
        <v>356</v>
      </c>
      <c r="AP47" s="14" t="s">
        <v>358</v>
      </c>
      <c r="AQ47" s="14" t="s">
        <v>356</v>
      </c>
      <c r="AR47" s="14" t="s">
        <v>358</v>
      </c>
      <c r="AS47" s="14" t="s">
        <v>356</v>
      </c>
      <c r="AT47" s="14" t="s">
        <v>356</v>
      </c>
      <c r="AU47" s="14" t="s">
        <v>358</v>
      </c>
      <c r="AV47" s="14" t="s">
        <v>358</v>
      </c>
      <c r="AW47" s="14" t="s">
        <v>356</v>
      </c>
      <c r="AX47" s="14" t="s">
        <v>358</v>
      </c>
      <c r="AY47" s="14" t="s">
        <v>358</v>
      </c>
      <c r="AZ47" s="14" t="s">
        <v>356</v>
      </c>
      <c r="BA47" s="14" t="s">
        <v>356</v>
      </c>
      <c r="BB47" s="17" t="s">
        <v>587</v>
      </c>
      <c r="BC47" s="17" t="s">
        <v>588</v>
      </c>
      <c r="BD47" s="17" t="s">
        <v>589</v>
      </c>
      <c r="BE47" s="14"/>
      <c r="BF47" s="14"/>
      <c r="BG47" s="14"/>
    </row>
    <row r="48" spans="1:59" ht="96" x14ac:dyDescent="0.15">
      <c r="A48" s="14" t="s">
        <v>349</v>
      </c>
      <c r="B48" s="14" t="s">
        <v>349</v>
      </c>
      <c r="C48" s="14" t="s">
        <v>349</v>
      </c>
      <c r="D48" s="14" t="s">
        <v>349</v>
      </c>
      <c r="E48" s="14" t="s">
        <v>349</v>
      </c>
      <c r="F48" s="14" t="s">
        <v>349</v>
      </c>
      <c r="G48" s="14" t="s">
        <v>362</v>
      </c>
      <c r="H48" s="14" t="s">
        <v>362</v>
      </c>
      <c r="I48" s="14" t="s">
        <v>349</v>
      </c>
      <c r="J48" s="14" t="s">
        <v>348</v>
      </c>
      <c r="K48" s="14" t="s">
        <v>349</v>
      </c>
      <c r="L48" s="14" t="s">
        <v>349</v>
      </c>
      <c r="M48" s="14" t="s">
        <v>349</v>
      </c>
      <c r="N48" s="14" t="s">
        <v>349</v>
      </c>
      <c r="O48" s="14" t="s">
        <v>349</v>
      </c>
      <c r="P48" s="14" t="s">
        <v>349</v>
      </c>
      <c r="Q48" s="14" t="s">
        <v>349</v>
      </c>
      <c r="R48" s="17" t="s">
        <v>590</v>
      </c>
      <c r="S48" s="14" t="s">
        <v>351</v>
      </c>
      <c r="T48" s="14" t="s">
        <v>353</v>
      </c>
      <c r="U48" s="14" t="s">
        <v>351</v>
      </c>
      <c r="V48" s="14" t="s">
        <v>351</v>
      </c>
      <c r="W48" s="14" t="s">
        <v>353</v>
      </c>
      <c r="X48" s="14" t="s">
        <v>353</v>
      </c>
      <c r="Y48" s="14" t="s">
        <v>351</v>
      </c>
      <c r="Z48" s="14" t="s">
        <v>353</v>
      </c>
      <c r="AA48" s="14" t="s">
        <v>353</v>
      </c>
      <c r="AB48" s="14" t="s">
        <v>353</v>
      </c>
      <c r="AC48" s="14" t="s">
        <v>351</v>
      </c>
      <c r="AD48" s="14" t="s">
        <v>353</v>
      </c>
      <c r="AE48" s="14" t="s">
        <v>353</v>
      </c>
      <c r="AF48" s="14" t="s">
        <v>351</v>
      </c>
      <c r="AG48" s="14" t="s">
        <v>351</v>
      </c>
      <c r="AH48" s="14" t="s">
        <v>351</v>
      </c>
      <c r="AI48" s="14" t="s">
        <v>351</v>
      </c>
      <c r="AJ48" s="17" t="s">
        <v>591</v>
      </c>
      <c r="AK48" s="14" t="s">
        <v>357</v>
      </c>
      <c r="AL48" s="14" t="s">
        <v>356</v>
      </c>
      <c r="AM48" s="14" t="s">
        <v>356</v>
      </c>
      <c r="AN48" s="14" t="s">
        <v>358</v>
      </c>
      <c r="AO48" s="14" t="s">
        <v>357</v>
      </c>
      <c r="AP48" s="14" t="s">
        <v>358</v>
      </c>
      <c r="AQ48" s="14" t="s">
        <v>357</v>
      </c>
      <c r="AR48" s="14" t="s">
        <v>356</v>
      </c>
      <c r="AS48" s="14" t="s">
        <v>358</v>
      </c>
      <c r="AT48" s="14" t="s">
        <v>358</v>
      </c>
      <c r="AU48" s="14" t="s">
        <v>358</v>
      </c>
      <c r="AV48" s="14" t="s">
        <v>358</v>
      </c>
      <c r="AW48" s="14" t="s">
        <v>358</v>
      </c>
      <c r="AX48" s="14" t="s">
        <v>358</v>
      </c>
      <c r="AY48" s="14" t="s">
        <v>356</v>
      </c>
      <c r="AZ48" s="14" t="s">
        <v>356</v>
      </c>
      <c r="BA48" s="14" t="s">
        <v>358</v>
      </c>
      <c r="BB48" s="17" t="s">
        <v>592</v>
      </c>
      <c r="BC48" s="17" t="s">
        <v>593</v>
      </c>
      <c r="BD48" s="17" t="s">
        <v>594</v>
      </c>
      <c r="BE48" s="14"/>
      <c r="BF48" s="14"/>
      <c r="BG48" s="14"/>
    </row>
    <row r="49" spans="1:59" ht="304" x14ac:dyDescent="0.15">
      <c r="A49" s="14" t="s">
        <v>377</v>
      </c>
      <c r="B49" s="14" t="s">
        <v>362</v>
      </c>
      <c r="C49" s="14" t="s">
        <v>377</v>
      </c>
      <c r="D49" s="14" t="s">
        <v>362</v>
      </c>
      <c r="E49" s="14" t="s">
        <v>377</v>
      </c>
      <c r="F49" s="14" t="s">
        <v>362</v>
      </c>
      <c r="G49" s="14" t="s">
        <v>349</v>
      </c>
      <c r="H49" s="14" t="s">
        <v>377</v>
      </c>
      <c r="I49" s="14" t="s">
        <v>362</v>
      </c>
      <c r="J49" s="14" t="s">
        <v>362</v>
      </c>
      <c r="K49" s="14" t="s">
        <v>377</v>
      </c>
      <c r="L49" s="14" t="s">
        <v>362</v>
      </c>
      <c r="M49" s="14" t="s">
        <v>362</v>
      </c>
      <c r="N49" s="14" t="s">
        <v>377</v>
      </c>
      <c r="O49" s="14" t="s">
        <v>377</v>
      </c>
      <c r="P49" s="14" t="s">
        <v>362</v>
      </c>
      <c r="Q49" s="14" t="s">
        <v>362</v>
      </c>
      <c r="R49" s="17" t="s">
        <v>595</v>
      </c>
      <c r="S49" s="14" t="s">
        <v>351</v>
      </c>
      <c r="T49" s="14" t="s">
        <v>372</v>
      </c>
      <c r="U49" s="14" t="s">
        <v>351</v>
      </c>
      <c r="V49" s="14" t="s">
        <v>352</v>
      </c>
      <c r="W49" s="14" t="s">
        <v>352</v>
      </c>
      <c r="X49" s="14" t="s">
        <v>372</v>
      </c>
      <c r="Y49" s="14" t="s">
        <v>352</v>
      </c>
      <c r="Z49" s="14" t="s">
        <v>351</v>
      </c>
      <c r="AA49" s="14" t="s">
        <v>372</v>
      </c>
      <c r="AB49" s="14" t="s">
        <v>351</v>
      </c>
      <c r="AC49" s="14" t="s">
        <v>372</v>
      </c>
      <c r="AD49" s="14" t="s">
        <v>372</v>
      </c>
      <c r="AE49" s="14" t="s">
        <v>372</v>
      </c>
      <c r="AF49" s="14" t="s">
        <v>351</v>
      </c>
      <c r="AG49" s="14" t="s">
        <v>372</v>
      </c>
      <c r="AH49" s="14" t="s">
        <v>353</v>
      </c>
      <c r="AI49" s="14" t="s">
        <v>351</v>
      </c>
      <c r="AJ49" s="17" t="s">
        <v>596</v>
      </c>
      <c r="AK49" s="14" t="s">
        <v>357</v>
      </c>
      <c r="AL49" s="14" t="s">
        <v>357</v>
      </c>
      <c r="AM49" s="14" t="s">
        <v>367</v>
      </c>
      <c r="AN49" s="14" t="s">
        <v>366</v>
      </c>
      <c r="AO49" s="14" t="s">
        <v>357</v>
      </c>
      <c r="AP49" s="14" t="s">
        <v>367</v>
      </c>
      <c r="AQ49" s="14" t="s">
        <v>367</v>
      </c>
      <c r="AR49" s="14" t="s">
        <v>367</v>
      </c>
      <c r="AS49" s="14" t="s">
        <v>357</v>
      </c>
      <c r="AT49" s="14" t="s">
        <v>358</v>
      </c>
      <c r="AU49" s="14" t="s">
        <v>357</v>
      </c>
      <c r="AV49" s="14" t="s">
        <v>357</v>
      </c>
      <c r="AW49" s="14" t="s">
        <v>357</v>
      </c>
      <c r="AX49" s="14" t="s">
        <v>357</v>
      </c>
      <c r="AY49" s="14" t="s">
        <v>357</v>
      </c>
      <c r="AZ49" s="14" t="s">
        <v>357</v>
      </c>
      <c r="BA49" s="14" t="s">
        <v>357</v>
      </c>
      <c r="BB49" s="17" t="s">
        <v>597</v>
      </c>
      <c r="BC49" s="17" t="s">
        <v>598</v>
      </c>
      <c r="BD49" s="17" t="s">
        <v>599</v>
      </c>
      <c r="BE49" s="14"/>
      <c r="BF49" s="14"/>
      <c r="BG49" s="14"/>
    </row>
    <row r="50" spans="1:59" ht="304" x14ac:dyDescent="0.15">
      <c r="A50" s="14" t="s">
        <v>349</v>
      </c>
      <c r="B50" s="14" t="s">
        <v>349</v>
      </c>
      <c r="C50" s="14" t="s">
        <v>377</v>
      </c>
      <c r="D50" s="14" t="s">
        <v>349</v>
      </c>
      <c r="E50" s="14" t="s">
        <v>349</v>
      </c>
      <c r="F50" s="14" t="s">
        <v>349</v>
      </c>
      <c r="G50" s="14" t="s">
        <v>349</v>
      </c>
      <c r="H50" s="14" t="s">
        <v>349</v>
      </c>
      <c r="I50" s="14" t="s">
        <v>349</v>
      </c>
      <c r="J50" s="14" t="s">
        <v>348</v>
      </c>
      <c r="K50" s="14" t="s">
        <v>348</v>
      </c>
      <c r="L50" s="14" t="s">
        <v>348</v>
      </c>
      <c r="M50" s="14" t="s">
        <v>349</v>
      </c>
      <c r="N50" s="14" t="s">
        <v>349</v>
      </c>
      <c r="O50" s="14" t="s">
        <v>349</v>
      </c>
      <c r="P50" s="14" t="s">
        <v>349</v>
      </c>
      <c r="Q50" s="14" t="s">
        <v>348</v>
      </c>
      <c r="R50" s="17" t="s">
        <v>600</v>
      </c>
      <c r="S50" s="14" t="s">
        <v>352</v>
      </c>
      <c r="T50" s="14" t="s">
        <v>372</v>
      </c>
      <c r="U50" s="14" t="s">
        <v>352</v>
      </c>
      <c r="V50" s="14" t="s">
        <v>351</v>
      </c>
      <c r="W50" s="14" t="s">
        <v>353</v>
      </c>
      <c r="X50" s="14" t="s">
        <v>351</v>
      </c>
      <c r="Y50" s="14" t="s">
        <v>352</v>
      </c>
      <c r="Z50" s="14" t="s">
        <v>353</v>
      </c>
      <c r="AA50" s="14" t="s">
        <v>353</v>
      </c>
      <c r="AB50" s="14" t="s">
        <v>353</v>
      </c>
      <c r="AC50" s="14" t="s">
        <v>372</v>
      </c>
      <c r="AD50" s="14" t="s">
        <v>352</v>
      </c>
      <c r="AE50" s="14" t="s">
        <v>351</v>
      </c>
      <c r="AF50" s="14" t="s">
        <v>351</v>
      </c>
      <c r="AG50" s="14" t="s">
        <v>352</v>
      </c>
      <c r="AH50" s="14" t="s">
        <v>352</v>
      </c>
      <c r="AI50" s="14" t="s">
        <v>352</v>
      </c>
      <c r="AJ50" s="17" t="s">
        <v>601</v>
      </c>
      <c r="AK50" s="14" t="s">
        <v>356</v>
      </c>
      <c r="AL50" s="14" t="s">
        <v>358</v>
      </c>
      <c r="AM50" s="14" t="s">
        <v>358</v>
      </c>
      <c r="AN50" s="14" t="s">
        <v>356</v>
      </c>
      <c r="AO50" s="14" t="s">
        <v>358</v>
      </c>
      <c r="AP50" s="14" t="s">
        <v>358</v>
      </c>
      <c r="AQ50" s="14" t="s">
        <v>357</v>
      </c>
      <c r="AR50" s="14" t="s">
        <v>358</v>
      </c>
      <c r="AS50" s="14" t="s">
        <v>357</v>
      </c>
      <c r="AT50" s="14" t="s">
        <v>357</v>
      </c>
      <c r="AU50" s="14" t="s">
        <v>358</v>
      </c>
      <c r="AV50" s="14" t="s">
        <v>356</v>
      </c>
      <c r="AW50" s="14" t="s">
        <v>358</v>
      </c>
      <c r="AX50" s="14" t="s">
        <v>358</v>
      </c>
      <c r="AY50" s="14" t="s">
        <v>358</v>
      </c>
      <c r="AZ50" s="14" t="s">
        <v>366</v>
      </c>
      <c r="BA50" s="14" t="s">
        <v>358</v>
      </c>
      <c r="BB50" s="17" t="s">
        <v>602</v>
      </c>
      <c r="BC50" s="17" t="s">
        <v>603</v>
      </c>
      <c r="BD50" s="17" t="s">
        <v>604</v>
      </c>
      <c r="BE50" s="14"/>
      <c r="BF50" s="14"/>
      <c r="BG50" s="14"/>
    </row>
    <row r="51" spans="1:59" ht="192" x14ac:dyDescent="0.15">
      <c r="A51" s="14" t="s">
        <v>348</v>
      </c>
      <c r="B51" s="14" t="s">
        <v>349</v>
      </c>
      <c r="C51" s="14" t="s">
        <v>349</v>
      </c>
      <c r="D51" s="14" t="s">
        <v>348</v>
      </c>
      <c r="E51" s="14" t="s">
        <v>362</v>
      </c>
      <c r="F51" s="14" t="s">
        <v>349</v>
      </c>
      <c r="G51" s="14" t="s">
        <v>362</v>
      </c>
      <c r="H51" s="14" t="s">
        <v>362</v>
      </c>
      <c r="I51" s="14" t="s">
        <v>349</v>
      </c>
      <c r="J51" s="14" t="s">
        <v>348</v>
      </c>
      <c r="K51" s="14" t="s">
        <v>362</v>
      </c>
      <c r="L51" s="14" t="s">
        <v>362</v>
      </c>
      <c r="M51" s="14" t="s">
        <v>362</v>
      </c>
      <c r="N51" s="14" t="s">
        <v>348</v>
      </c>
      <c r="O51" s="14" t="s">
        <v>362</v>
      </c>
      <c r="P51" s="14" t="s">
        <v>362</v>
      </c>
      <c r="Q51" s="14" t="s">
        <v>362</v>
      </c>
      <c r="R51" s="17" t="s">
        <v>605</v>
      </c>
      <c r="S51" s="14" t="s">
        <v>351</v>
      </c>
      <c r="T51" s="14" t="s">
        <v>351</v>
      </c>
      <c r="U51" s="14" t="s">
        <v>351</v>
      </c>
      <c r="V51" s="14" t="s">
        <v>351</v>
      </c>
      <c r="W51" s="14" t="s">
        <v>351</v>
      </c>
      <c r="X51" s="14" t="s">
        <v>352</v>
      </c>
      <c r="Y51" s="14" t="s">
        <v>351</v>
      </c>
      <c r="Z51" s="14" t="s">
        <v>351</v>
      </c>
      <c r="AA51" s="14" t="s">
        <v>351</v>
      </c>
      <c r="AB51" s="14" t="s">
        <v>353</v>
      </c>
      <c r="AC51" s="14" t="s">
        <v>353</v>
      </c>
      <c r="AD51" s="14" t="s">
        <v>352</v>
      </c>
      <c r="AE51" s="14" t="s">
        <v>351</v>
      </c>
      <c r="AF51" s="14" t="s">
        <v>351</v>
      </c>
      <c r="AG51" s="14" t="s">
        <v>352</v>
      </c>
      <c r="AH51" s="14" t="s">
        <v>352</v>
      </c>
      <c r="AI51" s="14" t="s">
        <v>351</v>
      </c>
      <c r="AJ51" s="17" t="s">
        <v>606</v>
      </c>
      <c r="AK51" s="14" t="s">
        <v>356</v>
      </c>
      <c r="AL51" s="14" t="s">
        <v>356</v>
      </c>
      <c r="AM51" s="14" t="s">
        <v>356</v>
      </c>
      <c r="AN51" s="14" t="s">
        <v>356</v>
      </c>
      <c r="AO51" s="14" t="s">
        <v>356</v>
      </c>
      <c r="AP51" s="14" t="s">
        <v>367</v>
      </c>
      <c r="AQ51" s="14" t="s">
        <v>356</v>
      </c>
      <c r="AR51" s="14" t="s">
        <v>356</v>
      </c>
      <c r="AS51" s="14" t="s">
        <v>356</v>
      </c>
      <c r="AT51" s="14" t="s">
        <v>356</v>
      </c>
      <c r="AU51" s="14" t="s">
        <v>367</v>
      </c>
      <c r="AV51" s="14" t="s">
        <v>356</v>
      </c>
      <c r="AW51" s="14" t="s">
        <v>356</v>
      </c>
      <c r="AX51" s="14" t="s">
        <v>356</v>
      </c>
      <c r="AY51" s="14" t="s">
        <v>366</v>
      </c>
      <c r="AZ51" s="14" t="s">
        <v>366</v>
      </c>
      <c r="BA51" s="14" t="s">
        <v>356</v>
      </c>
      <c r="BB51" s="17" t="s">
        <v>607</v>
      </c>
      <c r="BC51" s="17" t="s">
        <v>608</v>
      </c>
      <c r="BD51" s="17" t="s">
        <v>609</v>
      </c>
      <c r="BE51" s="14"/>
      <c r="BF51" s="14"/>
      <c r="BG51" s="14"/>
    </row>
    <row r="52" spans="1:59" ht="144" x14ac:dyDescent="0.15">
      <c r="A52" s="14" t="s">
        <v>362</v>
      </c>
      <c r="B52" s="14" t="s">
        <v>363</v>
      </c>
      <c r="C52" s="14" t="s">
        <v>362</v>
      </c>
      <c r="D52" s="14" t="s">
        <v>362</v>
      </c>
      <c r="E52" s="14" t="s">
        <v>363</v>
      </c>
      <c r="F52" s="14" t="s">
        <v>349</v>
      </c>
      <c r="G52" s="14" t="s">
        <v>363</v>
      </c>
      <c r="H52" s="14" t="s">
        <v>362</v>
      </c>
      <c r="I52" s="14" t="s">
        <v>362</v>
      </c>
      <c r="J52" s="14" t="s">
        <v>363</v>
      </c>
      <c r="K52" s="14" t="s">
        <v>363</v>
      </c>
      <c r="L52" s="14" t="s">
        <v>362</v>
      </c>
      <c r="M52" s="14" t="s">
        <v>362</v>
      </c>
      <c r="N52" s="14" t="s">
        <v>363</v>
      </c>
      <c r="O52" s="14" t="s">
        <v>362</v>
      </c>
      <c r="P52" s="14" t="s">
        <v>362</v>
      </c>
      <c r="Q52" s="14" t="s">
        <v>377</v>
      </c>
      <c r="R52" s="17" t="s">
        <v>610</v>
      </c>
      <c r="S52" s="14" t="s">
        <v>352</v>
      </c>
      <c r="T52" s="14" t="s">
        <v>372</v>
      </c>
      <c r="U52" s="14" t="s">
        <v>352</v>
      </c>
      <c r="V52" s="14" t="s">
        <v>353</v>
      </c>
      <c r="W52" s="14" t="s">
        <v>351</v>
      </c>
      <c r="X52" s="14" t="s">
        <v>351</v>
      </c>
      <c r="Y52" s="14" t="s">
        <v>353</v>
      </c>
      <c r="Z52" s="14" t="s">
        <v>351</v>
      </c>
      <c r="AA52" s="14" t="s">
        <v>353</v>
      </c>
      <c r="AB52" s="14" t="s">
        <v>354</v>
      </c>
      <c r="AC52" s="14" t="s">
        <v>351</v>
      </c>
      <c r="AD52" s="14" t="s">
        <v>351</v>
      </c>
      <c r="AE52" s="14" t="s">
        <v>353</v>
      </c>
      <c r="AF52" s="14" t="s">
        <v>351</v>
      </c>
      <c r="AG52" s="14" t="s">
        <v>353</v>
      </c>
      <c r="AH52" s="14" t="s">
        <v>353</v>
      </c>
      <c r="AI52" s="14" t="s">
        <v>351</v>
      </c>
      <c r="AJ52" s="17" t="s">
        <v>611</v>
      </c>
      <c r="AK52" s="14" t="s">
        <v>358</v>
      </c>
      <c r="AL52" s="14" t="s">
        <v>357</v>
      </c>
      <c r="AM52" s="14" t="s">
        <v>356</v>
      </c>
      <c r="AN52" s="14" t="s">
        <v>356</v>
      </c>
      <c r="AO52" s="14" t="s">
        <v>357</v>
      </c>
      <c r="AP52" s="14" t="s">
        <v>367</v>
      </c>
      <c r="AQ52" s="14" t="s">
        <v>358</v>
      </c>
      <c r="AR52" s="14" t="s">
        <v>367</v>
      </c>
      <c r="AS52" s="14" t="s">
        <v>367</v>
      </c>
      <c r="AT52" s="14" t="s">
        <v>358</v>
      </c>
      <c r="AU52" s="14" t="s">
        <v>367</v>
      </c>
      <c r="AV52" s="14" t="s">
        <v>367</v>
      </c>
      <c r="AW52" s="14" t="s">
        <v>356</v>
      </c>
      <c r="AX52" s="14" t="s">
        <v>358</v>
      </c>
      <c r="AY52" s="14" t="s">
        <v>358</v>
      </c>
      <c r="AZ52" s="14" t="s">
        <v>357</v>
      </c>
      <c r="BA52" s="14" t="s">
        <v>358</v>
      </c>
      <c r="BB52" s="17" t="s">
        <v>612</v>
      </c>
      <c r="BC52" s="17" t="s">
        <v>613</v>
      </c>
      <c r="BD52" s="17" t="s">
        <v>614</v>
      </c>
      <c r="BE52" s="14"/>
      <c r="BF52" s="14"/>
      <c r="BG52" s="14"/>
    </row>
    <row r="53" spans="1:59" ht="409.6" x14ac:dyDescent="0.15">
      <c r="A53" s="14" t="s">
        <v>349</v>
      </c>
      <c r="B53" s="14" t="s">
        <v>377</v>
      </c>
      <c r="C53" s="14" t="s">
        <v>349</v>
      </c>
      <c r="D53" s="14" t="s">
        <v>348</v>
      </c>
      <c r="E53" s="14" t="s">
        <v>349</v>
      </c>
      <c r="F53" s="14" t="s">
        <v>377</v>
      </c>
      <c r="G53" s="14" t="s">
        <v>349</v>
      </c>
      <c r="H53" s="14" t="s">
        <v>377</v>
      </c>
      <c r="I53" s="14" t="s">
        <v>362</v>
      </c>
      <c r="J53" s="14" t="s">
        <v>348</v>
      </c>
      <c r="K53" s="14" t="s">
        <v>377</v>
      </c>
      <c r="L53" s="14" t="s">
        <v>349</v>
      </c>
      <c r="M53" s="14" t="s">
        <v>349</v>
      </c>
      <c r="N53" s="14" t="s">
        <v>363</v>
      </c>
      <c r="O53" s="14" t="s">
        <v>363</v>
      </c>
      <c r="P53" s="14" t="s">
        <v>377</v>
      </c>
      <c r="Q53" s="14" t="s">
        <v>362</v>
      </c>
      <c r="R53" s="17" t="s">
        <v>615</v>
      </c>
      <c r="S53" s="14" t="s">
        <v>351</v>
      </c>
      <c r="T53" s="14" t="s">
        <v>352</v>
      </c>
      <c r="U53" s="14" t="s">
        <v>352</v>
      </c>
      <c r="V53" s="14" t="s">
        <v>351</v>
      </c>
      <c r="W53" s="14" t="s">
        <v>353</v>
      </c>
      <c r="X53" s="14" t="s">
        <v>354</v>
      </c>
      <c r="Y53" s="14" t="s">
        <v>352</v>
      </c>
      <c r="Z53" s="14" t="s">
        <v>353</v>
      </c>
      <c r="AA53" s="14" t="s">
        <v>353</v>
      </c>
      <c r="AB53" s="14" t="s">
        <v>351</v>
      </c>
      <c r="AC53" s="14" t="s">
        <v>353</v>
      </c>
      <c r="AD53" s="14" t="s">
        <v>351</v>
      </c>
      <c r="AE53" s="14" t="s">
        <v>372</v>
      </c>
      <c r="AF53" s="14" t="s">
        <v>353</v>
      </c>
      <c r="AG53" s="14" t="s">
        <v>399</v>
      </c>
      <c r="AH53" s="14" t="s">
        <v>352</v>
      </c>
      <c r="AI53" s="14" t="s">
        <v>351</v>
      </c>
      <c r="AJ53" s="17" t="s">
        <v>616</v>
      </c>
      <c r="AK53" s="14" t="s">
        <v>367</v>
      </c>
      <c r="AL53" s="14" t="s">
        <v>358</v>
      </c>
      <c r="AM53" s="14" t="s">
        <v>358</v>
      </c>
      <c r="AN53" s="14" t="s">
        <v>358</v>
      </c>
      <c r="AO53" s="14" t="s">
        <v>367</v>
      </c>
      <c r="AP53" s="14" t="s">
        <v>401</v>
      </c>
      <c r="AQ53" s="14" t="s">
        <v>357</v>
      </c>
      <c r="AR53" s="14" t="s">
        <v>366</v>
      </c>
      <c r="AS53" s="14" t="s">
        <v>358</v>
      </c>
      <c r="AT53" s="14" t="s">
        <v>357</v>
      </c>
      <c r="AU53" s="14" t="s">
        <v>357</v>
      </c>
      <c r="AV53" s="14" t="s">
        <v>367</v>
      </c>
      <c r="AW53" s="14" t="s">
        <v>401</v>
      </c>
      <c r="AX53" s="14" t="s">
        <v>356</v>
      </c>
      <c r="AY53" s="14" t="s">
        <v>367</v>
      </c>
      <c r="AZ53" s="14" t="s">
        <v>358</v>
      </c>
      <c r="BA53" s="14" t="s">
        <v>356</v>
      </c>
      <c r="BB53" s="17" t="s">
        <v>617</v>
      </c>
      <c r="BC53" s="17" t="s">
        <v>618</v>
      </c>
      <c r="BD53" s="17" t="s">
        <v>619</v>
      </c>
      <c r="BE53" s="14"/>
      <c r="BF53" s="14"/>
      <c r="BG53" s="14"/>
    </row>
    <row r="54" spans="1:59" ht="80" x14ac:dyDescent="0.15">
      <c r="A54" s="14" t="s">
        <v>349</v>
      </c>
      <c r="B54" s="14" t="s">
        <v>363</v>
      </c>
      <c r="C54" s="14" t="s">
        <v>362</v>
      </c>
      <c r="D54" s="14" t="s">
        <v>349</v>
      </c>
      <c r="E54" s="14" t="s">
        <v>348</v>
      </c>
      <c r="F54" s="14" t="s">
        <v>349</v>
      </c>
      <c r="G54" s="14" t="s">
        <v>362</v>
      </c>
      <c r="H54" s="14" t="s">
        <v>349</v>
      </c>
      <c r="I54" s="14" t="s">
        <v>349</v>
      </c>
      <c r="J54" s="14" t="s">
        <v>363</v>
      </c>
      <c r="K54" s="14" t="s">
        <v>348</v>
      </c>
      <c r="L54" s="14" t="s">
        <v>348</v>
      </c>
      <c r="M54" s="14" t="s">
        <v>349</v>
      </c>
      <c r="N54" s="14" t="s">
        <v>348</v>
      </c>
      <c r="O54" s="14" t="s">
        <v>348</v>
      </c>
      <c r="P54" s="14" t="s">
        <v>377</v>
      </c>
      <c r="Q54" s="14" t="s">
        <v>349</v>
      </c>
      <c r="R54" s="17" t="s">
        <v>620</v>
      </c>
      <c r="S54" s="14" t="s">
        <v>354</v>
      </c>
      <c r="T54" s="14" t="s">
        <v>353</v>
      </c>
      <c r="U54" s="14" t="s">
        <v>351</v>
      </c>
      <c r="V54" s="14" t="s">
        <v>354</v>
      </c>
      <c r="W54" s="14" t="s">
        <v>372</v>
      </c>
      <c r="X54" s="14" t="s">
        <v>353</v>
      </c>
      <c r="Y54" s="14" t="s">
        <v>354</v>
      </c>
      <c r="Z54" s="14" t="s">
        <v>372</v>
      </c>
      <c r="AA54" s="14" t="s">
        <v>353</v>
      </c>
      <c r="AB54" s="14" t="s">
        <v>351</v>
      </c>
      <c r="AC54" s="14" t="s">
        <v>372</v>
      </c>
      <c r="AD54" s="14" t="s">
        <v>353</v>
      </c>
      <c r="AE54" s="14" t="s">
        <v>351</v>
      </c>
      <c r="AF54" s="14" t="s">
        <v>351</v>
      </c>
      <c r="AG54" s="14" t="s">
        <v>352</v>
      </c>
      <c r="AH54" s="14" t="s">
        <v>372</v>
      </c>
      <c r="AI54" s="14" t="s">
        <v>354</v>
      </c>
      <c r="AJ54" s="17" t="s">
        <v>621</v>
      </c>
      <c r="AK54" s="14" t="s">
        <v>358</v>
      </c>
      <c r="AL54" s="14" t="s">
        <v>357</v>
      </c>
      <c r="AM54" s="14" t="s">
        <v>367</v>
      </c>
      <c r="AN54" s="14" t="s">
        <v>357</v>
      </c>
      <c r="AO54" s="14" t="s">
        <v>367</v>
      </c>
      <c r="AP54" s="14" t="s">
        <v>357</v>
      </c>
      <c r="AQ54" s="14" t="s">
        <v>358</v>
      </c>
      <c r="AR54" s="14" t="s">
        <v>358</v>
      </c>
      <c r="AS54" s="14" t="s">
        <v>357</v>
      </c>
      <c r="AT54" s="14" t="s">
        <v>357</v>
      </c>
      <c r="AU54" s="14" t="s">
        <v>367</v>
      </c>
      <c r="AV54" s="14" t="s">
        <v>356</v>
      </c>
      <c r="AW54" s="14" t="s">
        <v>357</v>
      </c>
      <c r="AX54" s="14" t="s">
        <v>358</v>
      </c>
      <c r="AY54" s="14" t="s">
        <v>356</v>
      </c>
      <c r="AZ54" s="14" t="s">
        <v>367</v>
      </c>
      <c r="BA54" s="14" t="s">
        <v>358</v>
      </c>
      <c r="BB54" s="17" t="s">
        <v>622</v>
      </c>
      <c r="BC54" s="17" t="s">
        <v>623</v>
      </c>
      <c r="BD54" s="17" t="s">
        <v>624</v>
      </c>
      <c r="BE54" s="14"/>
      <c r="BF54" s="14"/>
      <c r="BG54" s="14"/>
    </row>
    <row r="55" spans="1:59" ht="64" x14ac:dyDescent="0.15">
      <c r="A55" s="14" t="s">
        <v>349</v>
      </c>
      <c r="B55" s="14" t="s">
        <v>348</v>
      </c>
      <c r="C55" s="14" t="s">
        <v>349</v>
      </c>
      <c r="D55" s="14" t="s">
        <v>377</v>
      </c>
      <c r="E55" s="14" t="s">
        <v>349</v>
      </c>
      <c r="F55" s="14" t="s">
        <v>349</v>
      </c>
      <c r="G55" s="14" t="s">
        <v>349</v>
      </c>
      <c r="H55" s="14" t="s">
        <v>377</v>
      </c>
      <c r="I55" s="14" t="s">
        <v>377</v>
      </c>
      <c r="J55" s="14" t="s">
        <v>349</v>
      </c>
      <c r="K55" s="14" t="s">
        <v>377</v>
      </c>
      <c r="L55" s="14" t="s">
        <v>362</v>
      </c>
      <c r="M55" s="14" t="s">
        <v>362</v>
      </c>
      <c r="N55" s="14" t="s">
        <v>362</v>
      </c>
      <c r="O55" s="14" t="s">
        <v>362</v>
      </c>
      <c r="P55" s="14" t="s">
        <v>363</v>
      </c>
      <c r="Q55" s="14" t="s">
        <v>362</v>
      </c>
      <c r="R55" s="17" t="s">
        <v>625</v>
      </c>
      <c r="S55" s="14" t="s">
        <v>372</v>
      </c>
      <c r="T55" s="14" t="s">
        <v>372</v>
      </c>
      <c r="U55" s="14" t="s">
        <v>372</v>
      </c>
      <c r="V55" s="14" t="s">
        <v>372</v>
      </c>
      <c r="W55" s="14" t="s">
        <v>353</v>
      </c>
      <c r="X55" s="14" t="s">
        <v>372</v>
      </c>
      <c r="Y55" s="14" t="s">
        <v>353</v>
      </c>
      <c r="Z55" s="14" t="s">
        <v>372</v>
      </c>
      <c r="AA55" s="14" t="s">
        <v>372</v>
      </c>
      <c r="AB55" s="14" t="s">
        <v>353</v>
      </c>
      <c r="AC55" s="14" t="s">
        <v>353</v>
      </c>
      <c r="AD55" s="14" t="s">
        <v>353</v>
      </c>
      <c r="AE55" s="14" t="s">
        <v>353</v>
      </c>
      <c r="AF55" s="14" t="s">
        <v>353</v>
      </c>
      <c r="AG55" s="14" t="s">
        <v>372</v>
      </c>
      <c r="AH55" s="14" t="s">
        <v>353</v>
      </c>
      <c r="AI55" s="14" t="s">
        <v>372</v>
      </c>
      <c r="AJ55" s="17" t="s">
        <v>626</v>
      </c>
      <c r="AK55" s="14" t="s">
        <v>356</v>
      </c>
      <c r="AL55" s="14" t="s">
        <v>356</v>
      </c>
      <c r="AM55" s="14" t="s">
        <v>358</v>
      </c>
      <c r="AN55" s="14" t="s">
        <v>367</v>
      </c>
      <c r="AO55" s="14" t="s">
        <v>356</v>
      </c>
      <c r="AP55" s="14" t="s">
        <v>356</v>
      </c>
      <c r="AQ55" s="14" t="s">
        <v>358</v>
      </c>
      <c r="AR55" s="14" t="s">
        <v>367</v>
      </c>
      <c r="AS55" s="14" t="s">
        <v>367</v>
      </c>
      <c r="AT55" s="14" t="s">
        <v>358</v>
      </c>
      <c r="AU55" s="14" t="s">
        <v>358</v>
      </c>
      <c r="AV55" s="14" t="s">
        <v>358</v>
      </c>
      <c r="AW55" s="14" t="s">
        <v>356</v>
      </c>
      <c r="AX55" s="14" t="s">
        <v>356</v>
      </c>
      <c r="AY55" s="14" t="s">
        <v>367</v>
      </c>
      <c r="AZ55" s="14" t="s">
        <v>358</v>
      </c>
      <c r="BA55" s="14" t="s">
        <v>367</v>
      </c>
      <c r="BB55" s="17" t="s">
        <v>627</v>
      </c>
      <c r="BC55" s="17" t="s">
        <v>628</v>
      </c>
      <c r="BD55" s="17" t="s">
        <v>629</v>
      </c>
      <c r="BE55" s="14"/>
      <c r="BF55" s="14"/>
      <c r="BG55" s="14"/>
    </row>
    <row r="56" spans="1:59" ht="304" x14ac:dyDescent="0.15">
      <c r="A56" s="14" t="s">
        <v>349</v>
      </c>
      <c r="B56" s="14" t="s">
        <v>348</v>
      </c>
      <c r="C56" s="14" t="s">
        <v>349</v>
      </c>
      <c r="D56" s="14" t="s">
        <v>349</v>
      </c>
      <c r="E56" s="14" t="s">
        <v>377</v>
      </c>
      <c r="F56" s="14" t="s">
        <v>349</v>
      </c>
      <c r="G56" s="14" t="s">
        <v>349</v>
      </c>
      <c r="H56" s="14" t="s">
        <v>349</v>
      </c>
      <c r="I56" s="14" t="s">
        <v>349</v>
      </c>
      <c r="J56" s="14" t="s">
        <v>349</v>
      </c>
      <c r="K56" s="14" t="s">
        <v>349</v>
      </c>
      <c r="L56" s="14" t="s">
        <v>349</v>
      </c>
      <c r="M56" s="14" t="s">
        <v>363</v>
      </c>
      <c r="N56" s="14" t="s">
        <v>363</v>
      </c>
      <c r="O56" s="14" t="s">
        <v>362</v>
      </c>
      <c r="P56" s="14" t="s">
        <v>362</v>
      </c>
      <c r="Q56" s="14" t="s">
        <v>362</v>
      </c>
      <c r="R56" s="17" t="s">
        <v>630</v>
      </c>
      <c r="S56" s="14" t="s">
        <v>351</v>
      </c>
      <c r="T56" s="14" t="s">
        <v>352</v>
      </c>
      <c r="U56" s="14" t="s">
        <v>351</v>
      </c>
      <c r="V56" s="14" t="s">
        <v>353</v>
      </c>
      <c r="W56" s="14" t="s">
        <v>351</v>
      </c>
      <c r="X56" s="14" t="s">
        <v>351</v>
      </c>
      <c r="Y56" s="14" t="s">
        <v>353</v>
      </c>
      <c r="Z56" s="14" t="s">
        <v>353</v>
      </c>
      <c r="AA56" s="14" t="s">
        <v>351</v>
      </c>
      <c r="AB56" s="14" t="s">
        <v>353</v>
      </c>
      <c r="AC56" s="14" t="s">
        <v>352</v>
      </c>
      <c r="AD56" s="14" t="s">
        <v>353</v>
      </c>
      <c r="AE56" s="14" t="s">
        <v>351</v>
      </c>
      <c r="AF56" s="14" t="s">
        <v>372</v>
      </c>
      <c r="AG56" s="14" t="s">
        <v>351</v>
      </c>
      <c r="AH56" s="14" t="s">
        <v>351</v>
      </c>
      <c r="AI56" s="14" t="s">
        <v>353</v>
      </c>
      <c r="AJ56" s="17" t="s">
        <v>631</v>
      </c>
      <c r="AK56" s="14" t="s">
        <v>356</v>
      </c>
      <c r="AL56" s="14" t="s">
        <v>358</v>
      </c>
      <c r="AM56" s="14" t="s">
        <v>356</v>
      </c>
      <c r="AN56" s="14" t="s">
        <v>357</v>
      </c>
      <c r="AO56" s="14" t="s">
        <v>367</v>
      </c>
      <c r="AP56" s="14" t="s">
        <v>367</v>
      </c>
      <c r="AQ56" s="14" t="s">
        <v>358</v>
      </c>
      <c r="AR56" s="14" t="s">
        <v>356</v>
      </c>
      <c r="AS56" s="14" t="s">
        <v>356</v>
      </c>
      <c r="AT56" s="14" t="s">
        <v>357</v>
      </c>
      <c r="AU56" s="14" t="s">
        <v>358</v>
      </c>
      <c r="AV56" s="14" t="s">
        <v>356</v>
      </c>
      <c r="AW56" s="14" t="s">
        <v>358</v>
      </c>
      <c r="AX56" s="14" t="s">
        <v>356</v>
      </c>
      <c r="AY56" s="14" t="s">
        <v>358</v>
      </c>
      <c r="AZ56" s="14" t="s">
        <v>367</v>
      </c>
      <c r="BA56" s="14" t="s">
        <v>356</v>
      </c>
      <c r="BB56" s="17" t="s">
        <v>632</v>
      </c>
      <c r="BC56" s="17" t="s">
        <v>633</v>
      </c>
      <c r="BD56" s="17" t="s">
        <v>634</v>
      </c>
      <c r="BE56" s="14"/>
      <c r="BF56" s="14"/>
      <c r="BG56" s="14"/>
    </row>
    <row r="57" spans="1:59" ht="64" x14ac:dyDescent="0.15">
      <c r="A57" s="14" t="s">
        <v>362</v>
      </c>
      <c r="B57" s="14" t="s">
        <v>362</v>
      </c>
      <c r="C57" s="14" t="s">
        <v>348</v>
      </c>
      <c r="D57" s="14" t="s">
        <v>348</v>
      </c>
      <c r="E57" s="14" t="s">
        <v>348</v>
      </c>
      <c r="F57" s="14" t="s">
        <v>362</v>
      </c>
      <c r="G57" s="14" t="s">
        <v>348</v>
      </c>
      <c r="H57" s="14" t="s">
        <v>362</v>
      </c>
      <c r="I57" s="14" t="s">
        <v>348</v>
      </c>
      <c r="J57" s="14" t="s">
        <v>348</v>
      </c>
      <c r="K57" s="14" t="s">
        <v>348</v>
      </c>
      <c r="L57" s="14" t="s">
        <v>349</v>
      </c>
      <c r="M57" s="14" t="s">
        <v>362</v>
      </c>
      <c r="N57" s="14" t="s">
        <v>349</v>
      </c>
      <c r="O57" s="14" t="s">
        <v>348</v>
      </c>
      <c r="P57" s="14" t="s">
        <v>377</v>
      </c>
      <c r="Q57" s="14" t="s">
        <v>377</v>
      </c>
      <c r="R57" s="17" t="s">
        <v>635</v>
      </c>
      <c r="S57" s="14" t="s">
        <v>352</v>
      </c>
      <c r="T57" s="14" t="s">
        <v>352</v>
      </c>
      <c r="U57" s="14" t="s">
        <v>372</v>
      </c>
      <c r="V57" s="14" t="s">
        <v>353</v>
      </c>
      <c r="W57" s="14" t="s">
        <v>353</v>
      </c>
      <c r="X57" s="14" t="s">
        <v>353</v>
      </c>
      <c r="Y57" s="14" t="s">
        <v>351</v>
      </c>
      <c r="Z57" s="14" t="s">
        <v>351</v>
      </c>
      <c r="AA57" s="14" t="s">
        <v>351</v>
      </c>
      <c r="AB57" s="14" t="s">
        <v>351</v>
      </c>
      <c r="AC57" s="14" t="s">
        <v>352</v>
      </c>
      <c r="AD57" s="14" t="s">
        <v>352</v>
      </c>
      <c r="AE57" s="14" t="s">
        <v>353</v>
      </c>
      <c r="AF57" s="14" t="s">
        <v>351</v>
      </c>
      <c r="AG57" s="14" t="s">
        <v>353</v>
      </c>
      <c r="AH57" s="14" t="s">
        <v>351</v>
      </c>
      <c r="AI57" s="14" t="s">
        <v>351</v>
      </c>
      <c r="AJ57" s="17" t="s">
        <v>636</v>
      </c>
      <c r="AK57" s="14" t="s">
        <v>356</v>
      </c>
      <c r="AL57" s="14" t="s">
        <v>356</v>
      </c>
      <c r="AM57" s="14" t="s">
        <v>367</v>
      </c>
      <c r="AN57" s="14" t="s">
        <v>358</v>
      </c>
      <c r="AO57" s="14" t="s">
        <v>358</v>
      </c>
      <c r="AP57" s="14" t="s">
        <v>367</v>
      </c>
      <c r="AQ57" s="14" t="s">
        <v>358</v>
      </c>
      <c r="AR57" s="14" t="s">
        <v>367</v>
      </c>
      <c r="AS57" s="14" t="s">
        <v>367</v>
      </c>
      <c r="AT57" s="14" t="s">
        <v>356</v>
      </c>
      <c r="AU57" s="14" t="s">
        <v>356</v>
      </c>
      <c r="AV57" s="14" t="s">
        <v>356</v>
      </c>
      <c r="AW57" s="14" t="s">
        <v>358</v>
      </c>
      <c r="AX57" s="14" t="s">
        <v>358</v>
      </c>
      <c r="AY57" s="14" t="s">
        <v>358</v>
      </c>
      <c r="AZ57" s="14" t="s">
        <v>366</v>
      </c>
      <c r="BA57" s="14" t="s">
        <v>366</v>
      </c>
      <c r="BB57" s="17" t="s">
        <v>637</v>
      </c>
      <c r="BC57" s="17" t="s">
        <v>638</v>
      </c>
      <c r="BD57" s="17" t="s">
        <v>639</v>
      </c>
      <c r="BE57" s="14"/>
      <c r="BF57" s="14"/>
      <c r="BG57" s="14"/>
    </row>
    <row r="58" spans="1:59" ht="395" x14ac:dyDescent="0.15">
      <c r="A58" s="14" t="s">
        <v>349</v>
      </c>
      <c r="B58" s="14" t="s">
        <v>348</v>
      </c>
      <c r="C58" s="14" t="s">
        <v>349</v>
      </c>
      <c r="D58" s="14" t="s">
        <v>348</v>
      </c>
      <c r="E58" s="14" t="s">
        <v>349</v>
      </c>
      <c r="F58" s="14" t="s">
        <v>362</v>
      </c>
      <c r="G58" s="14" t="s">
        <v>362</v>
      </c>
      <c r="H58" s="14" t="s">
        <v>377</v>
      </c>
      <c r="I58" s="14" t="s">
        <v>349</v>
      </c>
      <c r="J58" s="14" t="s">
        <v>348</v>
      </c>
      <c r="K58" s="14" t="s">
        <v>348</v>
      </c>
      <c r="L58" s="14" t="s">
        <v>363</v>
      </c>
      <c r="M58" s="14" t="s">
        <v>363</v>
      </c>
      <c r="N58" s="14" t="s">
        <v>363</v>
      </c>
      <c r="O58" s="14" t="s">
        <v>349</v>
      </c>
      <c r="P58" s="14" t="s">
        <v>349</v>
      </c>
      <c r="Q58" s="14" t="s">
        <v>362</v>
      </c>
      <c r="R58" s="17" t="s">
        <v>640</v>
      </c>
      <c r="S58" s="14" t="s">
        <v>351</v>
      </c>
      <c r="T58" s="14" t="s">
        <v>353</v>
      </c>
      <c r="U58" s="14" t="s">
        <v>372</v>
      </c>
      <c r="V58" s="14" t="s">
        <v>354</v>
      </c>
      <c r="W58" s="14" t="s">
        <v>354</v>
      </c>
      <c r="X58" s="14" t="s">
        <v>351</v>
      </c>
      <c r="Y58" s="14" t="s">
        <v>354</v>
      </c>
      <c r="Z58" s="14" t="s">
        <v>372</v>
      </c>
      <c r="AA58" s="14" t="s">
        <v>372</v>
      </c>
      <c r="AB58" s="14" t="s">
        <v>354</v>
      </c>
      <c r="AC58" s="14" t="s">
        <v>354</v>
      </c>
      <c r="AD58" s="14" t="s">
        <v>353</v>
      </c>
      <c r="AE58" s="14" t="s">
        <v>372</v>
      </c>
      <c r="AF58" s="14" t="s">
        <v>354</v>
      </c>
      <c r="AG58" s="14" t="s">
        <v>354</v>
      </c>
      <c r="AH58" s="14" t="s">
        <v>372</v>
      </c>
      <c r="AI58" s="14" t="s">
        <v>372</v>
      </c>
      <c r="AJ58" s="17" t="s">
        <v>641</v>
      </c>
      <c r="AK58" s="14" t="s">
        <v>356</v>
      </c>
      <c r="AL58" s="14" t="s">
        <v>357</v>
      </c>
      <c r="AM58" s="14" t="s">
        <v>357</v>
      </c>
      <c r="AN58" s="14" t="s">
        <v>357</v>
      </c>
      <c r="AO58" s="14" t="s">
        <v>356</v>
      </c>
      <c r="AP58" s="14" t="s">
        <v>358</v>
      </c>
      <c r="AQ58" s="14" t="s">
        <v>357</v>
      </c>
      <c r="AR58" s="14" t="s">
        <v>367</v>
      </c>
      <c r="AS58" s="14" t="s">
        <v>357</v>
      </c>
      <c r="AT58" s="14" t="s">
        <v>367</v>
      </c>
      <c r="AU58" s="14" t="s">
        <v>366</v>
      </c>
      <c r="AV58" s="14" t="s">
        <v>366</v>
      </c>
      <c r="AW58" s="14" t="s">
        <v>367</v>
      </c>
      <c r="AX58" s="14" t="s">
        <v>358</v>
      </c>
      <c r="AY58" s="14" t="s">
        <v>358</v>
      </c>
      <c r="AZ58" s="14" t="s">
        <v>357</v>
      </c>
      <c r="BA58" s="14" t="s">
        <v>357</v>
      </c>
      <c r="BB58" s="17" t="s">
        <v>642</v>
      </c>
      <c r="BC58" s="17" t="s">
        <v>643</v>
      </c>
      <c r="BD58" s="17" t="s">
        <v>644</v>
      </c>
      <c r="BE58" s="14"/>
      <c r="BF58" s="14"/>
      <c r="BG58" s="14"/>
    </row>
    <row r="59" spans="1:59" ht="160" x14ac:dyDescent="0.15">
      <c r="A59" s="14" t="s">
        <v>349</v>
      </c>
      <c r="B59" s="14" t="s">
        <v>377</v>
      </c>
      <c r="C59" s="14" t="s">
        <v>349</v>
      </c>
      <c r="D59" s="14" t="s">
        <v>348</v>
      </c>
      <c r="E59" s="14" t="s">
        <v>348</v>
      </c>
      <c r="F59" s="14" t="s">
        <v>349</v>
      </c>
      <c r="G59" s="14" t="s">
        <v>348</v>
      </c>
      <c r="H59" s="14" t="s">
        <v>349</v>
      </c>
      <c r="I59" s="14" t="s">
        <v>348</v>
      </c>
      <c r="J59" s="14" t="s">
        <v>348</v>
      </c>
      <c r="K59" s="14" t="s">
        <v>348</v>
      </c>
      <c r="L59" s="14" t="s">
        <v>349</v>
      </c>
      <c r="M59" s="14" t="s">
        <v>349</v>
      </c>
      <c r="N59" s="14" t="s">
        <v>348</v>
      </c>
      <c r="O59" s="14" t="s">
        <v>349</v>
      </c>
      <c r="P59" s="14" t="s">
        <v>348</v>
      </c>
      <c r="Q59" s="14" t="s">
        <v>348</v>
      </c>
      <c r="R59" s="17" t="s">
        <v>645</v>
      </c>
      <c r="S59" s="14" t="s">
        <v>351</v>
      </c>
      <c r="T59" s="14" t="s">
        <v>354</v>
      </c>
      <c r="U59" s="14" t="s">
        <v>353</v>
      </c>
      <c r="V59" s="14" t="s">
        <v>354</v>
      </c>
      <c r="W59" s="14" t="s">
        <v>354</v>
      </c>
      <c r="X59" s="14" t="s">
        <v>351</v>
      </c>
      <c r="Y59" s="14" t="s">
        <v>354</v>
      </c>
      <c r="Z59" s="14" t="s">
        <v>354</v>
      </c>
      <c r="AA59" s="14" t="s">
        <v>354</v>
      </c>
      <c r="AB59" s="14" t="s">
        <v>353</v>
      </c>
      <c r="AC59" s="14" t="s">
        <v>354</v>
      </c>
      <c r="AD59" s="14" t="s">
        <v>353</v>
      </c>
      <c r="AE59" s="14" t="s">
        <v>351</v>
      </c>
      <c r="AF59" s="14" t="s">
        <v>354</v>
      </c>
      <c r="AG59" s="14" t="s">
        <v>353</v>
      </c>
      <c r="AH59" s="14" t="s">
        <v>351</v>
      </c>
      <c r="AI59" s="14" t="s">
        <v>354</v>
      </c>
      <c r="AJ59" s="17" t="s">
        <v>646</v>
      </c>
      <c r="AK59" s="14" t="s">
        <v>357</v>
      </c>
      <c r="AL59" s="14" t="s">
        <v>357</v>
      </c>
      <c r="AM59" s="14" t="s">
        <v>357</v>
      </c>
      <c r="AN59" s="14" t="s">
        <v>357</v>
      </c>
      <c r="AO59" s="14" t="s">
        <v>357</v>
      </c>
      <c r="AP59" s="14" t="s">
        <v>357</v>
      </c>
      <c r="AQ59" s="14" t="s">
        <v>357</v>
      </c>
      <c r="AR59" s="14" t="s">
        <v>358</v>
      </c>
      <c r="AS59" s="14" t="s">
        <v>357</v>
      </c>
      <c r="AT59" s="14" t="s">
        <v>357</v>
      </c>
      <c r="AU59" s="14" t="s">
        <v>357</v>
      </c>
      <c r="AV59" s="14" t="s">
        <v>357</v>
      </c>
      <c r="AW59" s="14" t="s">
        <v>358</v>
      </c>
      <c r="AX59" s="14" t="s">
        <v>357</v>
      </c>
      <c r="AY59" s="14" t="s">
        <v>357</v>
      </c>
      <c r="AZ59" s="14" t="s">
        <v>357</v>
      </c>
      <c r="BA59" s="14" t="s">
        <v>357</v>
      </c>
      <c r="BB59" s="17" t="s">
        <v>647</v>
      </c>
      <c r="BC59" s="17" t="s">
        <v>648</v>
      </c>
      <c r="BD59" s="17" t="s">
        <v>649</v>
      </c>
      <c r="BE59" s="14"/>
      <c r="BF59" s="14"/>
      <c r="BG59" s="14"/>
    </row>
    <row r="60" spans="1:59" ht="409.6" x14ac:dyDescent="0.15">
      <c r="A60" s="14" t="s">
        <v>362</v>
      </c>
      <c r="B60" s="14" t="s">
        <v>349</v>
      </c>
      <c r="C60" s="14" t="s">
        <v>362</v>
      </c>
      <c r="D60" s="14" t="s">
        <v>349</v>
      </c>
      <c r="E60" s="14" t="s">
        <v>348</v>
      </c>
      <c r="F60" s="14" t="s">
        <v>349</v>
      </c>
      <c r="G60" s="14" t="s">
        <v>363</v>
      </c>
      <c r="H60" s="14" t="s">
        <v>349</v>
      </c>
      <c r="I60" s="14" t="s">
        <v>349</v>
      </c>
      <c r="J60" s="14" t="s">
        <v>349</v>
      </c>
      <c r="K60" s="14" t="s">
        <v>349</v>
      </c>
      <c r="L60" s="14" t="s">
        <v>348</v>
      </c>
      <c r="M60" s="14" t="s">
        <v>362</v>
      </c>
      <c r="N60" s="14" t="s">
        <v>377</v>
      </c>
      <c r="O60" s="14" t="s">
        <v>363</v>
      </c>
      <c r="P60" s="14" t="s">
        <v>349</v>
      </c>
      <c r="Q60" s="14" t="s">
        <v>348</v>
      </c>
      <c r="R60" s="17" t="s">
        <v>650</v>
      </c>
      <c r="S60" s="14" t="s">
        <v>351</v>
      </c>
      <c r="T60" s="14" t="s">
        <v>353</v>
      </c>
      <c r="U60" s="14" t="s">
        <v>351</v>
      </c>
      <c r="V60" s="14" t="s">
        <v>353</v>
      </c>
      <c r="W60" s="14" t="s">
        <v>353</v>
      </c>
      <c r="X60" s="14" t="s">
        <v>353</v>
      </c>
      <c r="Y60" s="14" t="s">
        <v>353</v>
      </c>
      <c r="Z60" s="14" t="s">
        <v>351</v>
      </c>
      <c r="AA60" s="14" t="s">
        <v>353</v>
      </c>
      <c r="AB60" s="14" t="s">
        <v>352</v>
      </c>
      <c r="AC60" s="14" t="s">
        <v>351</v>
      </c>
      <c r="AD60" s="14" t="s">
        <v>353</v>
      </c>
      <c r="AE60" s="14" t="s">
        <v>351</v>
      </c>
      <c r="AF60" s="14" t="s">
        <v>352</v>
      </c>
      <c r="AG60" s="14" t="s">
        <v>353</v>
      </c>
      <c r="AH60" s="14" t="s">
        <v>352</v>
      </c>
      <c r="AI60" s="14" t="s">
        <v>372</v>
      </c>
      <c r="AJ60" s="17" t="s">
        <v>651</v>
      </c>
      <c r="AK60" s="14" t="s">
        <v>367</v>
      </c>
      <c r="AL60" s="14" t="s">
        <v>357</v>
      </c>
      <c r="AM60" s="14" t="s">
        <v>357</v>
      </c>
      <c r="AN60" s="14" t="s">
        <v>357</v>
      </c>
      <c r="AO60" s="14" t="s">
        <v>358</v>
      </c>
      <c r="AP60" s="14" t="s">
        <v>367</v>
      </c>
      <c r="AQ60" s="14" t="s">
        <v>358</v>
      </c>
      <c r="AR60" s="14" t="s">
        <v>358</v>
      </c>
      <c r="AS60" s="14" t="s">
        <v>358</v>
      </c>
      <c r="AT60" s="14" t="s">
        <v>357</v>
      </c>
      <c r="AU60" s="14" t="s">
        <v>358</v>
      </c>
      <c r="AV60" s="14" t="s">
        <v>358</v>
      </c>
      <c r="AW60" s="14" t="s">
        <v>357</v>
      </c>
      <c r="AX60" s="14" t="s">
        <v>366</v>
      </c>
      <c r="AY60" s="14" t="s">
        <v>366</v>
      </c>
      <c r="AZ60" s="14" t="s">
        <v>358</v>
      </c>
      <c r="BA60" s="14" t="s">
        <v>357</v>
      </c>
      <c r="BB60" s="17" t="s">
        <v>652</v>
      </c>
      <c r="BC60" s="17" t="s">
        <v>653</v>
      </c>
      <c r="BD60" s="17" t="s">
        <v>654</v>
      </c>
      <c r="BE60" s="14"/>
      <c r="BF60" s="14"/>
      <c r="BG60" s="14"/>
    </row>
    <row r="61" spans="1:59" ht="224" x14ac:dyDescent="0.15">
      <c r="A61" s="14" t="s">
        <v>349</v>
      </c>
      <c r="B61" s="14" t="s">
        <v>349</v>
      </c>
      <c r="C61" s="14" t="s">
        <v>362</v>
      </c>
      <c r="D61" s="14" t="s">
        <v>348</v>
      </c>
      <c r="E61" s="14" t="s">
        <v>348</v>
      </c>
      <c r="F61" s="14" t="s">
        <v>349</v>
      </c>
      <c r="G61" s="14" t="s">
        <v>362</v>
      </c>
      <c r="H61" s="14" t="s">
        <v>362</v>
      </c>
      <c r="I61" s="14" t="s">
        <v>348</v>
      </c>
      <c r="J61" s="14" t="s">
        <v>348</v>
      </c>
      <c r="K61" s="14" t="s">
        <v>362</v>
      </c>
      <c r="L61" s="14" t="s">
        <v>349</v>
      </c>
      <c r="M61" s="14" t="s">
        <v>349</v>
      </c>
      <c r="N61" s="14" t="s">
        <v>348</v>
      </c>
      <c r="O61" s="14" t="s">
        <v>348</v>
      </c>
      <c r="P61" s="14" t="s">
        <v>348</v>
      </c>
      <c r="Q61" s="14" t="s">
        <v>349</v>
      </c>
      <c r="R61" s="17" t="s">
        <v>655</v>
      </c>
      <c r="S61" s="14" t="s">
        <v>351</v>
      </c>
      <c r="T61" s="14" t="s">
        <v>353</v>
      </c>
      <c r="U61" s="14" t="s">
        <v>351</v>
      </c>
      <c r="V61" s="14" t="s">
        <v>353</v>
      </c>
      <c r="W61" s="14" t="s">
        <v>353</v>
      </c>
      <c r="X61" s="14" t="s">
        <v>353</v>
      </c>
      <c r="Y61" s="14" t="s">
        <v>354</v>
      </c>
      <c r="Z61" s="14" t="s">
        <v>354</v>
      </c>
      <c r="AA61" s="14" t="s">
        <v>354</v>
      </c>
      <c r="AB61" s="14" t="s">
        <v>353</v>
      </c>
      <c r="AC61" s="14" t="s">
        <v>351</v>
      </c>
      <c r="AD61" s="14" t="s">
        <v>353</v>
      </c>
      <c r="AE61" s="14" t="s">
        <v>353</v>
      </c>
      <c r="AF61" s="14" t="s">
        <v>352</v>
      </c>
      <c r="AG61" s="14" t="s">
        <v>353</v>
      </c>
      <c r="AH61" s="14" t="s">
        <v>351</v>
      </c>
      <c r="AI61" s="14" t="s">
        <v>351</v>
      </c>
      <c r="AJ61" s="17" t="s">
        <v>656</v>
      </c>
      <c r="AK61" s="14" t="s">
        <v>357</v>
      </c>
      <c r="AL61" s="14" t="s">
        <v>357</v>
      </c>
      <c r="AM61" s="14" t="s">
        <v>358</v>
      </c>
      <c r="AN61" s="14" t="s">
        <v>357</v>
      </c>
      <c r="AO61" s="14" t="s">
        <v>356</v>
      </c>
      <c r="AP61" s="14" t="s">
        <v>357</v>
      </c>
      <c r="AQ61" s="14" t="s">
        <v>357</v>
      </c>
      <c r="AR61" s="14" t="s">
        <v>357</v>
      </c>
      <c r="AS61" s="14" t="s">
        <v>357</v>
      </c>
      <c r="AT61" s="14" t="s">
        <v>357</v>
      </c>
      <c r="AU61" s="14" t="s">
        <v>356</v>
      </c>
      <c r="AV61" s="14" t="s">
        <v>358</v>
      </c>
      <c r="AW61" s="14" t="s">
        <v>358</v>
      </c>
      <c r="AX61" s="14" t="s">
        <v>357</v>
      </c>
      <c r="AY61" s="14" t="s">
        <v>358</v>
      </c>
      <c r="AZ61" s="14" t="s">
        <v>356</v>
      </c>
      <c r="BA61" s="14" t="s">
        <v>357</v>
      </c>
      <c r="BB61" s="17" t="s">
        <v>657</v>
      </c>
      <c r="BC61" s="17" t="s">
        <v>658</v>
      </c>
      <c r="BD61" s="17" t="s">
        <v>659</v>
      </c>
      <c r="BE61" s="14"/>
      <c r="BF61" s="14"/>
      <c r="BG61" s="14"/>
    </row>
    <row r="62" spans="1:59" ht="176" x14ac:dyDescent="0.15">
      <c r="A62" s="14" t="s">
        <v>349</v>
      </c>
      <c r="B62" s="14" t="s">
        <v>348</v>
      </c>
      <c r="C62" s="14" t="s">
        <v>377</v>
      </c>
      <c r="D62" s="14" t="s">
        <v>377</v>
      </c>
      <c r="E62" s="14" t="s">
        <v>349</v>
      </c>
      <c r="F62" s="14" t="s">
        <v>349</v>
      </c>
      <c r="G62" s="14" t="s">
        <v>349</v>
      </c>
      <c r="H62" s="14" t="s">
        <v>349</v>
      </c>
      <c r="I62" s="14" t="s">
        <v>348</v>
      </c>
      <c r="J62" s="14" t="s">
        <v>348</v>
      </c>
      <c r="K62" s="14" t="s">
        <v>348</v>
      </c>
      <c r="L62" s="14" t="s">
        <v>348</v>
      </c>
      <c r="M62" s="14" t="s">
        <v>349</v>
      </c>
      <c r="N62" s="14" t="s">
        <v>349</v>
      </c>
      <c r="O62" s="14" t="s">
        <v>349</v>
      </c>
      <c r="P62" s="14" t="s">
        <v>348</v>
      </c>
      <c r="Q62" s="14" t="s">
        <v>349</v>
      </c>
      <c r="R62" s="17" t="s">
        <v>660</v>
      </c>
      <c r="S62" s="14" t="s">
        <v>353</v>
      </c>
      <c r="T62" s="14" t="s">
        <v>372</v>
      </c>
      <c r="U62" s="14" t="s">
        <v>353</v>
      </c>
      <c r="V62" s="14" t="s">
        <v>354</v>
      </c>
      <c r="W62" s="14" t="s">
        <v>353</v>
      </c>
      <c r="X62" s="14" t="s">
        <v>352</v>
      </c>
      <c r="Y62" s="14" t="s">
        <v>353</v>
      </c>
      <c r="Z62" s="14" t="s">
        <v>353</v>
      </c>
      <c r="AA62" s="14" t="s">
        <v>353</v>
      </c>
      <c r="AB62" s="14" t="s">
        <v>354</v>
      </c>
      <c r="AC62" s="14" t="s">
        <v>353</v>
      </c>
      <c r="AD62" s="14" t="s">
        <v>352</v>
      </c>
      <c r="AE62" s="14" t="s">
        <v>353</v>
      </c>
      <c r="AF62" s="14" t="s">
        <v>353</v>
      </c>
      <c r="AG62" s="14" t="s">
        <v>353</v>
      </c>
      <c r="AH62" s="14" t="s">
        <v>353</v>
      </c>
      <c r="AI62" s="14" t="s">
        <v>353</v>
      </c>
      <c r="AJ62" s="17" t="s">
        <v>661</v>
      </c>
      <c r="AK62" s="14" t="s">
        <v>357</v>
      </c>
      <c r="AL62" s="14" t="s">
        <v>358</v>
      </c>
      <c r="AM62" s="14" t="s">
        <v>358</v>
      </c>
      <c r="AN62" s="14" t="s">
        <v>357</v>
      </c>
      <c r="AO62" s="14" t="s">
        <v>358</v>
      </c>
      <c r="AP62" s="14" t="s">
        <v>358</v>
      </c>
      <c r="AQ62" s="14" t="s">
        <v>358</v>
      </c>
      <c r="AR62" s="14" t="s">
        <v>358</v>
      </c>
      <c r="AS62" s="14" t="s">
        <v>358</v>
      </c>
      <c r="AT62" s="14" t="s">
        <v>358</v>
      </c>
      <c r="AU62" s="14" t="s">
        <v>357</v>
      </c>
      <c r="AV62" s="14" t="s">
        <v>358</v>
      </c>
      <c r="AW62" s="14" t="s">
        <v>358</v>
      </c>
      <c r="AX62" s="14" t="s">
        <v>358</v>
      </c>
      <c r="AY62" s="14" t="s">
        <v>358</v>
      </c>
      <c r="AZ62" s="14" t="s">
        <v>357</v>
      </c>
      <c r="BA62" s="14" t="s">
        <v>358</v>
      </c>
      <c r="BB62" s="17" t="s">
        <v>662</v>
      </c>
      <c r="BC62" s="17" t="s">
        <v>663</v>
      </c>
      <c r="BD62" s="17" t="s">
        <v>664</v>
      </c>
      <c r="BE62" s="14"/>
      <c r="BF62" s="14"/>
      <c r="BG62" s="14"/>
    </row>
    <row r="63" spans="1:59" ht="208" x14ac:dyDescent="0.15">
      <c r="A63" s="14" t="s">
        <v>348</v>
      </c>
      <c r="B63" s="14" t="s">
        <v>348</v>
      </c>
      <c r="C63" s="14" t="s">
        <v>348</v>
      </c>
      <c r="D63" s="14" t="s">
        <v>348</v>
      </c>
      <c r="E63" s="14" t="s">
        <v>348</v>
      </c>
      <c r="F63" s="14" t="s">
        <v>348</v>
      </c>
      <c r="G63" s="14" t="s">
        <v>348</v>
      </c>
      <c r="H63" s="14" t="s">
        <v>348</v>
      </c>
      <c r="I63" s="14" t="s">
        <v>348</v>
      </c>
      <c r="J63" s="14" t="s">
        <v>348</v>
      </c>
      <c r="K63" s="14" t="s">
        <v>348</v>
      </c>
      <c r="L63" s="14" t="s">
        <v>348</v>
      </c>
      <c r="M63" s="14" t="s">
        <v>348</v>
      </c>
      <c r="N63" s="14" t="s">
        <v>348</v>
      </c>
      <c r="O63" s="14" t="s">
        <v>348</v>
      </c>
      <c r="P63" s="14" t="s">
        <v>348</v>
      </c>
      <c r="Q63" s="14" t="s">
        <v>348</v>
      </c>
      <c r="R63" s="17" t="s">
        <v>665</v>
      </c>
      <c r="S63" s="14" t="s">
        <v>352</v>
      </c>
      <c r="T63" s="14" t="s">
        <v>352</v>
      </c>
      <c r="U63" s="14" t="s">
        <v>372</v>
      </c>
      <c r="V63" s="14" t="s">
        <v>351</v>
      </c>
      <c r="W63" s="14" t="s">
        <v>352</v>
      </c>
      <c r="X63" s="14" t="s">
        <v>352</v>
      </c>
      <c r="Y63" s="14" t="s">
        <v>352</v>
      </c>
      <c r="Z63" s="14" t="s">
        <v>353</v>
      </c>
      <c r="AA63" s="14" t="s">
        <v>352</v>
      </c>
      <c r="AB63" s="14" t="s">
        <v>353</v>
      </c>
      <c r="AC63" s="14" t="s">
        <v>352</v>
      </c>
      <c r="AD63" s="14" t="s">
        <v>352</v>
      </c>
      <c r="AE63" s="14" t="s">
        <v>352</v>
      </c>
      <c r="AF63" s="14" t="s">
        <v>352</v>
      </c>
      <c r="AG63" s="14" t="s">
        <v>353</v>
      </c>
      <c r="AH63" s="14" t="s">
        <v>352</v>
      </c>
      <c r="AI63" s="14" t="s">
        <v>352</v>
      </c>
      <c r="AJ63" s="17" t="s">
        <v>666</v>
      </c>
      <c r="AK63" s="14" t="s">
        <v>358</v>
      </c>
      <c r="AL63" s="14" t="s">
        <v>358</v>
      </c>
      <c r="AM63" s="14" t="s">
        <v>358</v>
      </c>
      <c r="AN63" s="14" t="s">
        <v>358</v>
      </c>
      <c r="AO63" s="14" t="s">
        <v>358</v>
      </c>
      <c r="AP63" s="14" t="s">
        <v>358</v>
      </c>
      <c r="AQ63" s="14" t="s">
        <v>358</v>
      </c>
      <c r="AR63" s="14" t="s">
        <v>358</v>
      </c>
      <c r="AS63" s="14" t="s">
        <v>358</v>
      </c>
      <c r="AT63" s="14" t="s">
        <v>358</v>
      </c>
      <c r="AU63" s="14" t="s">
        <v>358</v>
      </c>
      <c r="AV63" s="14" t="s">
        <v>358</v>
      </c>
      <c r="AW63" s="14" t="s">
        <v>358</v>
      </c>
      <c r="AX63" s="14" t="s">
        <v>358</v>
      </c>
      <c r="AY63" s="14" t="s">
        <v>358</v>
      </c>
      <c r="AZ63" s="14" t="s">
        <v>358</v>
      </c>
      <c r="BA63" s="14" t="s">
        <v>358</v>
      </c>
      <c r="BB63" s="17" t="s">
        <v>667</v>
      </c>
      <c r="BC63" s="17" t="s">
        <v>668</v>
      </c>
      <c r="BD63" s="17" t="s">
        <v>669</v>
      </c>
      <c r="BE63" s="14"/>
      <c r="BF63" s="14"/>
      <c r="BG63" s="14"/>
    </row>
    <row r="64" spans="1:59" ht="112" x14ac:dyDescent="0.15">
      <c r="A64" s="14" t="s">
        <v>348</v>
      </c>
      <c r="B64" s="14" t="s">
        <v>349</v>
      </c>
      <c r="C64" s="14" t="s">
        <v>348</v>
      </c>
      <c r="D64" s="14" t="s">
        <v>377</v>
      </c>
      <c r="E64" s="14" t="s">
        <v>348</v>
      </c>
      <c r="F64" s="14" t="s">
        <v>349</v>
      </c>
      <c r="G64" s="14" t="s">
        <v>348</v>
      </c>
      <c r="H64" s="14" t="s">
        <v>349</v>
      </c>
      <c r="I64" s="14" t="s">
        <v>348</v>
      </c>
      <c r="J64" s="14" t="s">
        <v>349</v>
      </c>
      <c r="K64" s="14" t="s">
        <v>348</v>
      </c>
      <c r="L64" s="14" t="s">
        <v>349</v>
      </c>
      <c r="M64" s="14" t="s">
        <v>377</v>
      </c>
      <c r="N64" s="14" t="s">
        <v>377</v>
      </c>
      <c r="O64" s="14" t="s">
        <v>377</v>
      </c>
      <c r="P64" s="14" t="s">
        <v>349</v>
      </c>
      <c r="Q64" s="14" t="s">
        <v>348</v>
      </c>
      <c r="R64" s="17" t="s">
        <v>670</v>
      </c>
      <c r="S64" s="14" t="s">
        <v>351</v>
      </c>
      <c r="T64" s="14" t="s">
        <v>353</v>
      </c>
      <c r="U64" s="14" t="s">
        <v>352</v>
      </c>
      <c r="V64" s="14" t="s">
        <v>351</v>
      </c>
      <c r="W64" s="14" t="s">
        <v>353</v>
      </c>
      <c r="X64" s="14" t="s">
        <v>352</v>
      </c>
      <c r="Y64" s="14" t="s">
        <v>372</v>
      </c>
      <c r="Z64" s="14" t="s">
        <v>353</v>
      </c>
      <c r="AA64" s="14" t="s">
        <v>353</v>
      </c>
      <c r="AB64" s="14" t="s">
        <v>353</v>
      </c>
      <c r="AC64" s="14" t="s">
        <v>353</v>
      </c>
      <c r="AD64" s="14" t="s">
        <v>351</v>
      </c>
      <c r="AE64" s="14" t="s">
        <v>352</v>
      </c>
      <c r="AF64" s="14" t="s">
        <v>352</v>
      </c>
      <c r="AG64" s="14" t="s">
        <v>351</v>
      </c>
      <c r="AH64" s="14" t="s">
        <v>353</v>
      </c>
      <c r="AI64" s="14" t="s">
        <v>352</v>
      </c>
      <c r="AJ64" s="17" t="s">
        <v>671</v>
      </c>
      <c r="AK64" s="14" t="s">
        <v>357</v>
      </c>
      <c r="AL64" s="14" t="s">
        <v>358</v>
      </c>
      <c r="AM64" s="14" t="s">
        <v>356</v>
      </c>
      <c r="AN64" s="14" t="s">
        <v>358</v>
      </c>
      <c r="AO64" s="14" t="s">
        <v>358</v>
      </c>
      <c r="AP64" s="14" t="s">
        <v>358</v>
      </c>
      <c r="AQ64" s="14" t="s">
        <v>357</v>
      </c>
      <c r="AR64" s="14" t="s">
        <v>367</v>
      </c>
      <c r="AS64" s="14" t="s">
        <v>358</v>
      </c>
      <c r="AT64" s="14" t="s">
        <v>357</v>
      </c>
      <c r="AU64" s="14" t="s">
        <v>357</v>
      </c>
      <c r="AV64" s="14" t="s">
        <v>356</v>
      </c>
      <c r="AW64" s="14" t="s">
        <v>358</v>
      </c>
      <c r="AX64" s="14" t="s">
        <v>356</v>
      </c>
      <c r="AY64" s="14" t="s">
        <v>356</v>
      </c>
      <c r="AZ64" s="14" t="s">
        <v>356</v>
      </c>
      <c r="BA64" s="14" t="s">
        <v>358</v>
      </c>
      <c r="BB64" s="17" t="s">
        <v>672</v>
      </c>
      <c r="BC64" s="17" t="s">
        <v>673</v>
      </c>
      <c r="BD64" s="17" t="s">
        <v>674</v>
      </c>
      <c r="BE64" s="14"/>
      <c r="BF64" s="14"/>
      <c r="BG64" s="14"/>
    </row>
    <row r="65" spans="1:59" ht="160" x14ac:dyDescent="0.15">
      <c r="A65" s="14" t="s">
        <v>362</v>
      </c>
      <c r="B65" s="14" t="s">
        <v>362</v>
      </c>
      <c r="C65" s="14" t="s">
        <v>363</v>
      </c>
      <c r="D65" s="14" t="s">
        <v>363</v>
      </c>
      <c r="E65" s="14" t="s">
        <v>363</v>
      </c>
      <c r="F65" s="14" t="s">
        <v>363</v>
      </c>
      <c r="G65" s="14" t="s">
        <v>362</v>
      </c>
      <c r="H65" s="14" t="s">
        <v>363</v>
      </c>
      <c r="I65" s="14" t="s">
        <v>363</v>
      </c>
      <c r="J65" s="14" t="s">
        <v>363</v>
      </c>
      <c r="K65" s="14" t="s">
        <v>363</v>
      </c>
      <c r="L65" s="14" t="s">
        <v>363</v>
      </c>
      <c r="M65" s="14" t="s">
        <v>363</v>
      </c>
      <c r="N65" s="14" t="s">
        <v>363</v>
      </c>
      <c r="O65" s="14" t="s">
        <v>363</v>
      </c>
      <c r="P65" s="14" t="s">
        <v>363</v>
      </c>
      <c r="Q65" s="14" t="s">
        <v>363</v>
      </c>
      <c r="R65" s="17" t="s">
        <v>675</v>
      </c>
      <c r="S65" s="14" t="s">
        <v>372</v>
      </c>
      <c r="T65" s="14" t="s">
        <v>372</v>
      </c>
      <c r="U65" s="14" t="s">
        <v>372</v>
      </c>
      <c r="V65" s="14" t="s">
        <v>372</v>
      </c>
      <c r="W65" s="14" t="s">
        <v>351</v>
      </c>
      <c r="X65" s="14" t="s">
        <v>352</v>
      </c>
      <c r="Y65" s="14" t="s">
        <v>351</v>
      </c>
      <c r="Z65" s="14" t="s">
        <v>352</v>
      </c>
      <c r="AA65" s="14" t="s">
        <v>351</v>
      </c>
      <c r="AB65" s="14" t="s">
        <v>352</v>
      </c>
      <c r="AC65" s="14" t="s">
        <v>352</v>
      </c>
      <c r="AD65" s="14" t="s">
        <v>351</v>
      </c>
      <c r="AE65" s="14" t="s">
        <v>351</v>
      </c>
      <c r="AF65" s="14" t="s">
        <v>352</v>
      </c>
      <c r="AG65" s="14" t="s">
        <v>352</v>
      </c>
      <c r="AH65" s="14" t="s">
        <v>352</v>
      </c>
      <c r="AI65" s="14" t="s">
        <v>372</v>
      </c>
      <c r="AJ65" s="17" t="s">
        <v>676</v>
      </c>
      <c r="AK65" s="14" t="s">
        <v>367</v>
      </c>
      <c r="AL65" s="14" t="s">
        <v>356</v>
      </c>
      <c r="AM65" s="14" t="s">
        <v>356</v>
      </c>
      <c r="AN65" s="14" t="s">
        <v>356</v>
      </c>
      <c r="AO65" s="14" t="s">
        <v>356</v>
      </c>
      <c r="AP65" s="14" t="s">
        <v>356</v>
      </c>
      <c r="AQ65" s="14" t="s">
        <v>356</v>
      </c>
      <c r="AR65" s="14" t="s">
        <v>356</v>
      </c>
      <c r="AS65" s="14" t="s">
        <v>356</v>
      </c>
      <c r="AT65" s="14" t="s">
        <v>358</v>
      </c>
      <c r="AU65" s="14" t="s">
        <v>356</v>
      </c>
      <c r="AV65" s="14" t="s">
        <v>358</v>
      </c>
      <c r="AW65" s="14" t="s">
        <v>358</v>
      </c>
      <c r="AX65" s="14" t="s">
        <v>356</v>
      </c>
      <c r="AY65" s="14" t="s">
        <v>367</v>
      </c>
      <c r="AZ65" s="14" t="s">
        <v>356</v>
      </c>
      <c r="BA65" s="14" t="s">
        <v>357</v>
      </c>
      <c r="BB65" s="17" t="s">
        <v>677</v>
      </c>
      <c r="BC65" s="17" t="s">
        <v>678</v>
      </c>
      <c r="BD65" s="17" t="s">
        <v>679</v>
      </c>
      <c r="BE65" s="14"/>
      <c r="BF65" s="14"/>
      <c r="BG65" s="14"/>
    </row>
    <row r="66" spans="1:59" ht="64" x14ac:dyDescent="0.15">
      <c r="A66" s="14" t="s">
        <v>348</v>
      </c>
      <c r="B66" s="14" t="s">
        <v>349</v>
      </c>
      <c r="C66" s="14" t="s">
        <v>348</v>
      </c>
      <c r="D66" s="14" t="s">
        <v>348</v>
      </c>
      <c r="E66" s="14" t="s">
        <v>348</v>
      </c>
      <c r="F66" s="14" t="s">
        <v>348</v>
      </c>
      <c r="G66" s="14" t="s">
        <v>348</v>
      </c>
      <c r="H66" s="14" t="s">
        <v>348</v>
      </c>
      <c r="I66" s="14" t="s">
        <v>348</v>
      </c>
      <c r="J66" s="14" t="s">
        <v>348</v>
      </c>
      <c r="K66" s="14" t="s">
        <v>349</v>
      </c>
      <c r="L66" s="14" t="s">
        <v>348</v>
      </c>
      <c r="M66" s="14" t="s">
        <v>348</v>
      </c>
      <c r="N66" s="14" t="s">
        <v>348</v>
      </c>
      <c r="O66" s="14" t="s">
        <v>348</v>
      </c>
      <c r="P66" s="14" t="s">
        <v>348</v>
      </c>
      <c r="Q66" s="14" t="s">
        <v>348</v>
      </c>
      <c r="R66" s="17" t="s">
        <v>680</v>
      </c>
      <c r="S66" s="14" t="s">
        <v>353</v>
      </c>
      <c r="T66" s="14" t="s">
        <v>372</v>
      </c>
      <c r="U66" s="14" t="s">
        <v>351</v>
      </c>
      <c r="V66" s="14" t="s">
        <v>353</v>
      </c>
      <c r="W66" s="14" t="s">
        <v>353</v>
      </c>
      <c r="X66" s="14" t="s">
        <v>354</v>
      </c>
      <c r="Y66" s="14" t="s">
        <v>372</v>
      </c>
      <c r="Z66" s="14" t="s">
        <v>372</v>
      </c>
      <c r="AA66" s="14" t="s">
        <v>353</v>
      </c>
      <c r="AB66" s="14" t="s">
        <v>354</v>
      </c>
      <c r="AC66" s="14" t="s">
        <v>353</v>
      </c>
      <c r="AD66" s="14" t="s">
        <v>353</v>
      </c>
      <c r="AE66" s="14" t="s">
        <v>353</v>
      </c>
      <c r="AF66" s="14" t="s">
        <v>353</v>
      </c>
      <c r="AG66" s="14" t="s">
        <v>353</v>
      </c>
      <c r="AH66" s="14" t="s">
        <v>354</v>
      </c>
      <c r="AI66" s="14" t="s">
        <v>353</v>
      </c>
      <c r="AJ66" s="17" t="s">
        <v>681</v>
      </c>
      <c r="AK66" s="14" t="s">
        <v>356</v>
      </c>
      <c r="AL66" s="14" t="s">
        <v>356</v>
      </c>
      <c r="AM66" s="14" t="s">
        <v>358</v>
      </c>
      <c r="AN66" s="14" t="s">
        <v>356</v>
      </c>
      <c r="AO66" s="14" t="s">
        <v>358</v>
      </c>
      <c r="AP66" s="14" t="s">
        <v>358</v>
      </c>
      <c r="AQ66" s="14" t="s">
        <v>357</v>
      </c>
      <c r="AR66" s="14" t="s">
        <v>358</v>
      </c>
      <c r="AS66" s="14" t="s">
        <v>358</v>
      </c>
      <c r="AT66" s="14" t="s">
        <v>358</v>
      </c>
      <c r="AU66" s="14" t="s">
        <v>356</v>
      </c>
      <c r="AV66" s="14" t="s">
        <v>358</v>
      </c>
      <c r="AW66" s="14" t="s">
        <v>358</v>
      </c>
      <c r="AX66" s="14" t="s">
        <v>356</v>
      </c>
      <c r="AY66" s="14" t="s">
        <v>356</v>
      </c>
      <c r="AZ66" s="14" t="s">
        <v>357</v>
      </c>
      <c r="BA66" s="14" t="s">
        <v>358</v>
      </c>
      <c r="BB66" s="17" t="s">
        <v>682</v>
      </c>
      <c r="BC66" s="17" t="s">
        <v>683</v>
      </c>
      <c r="BD66" s="17" t="s">
        <v>684</v>
      </c>
      <c r="BE66" s="14"/>
      <c r="BF66" s="14"/>
      <c r="BG66" s="14"/>
    </row>
    <row r="67" spans="1:59" ht="80" x14ac:dyDescent="0.15">
      <c r="A67" s="14" t="s">
        <v>349</v>
      </c>
      <c r="B67" s="14" t="s">
        <v>348</v>
      </c>
      <c r="C67" s="14" t="s">
        <v>349</v>
      </c>
      <c r="D67" s="14" t="s">
        <v>363</v>
      </c>
      <c r="E67" s="14" t="s">
        <v>362</v>
      </c>
      <c r="F67" s="14" t="s">
        <v>377</v>
      </c>
      <c r="G67" s="14" t="s">
        <v>363</v>
      </c>
      <c r="H67" s="14" t="s">
        <v>377</v>
      </c>
      <c r="I67" s="14" t="s">
        <v>362</v>
      </c>
      <c r="J67" s="14" t="s">
        <v>348</v>
      </c>
      <c r="K67" s="14" t="s">
        <v>348</v>
      </c>
      <c r="L67" s="14" t="s">
        <v>348</v>
      </c>
      <c r="M67" s="14" t="s">
        <v>348</v>
      </c>
      <c r="N67" s="14" t="s">
        <v>348</v>
      </c>
      <c r="O67" s="14" t="s">
        <v>348</v>
      </c>
      <c r="P67" s="14" t="s">
        <v>363</v>
      </c>
      <c r="Q67" s="14" t="s">
        <v>349</v>
      </c>
      <c r="R67" s="17" t="s">
        <v>685</v>
      </c>
      <c r="S67" s="14" t="s">
        <v>351</v>
      </c>
      <c r="T67" s="14" t="s">
        <v>353</v>
      </c>
      <c r="U67" s="14" t="s">
        <v>351</v>
      </c>
      <c r="V67" s="14" t="s">
        <v>372</v>
      </c>
      <c r="W67" s="14" t="s">
        <v>353</v>
      </c>
      <c r="X67" s="14" t="s">
        <v>372</v>
      </c>
      <c r="Y67" s="14" t="s">
        <v>351</v>
      </c>
      <c r="Z67" s="14" t="s">
        <v>372</v>
      </c>
      <c r="AA67" s="14" t="s">
        <v>351</v>
      </c>
      <c r="AB67" s="14" t="s">
        <v>351</v>
      </c>
      <c r="AC67" s="14" t="s">
        <v>352</v>
      </c>
      <c r="AD67" s="14" t="s">
        <v>351</v>
      </c>
      <c r="AE67" s="14" t="s">
        <v>372</v>
      </c>
      <c r="AF67" s="14" t="s">
        <v>352</v>
      </c>
      <c r="AG67" s="14" t="s">
        <v>353</v>
      </c>
      <c r="AH67" s="14" t="s">
        <v>372</v>
      </c>
      <c r="AI67" s="14" t="s">
        <v>372</v>
      </c>
      <c r="AJ67" s="17" t="s">
        <v>686</v>
      </c>
      <c r="AK67" s="14" t="s">
        <v>356</v>
      </c>
      <c r="AL67" s="14" t="s">
        <v>367</v>
      </c>
      <c r="AM67" s="14" t="s">
        <v>357</v>
      </c>
      <c r="AN67" s="14" t="s">
        <v>357</v>
      </c>
      <c r="AO67" s="14" t="s">
        <v>357</v>
      </c>
      <c r="AP67" s="14" t="s">
        <v>366</v>
      </c>
      <c r="AQ67" s="14" t="s">
        <v>358</v>
      </c>
      <c r="AR67" s="14" t="s">
        <v>367</v>
      </c>
      <c r="AS67" s="14" t="s">
        <v>356</v>
      </c>
      <c r="AT67" s="14" t="s">
        <v>357</v>
      </c>
      <c r="AU67" s="14" t="s">
        <v>357</v>
      </c>
      <c r="AV67" s="14" t="s">
        <v>357</v>
      </c>
      <c r="AW67" s="14" t="s">
        <v>357</v>
      </c>
      <c r="AX67" s="14" t="s">
        <v>358</v>
      </c>
      <c r="AY67" s="14" t="s">
        <v>358</v>
      </c>
      <c r="AZ67" s="14" t="s">
        <v>367</v>
      </c>
      <c r="BA67" s="14" t="s">
        <v>367</v>
      </c>
      <c r="BB67" s="17" t="s">
        <v>687</v>
      </c>
      <c r="BC67" s="17" t="s">
        <v>688</v>
      </c>
      <c r="BD67" s="17" t="s">
        <v>689</v>
      </c>
      <c r="BE67" s="14"/>
      <c r="BF67" s="14"/>
      <c r="BG67" s="14"/>
    </row>
    <row r="68" spans="1:59" ht="80" x14ac:dyDescent="0.15">
      <c r="A68" s="14" t="s">
        <v>348</v>
      </c>
      <c r="B68" s="14" t="s">
        <v>349</v>
      </c>
      <c r="C68" s="14" t="s">
        <v>349</v>
      </c>
      <c r="D68" s="14" t="s">
        <v>348</v>
      </c>
      <c r="E68" s="14" t="s">
        <v>349</v>
      </c>
      <c r="F68" s="14" t="s">
        <v>349</v>
      </c>
      <c r="G68" s="14" t="s">
        <v>348</v>
      </c>
      <c r="H68" s="14" t="s">
        <v>349</v>
      </c>
      <c r="I68" s="14" t="s">
        <v>349</v>
      </c>
      <c r="J68" s="14" t="s">
        <v>348</v>
      </c>
      <c r="K68" s="14" t="s">
        <v>363</v>
      </c>
      <c r="L68" s="14" t="s">
        <v>348</v>
      </c>
      <c r="M68" s="14" t="s">
        <v>349</v>
      </c>
      <c r="N68" s="14" t="s">
        <v>348</v>
      </c>
      <c r="O68" s="14" t="s">
        <v>348</v>
      </c>
      <c r="P68" s="14" t="s">
        <v>348</v>
      </c>
      <c r="Q68" s="14" t="s">
        <v>349</v>
      </c>
      <c r="R68" s="17" t="s">
        <v>690</v>
      </c>
      <c r="S68" s="14" t="s">
        <v>353</v>
      </c>
      <c r="T68" s="14" t="s">
        <v>353</v>
      </c>
      <c r="U68" s="14" t="s">
        <v>352</v>
      </c>
      <c r="V68" s="14" t="s">
        <v>353</v>
      </c>
      <c r="W68" s="14" t="s">
        <v>353</v>
      </c>
      <c r="X68" s="14" t="s">
        <v>353</v>
      </c>
      <c r="Y68" s="14" t="s">
        <v>351</v>
      </c>
      <c r="Z68" s="14" t="s">
        <v>352</v>
      </c>
      <c r="AA68" s="14" t="s">
        <v>353</v>
      </c>
      <c r="AB68" s="14" t="s">
        <v>353</v>
      </c>
      <c r="AC68" s="14" t="s">
        <v>351</v>
      </c>
      <c r="AD68" s="14" t="s">
        <v>352</v>
      </c>
      <c r="AE68" s="14" t="s">
        <v>354</v>
      </c>
      <c r="AF68" s="14" t="s">
        <v>353</v>
      </c>
      <c r="AG68" s="14" t="s">
        <v>353</v>
      </c>
      <c r="AH68" s="14" t="s">
        <v>351</v>
      </c>
      <c r="AI68" s="14" t="s">
        <v>351</v>
      </c>
      <c r="AJ68" s="17" t="s">
        <v>691</v>
      </c>
      <c r="AK68" s="14" t="s">
        <v>358</v>
      </c>
      <c r="AL68" s="14" t="s">
        <v>358</v>
      </c>
      <c r="AM68" s="14" t="s">
        <v>356</v>
      </c>
      <c r="AN68" s="14" t="s">
        <v>357</v>
      </c>
      <c r="AO68" s="14" t="s">
        <v>357</v>
      </c>
      <c r="AP68" s="14" t="s">
        <v>358</v>
      </c>
      <c r="AQ68" s="14" t="s">
        <v>357</v>
      </c>
      <c r="AR68" s="14" t="s">
        <v>358</v>
      </c>
      <c r="AS68" s="14" t="s">
        <v>356</v>
      </c>
      <c r="AT68" s="14" t="s">
        <v>357</v>
      </c>
      <c r="AU68" s="14" t="s">
        <v>358</v>
      </c>
      <c r="AV68" s="14" t="s">
        <v>357</v>
      </c>
      <c r="AW68" s="14" t="s">
        <v>358</v>
      </c>
      <c r="AX68" s="14" t="s">
        <v>358</v>
      </c>
      <c r="AY68" s="14" t="s">
        <v>358</v>
      </c>
      <c r="AZ68" s="14" t="s">
        <v>357</v>
      </c>
      <c r="BA68" s="14" t="s">
        <v>358</v>
      </c>
      <c r="BB68" s="17" t="s">
        <v>692</v>
      </c>
      <c r="BC68" s="17" t="s">
        <v>693</v>
      </c>
      <c r="BD68" s="17" t="s">
        <v>694</v>
      </c>
      <c r="BE68" s="14"/>
      <c r="BF68" s="14"/>
      <c r="BG68" s="14"/>
    </row>
    <row r="69" spans="1:59" ht="160" x14ac:dyDescent="0.15">
      <c r="A69" s="14" t="s">
        <v>349</v>
      </c>
      <c r="B69" s="14" t="s">
        <v>349</v>
      </c>
      <c r="C69" s="14" t="s">
        <v>348</v>
      </c>
      <c r="D69" s="14" t="s">
        <v>349</v>
      </c>
      <c r="E69" s="14" t="s">
        <v>348</v>
      </c>
      <c r="F69" s="14" t="s">
        <v>349</v>
      </c>
      <c r="G69" s="14" t="s">
        <v>348</v>
      </c>
      <c r="H69" s="14" t="s">
        <v>349</v>
      </c>
      <c r="I69" s="14" t="s">
        <v>349</v>
      </c>
      <c r="J69" s="14" t="s">
        <v>348</v>
      </c>
      <c r="K69" s="14" t="s">
        <v>349</v>
      </c>
      <c r="L69" s="14" t="s">
        <v>348</v>
      </c>
      <c r="M69" s="14" t="s">
        <v>349</v>
      </c>
      <c r="N69" s="14" t="s">
        <v>349</v>
      </c>
      <c r="O69" s="14" t="s">
        <v>349</v>
      </c>
      <c r="P69" s="14" t="s">
        <v>349</v>
      </c>
      <c r="Q69" s="14" t="s">
        <v>349</v>
      </c>
      <c r="R69" s="17" t="s">
        <v>695</v>
      </c>
      <c r="S69" s="14" t="s">
        <v>351</v>
      </c>
      <c r="T69" s="14" t="s">
        <v>351</v>
      </c>
      <c r="U69" s="14" t="s">
        <v>351</v>
      </c>
      <c r="V69" s="14" t="s">
        <v>372</v>
      </c>
      <c r="W69" s="14" t="s">
        <v>351</v>
      </c>
      <c r="X69" s="14" t="s">
        <v>372</v>
      </c>
      <c r="Y69" s="14" t="s">
        <v>372</v>
      </c>
      <c r="Z69" s="14" t="s">
        <v>372</v>
      </c>
      <c r="AA69" s="14" t="s">
        <v>353</v>
      </c>
      <c r="AB69" s="14" t="s">
        <v>351</v>
      </c>
      <c r="AC69" s="14" t="s">
        <v>353</v>
      </c>
      <c r="AD69" s="14" t="s">
        <v>351</v>
      </c>
      <c r="AE69" s="14" t="s">
        <v>372</v>
      </c>
      <c r="AF69" s="14" t="s">
        <v>351</v>
      </c>
      <c r="AG69" s="14" t="s">
        <v>372</v>
      </c>
      <c r="AH69" s="14" t="s">
        <v>372</v>
      </c>
      <c r="AI69" s="14" t="s">
        <v>351</v>
      </c>
      <c r="AJ69" s="17" t="s">
        <v>696</v>
      </c>
      <c r="AK69" s="14" t="s">
        <v>356</v>
      </c>
      <c r="AL69" s="14" t="s">
        <v>358</v>
      </c>
      <c r="AM69" s="14" t="s">
        <v>358</v>
      </c>
      <c r="AN69" s="14" t="s">
        <v>357</v>
      </c>
      <c r="AO69" s="14" t="s">
        <v>357</v>
      </c>
      <c r="AP69" s="14" t="s">
        <v>358</v>
      </c>
      <c r="AQ69" s="14" t="s">
        <v>357</v>
      </c>
      <c r="AR69" s="14" t="s">
        <v>357</v>
      </c>
      <c r="AS69" s="14" t="s">
        <v>357</v>
      </c>
      <c r="AT69" s="14" t="s">
        <v>357</v>
      </c>
      <c r="AU69" s="14" t="s">
        <v>357</v>
      </c>
      <c r="AV69" s="14" t="s">
        <v>357</v>
      </c>
      <c r="AW69" s="14" t="s">
        <v>358</v>
      </c>
      <c r="AX69" s="14" t="s">
        <v>358</v>
      </c>
      <c r="AY69" s="14" t="s">
        <v>358</v>
      </c>
      <c r="AZ69" s="14" t="s">
        <v>357</v>
      </c>
      <c r="BA69" s="14" t="s">
        <v>356</v>
      </c>
      <c r="BB69" s="17" t="s">
        <v>697</v>
      </c>
      <c r="BC69" s="17" t="s">
        <v>698</v>
      </c>
      <c r="BD69" s="17" t="s">
        <v>699</v>
      </c>
      <c r="BE69" s="14"/>
      <c r="BF69" s="14"/>
      <c r="BG69" s="14"/>
    </row>
    <row r="70" spans="1:59" ht="80" x14ac:dyDescent="0.15">
      <c r="A70" s="14" t="s">
        <v>349</v>
      </c>
      <c r="B70" s="14" t="s">
        <v>349</v>
      </c>
      <c r="C70" s="14" t="s">
        <v>349</v>
      </c>
      <c r="D70" s="14" t="s">
        <v>348</v>
      </c>
      <c r="E70" s="14" t="s">
        <v>349</v>
      </c>
      <c r="F70" s="14" t="s">
        <v>349</v>
      </c>
      <c r="G70" s="14" t="s">
        <v>348</v>
      </c>
      <c r="H70" s="14" t="s">
        <v>349</v>
      </c>
      <c r="I70" s="14" t="s">
        <v>349</v>
      </c>
      <c r="J70" s="14" t="s">
        <v>349</v>
      </c>
      <c r="K70" s="14" t="s">
        <v>348</v>
      </c>
      <c r="L70" s="14" t="s">
        <v>349</v>
      </c>
      <c r="M70" s="14" t="s">
        <v>349</v>
      </c>
      <c r="N70" s="14" t="s">
        <v>348</v>
      </c>
      <c r="O70" s="14" t="s">
        <v>349</v>
      </c>
      <c r="P70" s="14" t="s">
        <v>349</v>
      </c>
      <c r="Q70" s="14" t="s">
        <v>349</v>
      </c>
      <c r="R70" s="17" t="s">
        <v>700</v>
      </c>
      <c r="S70" s="14" t="s">
        <v>351</v>
      </c>
      <c r="T70" s="14" t="s">
        <v>351</v>
      </c>
      <c r="U70" s="14" t="s">
        <v>372</v>
      </c>
      <c r="V70" s="14" t="s">
        <v>372</v>
      </c>
      <c r="W70" s="14" t="s">
        <v>353</v>
      </c>
      <c r="X70" s="14" t="s">
        <v>372</v>
      </c>
      <c r="Y70" s="14" t="s">
        <v>372</v>
      </c>
      <c r="Z70" s="14" t="s">
        <v>372</v>
      </c>
      <c r="AA70" s="14" t="s">
        <v>372</v>
      </c>
      <c r="AB70" s="14" t="s">
        <v>353</v>
      </c>
      <c r="AC70" s="14" t="s">
        <v>372</v>
      </c>
      <c r="AD70" s="14" t="s">
        <v>372</v>
      </c>
      <c r="AE70" s="14" t="s">
        <v>372</v>
      </c>
      <c r="AF70" s="14" t="s">
        <v>351</v>
      </c>
      <c r="AG70" s="14" t="s">
        <v>353</v>
      </c>
      <c r="AH70" s="14" t="s">
        <v>372</v>
      </c>
      <c r="AI70" s="14" t="s">
        <v>351</v>
      </c>
      <c r="AJ70" s="17" t="s">
        <v>701</v>
      </c>
      <c r="AK70" s="14" t="s">
        <v>356</v>
      </c>
      <c r="AL70" s="14" t="s">
        <v>357</v>
      </c>
      <c r="AM70" s="14" t="s">
        <v>357</v>
      </c>
      <c r="AN70" s="14" t="s">
        <v>357</v>
      </c>
      <c r="AO70" s="14" t="s">
        <v>357</v>
      </c>
      <c r="AP70" s="14" t="s">
        <v>357</v>
      </c>
      <c r="AQ70" s="14" t="s">
        <v>357</v>
      </c>
      <c r="AR70" s="14" t="s">
        <v>357</v>
      </c>
      <c r="AS70" s="14" t="s">
        <v>357</v>
      </c>
      <c r="AT70" s="14" t="s">
        <v>356</v>
      </c>
      <c r="AU70" s="14" t="s">
        <v>357</v>
      </c>
      <c r="AV70" s="14" t="s">
        <v>357</v>
      </c>
      <c r="AW70" s="14" t="s">
        <v>357</v>
      </c>
      <c r="AX70" s="14" t="s">
        <v>357</v>
      </c>
      <c r="AY70" s="14" t="s">
        <v>357</v>
      </c>
      <c r="AZ70" s="14" t="s">
        <v>357</v>
      </c>
      <c r="BA70" s="14" t="s">
        <v>357</v>
      </c>
      <c r="BB70" s="17" t="s">
        <v>702</v>
      </c>
      <c r="BC70" s="17" t="s">
        <v>703</v>
      </c>
      <c r="BD70" s="17" t="s">
        <v>704</v>
      </c>
      <c r="BE70" s="14"/>
      <c r="BF70" s="14"/>
      <c r="BG70" s="14"/>
    </row>
    <row r="71" spans="1:59" ht="208" x14ac:dyDescent="0.15">
      <c r="A71" s="14" t="s">
        <v>362</v>
      </c>
      <c r="B71" s="14" t="s">
        <v>363</v>
      </c>
      <c r="C71" s="14" t="s">
        <v>362</v>
      </c>
      <c r="D71" s="14" t="s">
        <v>363</v>
      </c>
      <c r="E71" s="14" t="s">
        <v>362</v>
      </c>
      <c r="F71" s="14" t="s">
        <v>362</v>
      </c>
      <c r="G71" s="14" t="s">
        <v>363</v>
      </c>
      <c r="H71" s="14" t="s">
        <v>362</v>
      </c>
      <c r="I71" s="14" t="s">
        <v>363</v>
      </c>
      <c r="J71" s="14" t="s">
        <v>362</v>
      </c>
      <c r="K71" s="14" t="s">
        <v>362</v>
      </c>
      <c r="L71" s="14" t="s">
        <v>362</v>
      </c>
      <c r="M71" s="14" t="s">
        <v>362</v>
      </c>
      <c r="N71" s="14" t="s">
        <v>363</v>
      </c>
      <c r="O71" s="14" t="s">
        <v>362</v>
      </c>
      <c r="P71" s="14" t="s">
        <v>362</v>
      </c>
      <c r="Q71" s="14" t="s">
        <v>362</v>
      </c>
      <c r="R71" s="17" t="s">
        <v>705</v>
      </c>
      <c r="S71" s="14" t="s">
        <v>351</v>
      </c>
      <c r="T71" s="14" t="s">
        <v>353</v>
      </c>
      <c r="U71" s="14" t="s">
        <v>353</v>
      </c>
      <c r="V71" s="14" t="s">
        <v>351</v>
      </c>
      <c r="W71" s="14" t="s">
        <v>372</v>
      </c>
      <c r="X71" s="14" t="s">
        <v>372</v>
      </c>
      <c r="Y71" s="14" t="s">
        <v>353</v>
      </c>
      <c r="Z71" s="14" t="s">
        <v>372</v>
      </c>
      <c r="AA71" s="14" t="s">
        <v>372</v>
      </c>
      <c r="AB71" s="14" t="s">
        <v>353</v>
      </c>
      <c r="AC71" s="14" t="s">
        <v>372</v>
      </c>
      <c r="AD71" s="14" t="s">
        <v>353</v>
      </c>
      <c r="AE71" s="14" t="s">
        <v>372</v>
      </c>
      <c r="AF71" s="14" t="s">
        <v>353</v>
      </c>
      <c r="AG71" s="14" t="s">
        <v>372</v>
      </c>
      <c r="AH71" s="14" t="s">
        <v>353</v>
      </c>
      <c r="AI71" s="14" t="s">
        <v>372</v>
      </c>
      <c r="AJ71" s="17" t="s">
        <v>706</v>
      </c>
      <c r="AK71" s="14" t="s">
        <v>356</v>
      </c>
      <c r="AL71" s="14" t="s">
        <v>358</v>
      </c>
      <c r="AM71" s="14" t="s">
        <v>358</v>
      </c>
      <c r="AN71" s="14" t="s">
        <v>356</v>
      </c>
      <c r="AO71" s="14" t="s">
        <v>357</v>
      </c>
      <c r="AP71" s="14" t="s">
        <v>357</v>
      </c>
      <c r="AQ71" s="14" t="s">
        <v>357</v>
      </c>
      <c r="AR71" s="14" t="s">
        <v>358</v>
      </c>
      <c r="AS71" s="14" t="s">
        <v>356</v>
      </c>
      <c r="AT71" s="14" t="s">
        <v>357</v>
      </c>
      <c r="AU71" s="14" t="s">
        <v>357</v>
      </c>
      <c r="AV71" s="14" t="s">
        <v>356</v>
      </c>
      <c r="AW71" s="14" t="s">
        <v>358</v>
      </c>
      <c r="AX71" s="14" t="s">
        <v>357</v>
      </c>
      <c r="AY71" s="14" t="s">
        <v>357</v>
      </c>
      <c r="AZ71" s="14" t="s">
        <v>358</v>
      </c>
      <c r="BA71" s="14" t="s">
        <v>358</v>
      </c>
      <c r="BB71" s="17" t="s">
        <v>707</v>
      </c>
      <c r="BC71" s="17" t="s">
        <v>708</v>
      </c>
      <c r="BD71" s="17" t="s">
        <v>709</v>
      </c>
      <c r="BE71" s="14"/>
      <c r="BF71" s="14"/>
      <c r="BG71" s="14"/>
    </row>
    <row r="72" spans="1:59" ht="320" x14ac:dyDescent="0.15">
      <c r="A72" s="14" t="s">
        <v>349</v>
      </c>
      <c r="B72" s="14" t="s">
        <v>348</v>
      </c>
      <c r="C72" s="14" t="s">
        <v>348</v>
      </c>
      <c r="D72" s="14" t="s">
        <v>348</v>
      </c>
      <c r="E72" s="14" t="s">
        <v>349</v>
      </c>
      <c r="F72" s="14" t="s">
        <v>377</v>
      </c>
      <c r="G72" s="14" t="s">
        <v>349</v>
      </c>
      <c r="H72" s="14" t="s">
        <v>349</v>
      </c>
      <c r="I72" s="14" t="s">
        <v>349</v>
      </c>
      <c r="J72" s="14" t="s">
        <v>377</v>
      </c>
      <c r="K72" s="14" t="s">
        <v>349</v>
      </c>
      <c r="L72" s="14" t="s">
        <v>349</v>
      </c>
      <c r="M72" s="14" t="s">
        <v>349</v>
      </c>
      <c r="N72" s="14" t="s">
        <v>349</v>
      </c>
      <c r="O72" s="14" t="s">
        <v>377</v>
      </c>
      <c r="P72" s="14" t="s">
        <v>377</v>
      </c>
      <c r="Q72" s="14" t="s">
        <v>377</v>
      </c>
      <c r="R72" s="17" t="s">
        <v>710</v>
      </c>
      <c r="S72" s="14" t="s">
        <v>353</v>
      </c>
      <c r="T72" s="14" t="s">
        <v>351</v>
      </c>
      <c r="U72" s="14" t="s">
        <v>351</v>
      </c>
      <c r="V72" s="14" t="s">
        <v>372</v>
      </c>
      <c r="W72" s="14" t="s">
        <v>351</v>
      </c>
      <c r="X72" s="14" t="s">
        <v>372</v>
      </c>
      <c r="Y72" s="14" t="s">
        <v>353</v>
      </c>
      <c r="Z72" s="14" t="s">
        <v>372</v>
      </c>
      <c r="AA72" s="14" t="s">
        <v>372</v>
      </c>
      <c r="AB72" s="14" t="s">
        <v>372</v>
      </c>
      <c r="AC72" s="14" t="s">
        <v>351</v>
      </c>
      <c r="AD72" s="14" t="s">
        <v>351</v>
      </c>
      <c r="AE72" s="14" t="s">
        <v>372</v>
      </c>
      <c r="AF72" s="14" t="s">
        <v>351</v>
      </c>
      <c r="AG72" s="14" t="s">
        <v>351</v>
      </c>
      <c r="AH72" s="14" t="s">
        <v>351</v>
      </c>
      <c r="AI72" s="14" t="s">
        <v>351</v>
      </c>
      <c r="AJ72" s="17" t="s">
        <v>711</v>
      </c>
      <c r="AK72" s="14" t="s">
        <v>357</v>
      </c>
      <c r="AL72" s="14" t="s">
        <v>358</v>
      </c>
      <c r="AM72" s="14" t="s">
        <v>358</v>
      </c>
      <c r="AN72" s="14" t="s">
        <v>357</v>
      </c>
      <c r="AO72" s="14" t="s">
        <v>356</v>
      </c>
      <c r="AP72" s="14" t="s">
        <v>356</v>
      </c>
      <c r="AQ72" s="14" t="s">
        <v>357</v>
      </c>
      <c r="AR72" s="14" t="s">
        <v>356</v>
      </c>
      <c r="AS72" s="14" t="s">
        <v>356</v>
      </c>
      <c r="AT72" s="14" t="s">
        <v>356</v>
      </c>
      <c r="AU72" s="14" t="s">
        <v>357</v>
      </c>
      <c r="AV72" s="14" t="s">
        <v>357</v>
      </c>
      <c r="AW72" s="14" t="s">
        <v>358</v>
      </c>
      <c r="AX72" s="14" t="s">
        <v>358</v>
      </c>
      <c r="AY72" s="14" t="s">
        <v>356</v>
      </c>
      <c r="AZ72" s="14" t="s">
        <v>356</v>
      </c>
      <c r="BA72" s="14" t="s">
        <v>356</v>
      </c>
      <c r="BB72" s="17" t="s">
        <v>712</v>
      </c>
      <c r="BC72" s="17" t="s">
        <v>713</v>
      </c>
      <c r="BD72" s="17" t="s">
        <v>714</v>
      </c>
      <c r="BE72" s="14"/>
      <c r="BF72" s="14"/>
      <c r="BG72" s="14"/>
    </row>
    <row r="73" spans="1:59" ht="409.6" x14ac:dyDescent="0.15">
      <c r="A73" s="14" t="s">
        <v>348</v>
      </c>
      <c r="B73" s="14" t="s">
        <v>348</v>
      </c>
      <c r="C73" s="14" t="s">
        <v>348</v>
      </c>
      <c r="D73" s="14" t="s">
        <v>349</v>
      </c>
      <c r="E73" s="14" t="s">
        <v>349</v>
      </c>
      <c r="F73" s="14" t="s">
        <v>363</v>
      </c>
      <c r="G73" s="14" t="s">
        <v>349</v>
      </c>
      <c r="H73" s="14" t="s">
        <v>349</v>
      </c>
      <c r="I73" s="14" t="s">
        <v>348</v>
      </c>
      <c r="J73" s="14" t="s">
        <v>348</v>
      </c>
      <c r="K73" s="14" t="s">
        <v>349</v>
      </c>
      <c r="L73" s="14" t="s">
        <v>349</v>
      </c>
      <c r="M73" s="14" t="s">
        <v>349</v>
      </c>
      <c r="N73" s="14" t="s">
        <v>349</v>
      </c>
      <c r="O73" s="14" t="s">
        <v>363</v>
      </c>
      <c r="P73" s="14" t="s">
        <v>363</v>
      </c>
      <c r="Q73" s="14" t="s">
        <v>363</v>
      </c>
      <c r="R73" s="17" t="s">
        <v>715</v>
      </c>
      <c r="S73" s="14" t="s">
        <v>353</v>
      </c>
      <c r="T73" s="14" t="s">
        <v>351</v>
      </c>
      <c r="U73" s="14" t="s">
        <v>351</v>
      </c>
      <c r="V73" s="14" t="s">
        <v>351</v>
      </c>
      <c r="W73" s="14" t="s">
        <v>351</v>
      </c>
      <c r="X73" s="14" t="s">
        <v>372</v>
      </c>
      <c r="Y73" s="14" t="s">
        <v>353</v>
      </c>
      <c r="Z73" s="14" t="s">
        <v>353</v>
      </c>
      <c r="AA73" s="14" t="s">
        <v>353</v>
      </c>
      <c r="AB73" s="14" t="s">
        <v>353</v>
      </c>
      <c r="AC73" s="14" t="s">
        <v>352</v>
      </c>
      <c r="AD73" s="14" t="s">
        <v>351</v>
      </c>
      <c r="AE73" s="14" t="s">
        <v>372</v>
      </c>
      <c r="AF73" s="14" t="s">
        <v>351</v>
      </c>
      <c r="AG73" s="14" t="s">
        <v>351</v>
      </c>
      <c r="AH73" s="14" t="s">
        <v>372</v>
      </c>
      <c r="AI73" s="14" t="s">
        <v>399</v>
      </c>
      <c r="AJ73" s="17" t="s">
        <v>716</v>
      </c>
      <c r="AK73" s="14" t="s">
        <v>357</v>
      </c>
      <c r="AL73" s="14" t="s">
        <v>357</v>
      </c>
      <c r="AM73" s="14" t="s">
        <v>358</v>
      </c>
      <c r="AN73" s="14" t="s">
        <v>357</v>
      </c>
      <c r="AO73" s="14" t="s">
        <v>357</v>
      </c>
      <c r="AP73" s="14" t="s">
        <v>358</v>
      </c>
      <c r="AQ73" s="14" t="s">
        <v>357</v>
      </c>
      <c r="AR73" s="14" t="s">
        <v>356</v>
      </c>
      <c r="AS73" s="14" t="s">
        <v>357</v>
      </c>
      <c r="AT73" s="14" t="s">
        <v>358</v>
      </c>
      <c r="AU73" s="14" t="s">
        <v>356</v>
      </c>
      <c r="AV73" s="14" t="s">
        <v>358</v>
      </c>
      <c r="AW73" s="14" t="s">
        <v>358</v>
      </c>
      <c r="AX73" s="14" t="s">
        <v>358</v>
      </c>
      <c r="AY73" s="14" t="s">
        <v>366</v>
      </c>
      <c r="AZ73" s="14" t="s">
        <v>366</v>
      </c>
      <c r="BA73" s="14" t="s">
        <v>367</v>
      </c>
      <c r="BB73" s="17" t="s">
        <v>717</v>
      </c>
      <c r="BC73" s="17" t="s">
        <v>718</v>
      </c>
      <c r="BD73" s="17" t="s">
        <v>719</v>
      </c>
      <c r="BE73" s="14"/>
      <c r="BF73" s="14"/>
      <c r="BG73" s="14"/>
    </row>
    <row r="74" spans="1:59" ht="272" x14ac:dyDescent="0.15">
      <c r="A74" s="14" t="s">
        <v>349</v>
      </c>
      <c r="B74" s="14" t="s">
        <v>348</v>
      </c>
      <c r="C74" s="14" t="s">
        <v>349</v>
      </c>
      <c r="D74" s="14" t="s">
        <v>348</v>
      </c>
      <c r="E74" s="14" t="s">
        <v>348</v>
      </c>
      <c r="F74" s="14" t="s">
        <v>362</v>
      </c>
      <c r="G74" s="14" t="s">
        <v>348</v>
      </c>
      <c r="H74" s="14" t="s">
        <v>362</v>
      </c>
      <c r="I74" s="14" t="s">
        <v>362</v>
      </c>
      <c r="J74" s="14" t="s">
        <v>349</v>
      </c>
      <c r="K74" s="14" t="s">
        <v>348</v>
      </c>
      <c r="L74" s="14" t="s">
        <v>349</v>
      </c>
      <c r="M74" s="14" t="s">
        <v>349</v>
      </c>
      <c r="N74" s="14" t="s">
        <v>349</v>
      </c>
      <c r="O74" s="14" t="s">
        <v>362</v>
      </c>
      <c r="P74" s="14" t="s">
        <v>362</v>
      </c>
      <c r="Q74" s="14" t="s">
        <v>349</v>
      </c>
      <c r="R74" s="17" t="s">
        <v>720</v>
      </c>
      <c r="S74" s="14" t="s">
        <v>351</v>
      </c>
      <c r="T74" s="14" t="s">
        <v>352</v>
      </c>
      <c r="U74" s="14" t="s">
        <v>372</v>
      </c>
      <c r="V74" s="14" t="s">
        <v>353</v>
      </c>
      <c r="W74" s="14" t="s">
        <v>353</v>
      </c>
      <c r="X74" s="14" t="s">
        <v>372</v>
      </c>
      <c r="Y74" s="14" t="s">
        <v>351</v>
      </c>
      <c r="Z74" s="14" t="s">
        <v>372</v>
      </c>
      <c r="AA74" s="14" t="s">
        <v>372</v>
      </c>
      <c r="AB74" s="14" t="s">
        <v>372</v>
      </c>
      <c r="AC74" s="14" t="s">
        <v>351</v>
      </c>
      <c r="AD74" s="14" t="s">
        <v>372</v>
      </c>
      <c r="AE74" s="14" t="s">
        <v>351</v>
      </c>
      <c r="AF74" s="14" t="s">
        <v>351</v>
      </c>
      <c r="AG74" s="14" t="s">
        <v>351</v>
      </c>
      <c r="AH74" s="14" t="s">
        <v>372</v>
      </c>
      <c r="AI74" s="14" t="s">
        <v>351</v>
      </c>
      <c r="AJ74" s="17" t="s">
        <v>721</v>
      </c>
      <c r="AK74" s="14" t="s">
        <v>357</v>
      </c>
      <c r="AL74" s="14" t="s">
        <v>357</v>
      </c>
      <c r="AM74" s="14" t="s">
        <v>357</v>
      </c>
      <c r="AN74" s="14" t="s">
        <v>357</v>
      </c>
      <c r="AO74" s="14" t="s">
        <v>357</v>
      </c>
      <c r="AP74" s="14" t="s">
        <v>357</v>
      </c>
      <c r="AQ74" s="14" t="s">
        <v>357</v>
      </c>
      <c r="AR74" s="14" t="s">
        <v>356</v>
      </c>
      <c r="AS74" s="14" t="s">
        <v>356</v>
      </c>
      <c r="AT74" s="14" t="s">
        <v>357</v>
      </c>
      <c r="AU74" s="14" t="s">
        <v>357</v>
      </c>
      <c r="AV74" s="14" t="s">
        <v>357</v>
      </c>
      <c r="AW74" s="14" t="s">
        <v>357</v>
      </c>
      <c r="AX74" s="14" t="s">
        <v>367</v>
      </c>
      <c r="AY74" s="14" t="s">
        <v>367</v>
      </c>
      <c r="AZ74" s="14" t="s">
        <v>367</v>
      </c>
      <c r="BA74" s="14" t="s">
        <v>356</v>
      </c>
      <c r="BB74" s="17" t="s">
        <v>722</v>
      </c>
      <c r="BC74" s="17" t="s">
        <v>723</v>
      </c>
      <c r="BD74" s="17" t="s">
        <v>724</v>
      </c>
      <c r="BE74" s="14"/>
      <c r="BF74" s="14"/>
      <c r="BG74" s="14"/>
    </row>
    <row r="75" spans="1:59" ht="409.6" x14ac:dyDescent="0.15">
      <c r="A75" s="14" t="s">
        <v>363</v>
      </c>
      <c r="B75" s="14" t="s">
        <v>363</v>
      </c>
      <c r="C75" s="14" t="s">
        <v>362</v>
      </c>
      <c r="D75" s="14" t="s">
        <v>349</v>
      </c>
      <c r="E75" s="14" t="s">
        <v>362</v>
      </c>
      <c r="F75" s="14" t="s">
        <v>349</v>
      </c>
      <c r="G75" s="14" t="s">
        <v>349</v>
      </c>
      <c r="H75" s="14" t="s">
        <v>362</v>
      </c>
      <c r="I75" s="14" t="s">
        <v>349</v>
      </c>
      <c r="J75" s="14" t="s">
        <v>362</v>
      </c>
      <c r="K75" s="14" t="s">
        <v>363</v>
      </c>
      <c r="L75" s="14" t="s">
        <v>362</v>
      </c>
      <c r="M75" s="14" t="s">
        <v>349</v>
      </c>
      <c r="N75" s="14" t="s">
        <v>349</v>
      </c>
      <c r="O75" s="14" t="s">
        <v>363</v>
      </c>
      <c r="P75" s="14" t="s">
        <v>363</v>
      </c>
      <c r="Q75" s="14" t="s">
        <v>349</v>
      </c>
      <c r="R75" s="17" t="s">
        <v>725</v>
      </c>
      <c r="S75" s="14" t="s">
        <v>351</v>
      </c>
      <c r="T75" s="14" t="s">
        <v>353</v>
      </c>
      <c r="U75" s="14" t="s">
        <v>372</v>
      </c>
      <c r="V75" s="14" t="s">
        <v>372</v>
      </c>
      <c r="W75" s="14" t="s">
        <v>351</v>
      </c>
      <c r="X75" s="14" t="s">
        <v>353</v>
      </c>
      <c r="Y75" s="14" t="s">
        <v>353</v>
      </c>
      <c r="Z75" s="14" t="s">
        <v>351</v>
      </c>
      <c r="AA75" s="14" t="s">
        <v>372</v>
      </c>
      <c r="AB75" s="14" t="s">
        <v>353</v>
      </c>
      <c r="AC75" s="14" t="s">
        <v>372</v>
      </c>
      <c r="AD75" s="14" t="s">
        <v>351</v>
      </c>
      <c r="AE75" s="14" t="s">
        <v>372</v>
      </c>
      <c r="AF75" s="14" t="s">
        <v>372</v>
      </c>
      <c r="AG75" s="14" t="s">
        <v>351</v>
      </c>
      <c r="AH75" s="14" t="s">
        <v>353</v>
      </c>
      <c r="AI75" s="14" t="s">
        <v>353</v>
      </c>
      <c r="AJ75" s="17" t="s">
        <v>726</v>
      </c>
      <c r="AK75" s="14" t="s">
        <v>357</v>
      </c>
      <c r="AL75" s="14" t="s">
        <v>358</v>
      </c>
      <c r="AM75" s="14" t="s">
        <v>358</v>
      </c>
      <c r="AN75" s="14" t="s">
        <v>356</v>
      </c>
      <c r="AO75" s="14" t="s">
        <v>358</v>
      </c>
      <c r="AP75" s="14" t="s">
        <v>358</v>
      </c>
      <c r="AQ75" s="14" t="s">
        <v>358</v>
      </c>
      <c r="AR75" s="14" t="s">
        <v>367</v>
      </c>
      <c r="AS75" s="14" t="s">
        <v>356</v>
      </c>
      <c r="AT75" s="14" t="s">
        <v>358</v>
      </c>
      <c r="AU75" s="14" t="s">
        <v>358</v>
      </c>
      <c r="AV75" s="14" t="s">
        <v>367</v>
      </c>
      <c r="AW75" s="14" t="s">
        <v>356</v>
      </c>
      <c r="AX75" s="14" t="s">
        <v>358</v>
      </c>
      <c r="AY75" s="14" t="s">
        <v>356</v>
      </c>
      <c r="AZ75" s="14" t="s">
        <v>367</v>
      </c>
      <c r="BA75" s="14" t="s">
        <v>367</v>
      </c>
      <c r="BB75" s="17" t="s">
        <v>727</v>
      </c>
      <c r="BC75" s="17" t="s">
        <v>728</v>
      </c>
      <c r="BD75" s="17" t="s">
        <v>729</v>
      </c>
      <c r="BE75" s="14"/>
      <c r="BF75" s="14"/>
      <c r="BG75" s="14"/>
    </row>
    <row r="76" spans="1:59" ht="409.6" x14ac:dyDescent="0.15">
      <c r="A76" s="14" t="s">
        <v>362</v>
      </c>
      <c r="B76" s="14" t="s">
        <v>362</v>
      </c>
      <c r="C76" s="14" t="s">
        <v>362</v>
      </c>
      <c r="D76" s="14" t="s">
        <v>362</v>
      </c>
      <c r="E76" s="14" t="s">
        <v>362</v>
      </c>
      <c r="F76" s="14" t="s">
        <v>377</v>
      </c>
      <c r="G76" s="14" t="s">
        <v>377</v>
      </c>
      <c r="H76" s="14" t="s">
        <v>362</v>
      </c>
      <c r="I76" s="14" t="s">
        <v>362</v>
      </c>
      <c r="J76" s="14" t="s">
        <v>363</v>
      </c>
      <c r="K76" s="14" t="s">
        <v>363</v>
      </c>
      <c r="L76" s="14" t="s">
        <v>363</v>
      </c>
      <c r="M76" s="14" t="s">
        <v>362</v>
      </c>
      <c r="N76" s="14" t="s">
        <v>362</v>
      </c>
      <c r="O76" s="14" t="s">
        <v>362</v>
      </c>
      <c r="P76" s="14" t="s">
        <v>362</v>
      </c>
      <c r="Q76" s="14" t="s">
        <v>362</v>
      </c>
      <c r="R76" s="17" t="s">
        <v>730</v>
      </c>
      <c r="S76" s="14" t="s">
        <v>372</v>
      </c>
      <c r="T76" s="14" t="s">
        <v>351</v>
      </c>
      <c r="U76" s="14" t="s">
        <v>353</v>
      </c>
      <c r="V76" s="14" t="s">
        <v>372</v>
      </c>
      <c r="W76" s="14" t="s">
        <v>353</v>
      </c>
      <c r="X76" s="14" t="s">
        <v>353</v>
      </c>
      <c r="Y76" s="14" t="s">
        <v>353</v>
      </c>
      <c r="Z76" s="14" t="s">
        <v>353</v>
      </c>
      <c r="AA76" s="14" t="s">
        <v>353</v>
      </c>
      <c r="AB76" s="14" t="s">
        <v>372</v>
      </c>
      <c r="AC76" s="14" t="s">
        <v>351</v>
      </c>
      <c r="AD76" s="14" t="s">
        <v>353</v>
      </c>
      <c r="AE76" s="14" t="s">
        <v>353</v>
      </c>
      <c r="AF76" s="14" t="s">
        <v>353</v>
      </c>
      <c r="AG76" s="14" t="s">
        <v>353</v>
      </c>
      <c r="AH76" s="14" t="s">
        <v>353</v>
      </c>
      <c r="AI76" s="14" t="s">
        <v>353</v>
      </c>
      <c r="AJ76" s="17" t="s">
        <v>731</v>
      </c>
      <c r="AK76" s="14" t="s">
        <v>358</v>
      </c>
      <c r="AL76" s="14" t="s">
        <v>356</v>
      </c>
      <c r="AM76" s="14" t="s">
        <v>356</v>
      </c>
      <c r="AN76" s="14" t="s">
        <v>358</v>
      </c>
      <c r="AO76" s="14" t="s">
        <v>358</v>
      </c>
      <c r="AP76" s="14" t="s">
        <v>358</v>
      </c>
      <c r="AQ76" s="14" t="s">
        <v>356</v>
      </c>
      <c r="AR76" s="14" t="s">
        <v>358</v>
      </c>
      <c r="AS76" s="14" t="s">
        <v>356</v>
      </c>
      <c r="AT76" s="14" t="s">
        <v>358</v>
      </c>
      <c r="AU76" s="14" t="s">
        <v>358</v>
      </c>
      <c r="AV76" s="14" t="s">
        <v>358</v>
      </c>
      <c r="AW76" s="14" t="s">
        <v>358</v>
      </c>
      <c r="AX76" s="14" t="s">
        <v>358</v>
      </c>
      <c r="AY76" s="14" t="s">
        <v>356</v>
      </c>
      <c r="AZ76" s="14" t="s">
        <v>356</v>
      </c>
      <c r="BA76" s="14" t="s">
        <v>356</v>
      </c>
      <c r="BB76" s="17" t="s">
        <v>732</v>
      </c>
      <c r="BC76" s="17" t="s">
        <v>733</v>
      </c>
      <c r="BD76" s="17" t="s">
        <v>734</v>
      </c>
      <c r="BE76" s="14"/>
      <c r="BF76" s="14"/>
      <c r="BG76" s="14"/>
    </row>
    <row r="77" spans="1:59" ht="409.6" x14ac:dyDescent="0.15">
      <c r="A77" s="14" t="s">
        <v>349</v>
      </c>
      <c r="B77" s="14" t="s">
        <v>348</v>
      </c>
      <c r="C77" s="14" t="s">
        <v>362</v>
      </c>
      <c r="D77" s="14" t="s">
        <v>348</v>
      </c>
      <c r="E77" s="14" t="s">
        <v>348</v>
      </c>
      <c r="F77" s="14" t="s">
        <v>362</v>
      </c>
      <c r="G77" s="14" t="s">
        <v>348</v>
      </c>
      <c r="H77" s="14" t="s">
        <v>363</v>
      </c>
      <c r="I77" s="14" t="s">
        <v>348</v>
      </c>
      <c r="J77" s="14" t="s">
        <v>348</v>
      </c>
      <c r="K77" s="14" t="s">
        <v>348</v>
      </c>
      <c r="L77" s="14" t="s">
        <v>348</v>
      </c>
      <c r="M77" s="14" t="s">
        <v>349</v>
      </c>
      <c r="N77" s="14" t="s">
        <v>348</v>
      </c>
      <c r="O77" s="14" t="s">
        <v>348</v>
      </c>
      <c r="P77" s="14" t="s">
        <v>349</v>
      </c>
      <c r="Q77" s="14" t="s">
        <v>348</v>
      </c>
      <c r="R77" s="17" t="s">
        <v>735</v>
      </c>
      <c r="S77" s="14" t="s">
        <v>352</v>
      </c>
      <c r="T77" s="14" t="s">
        <v>353</v>
      </c>
      <c r="U77" s="14" t="s">
        <v>353</v>
      </c>
      <c r="V77" s="14" t="s">
        <v>354</v>
      </c>
      <c r="W77" s="14" t="s">
        <v>353</v>
      </c>
      <c r="X77" s="14" t="s">
        <v>351</v>
      </c>
      <c r="Y77" s="14" t="s">
        <v>354</v>
      </c>
      <c r="Z77" s="14" t="s">
        <v>354</v>
      </c>
      <c r="AA77" s="14" t="s">
        <v>354</v>
      </c>
      <c r="AB77" s="14" t="s">
        <v>353</v>
      </c>
      <c r="AC77" s="14" t="s">
        <v>352</v>
      </c>
      <c r="AD77" s="14" t="s">
        <v>354</v>
      </c>
      <c r="AE77" s="14" t="s">
        <v>354</v>
      </c>
      <c r="AF77" s="14" t="s">
        <v>351</v>
      </c>
      <c r="AG77" s="14" t="s">
        <v>353</v>
      </c>
      <c r="AH77" s="14" t="s">
        <v>353</v>
      </c>
      <c r="AI77" s="14" t="s">
        <v>352</v>
      </c>
      <c r="AJ77" s="17" t="s">
        <v>736</v>
      </c>
      <c r="AK77" s="14" t="s">
        <v>356</v>
      </c>
      <c r="AL77" s="14" t="s">
        <v>357</v>
      </c>
      <c r="AM77" s="14" t="s">
        <v>356</v>
      </c>
      <c r="AN77" s="14" t="s">
        <v>357</v>
      </c>
      <c r="AO77" s="14" t="s">
        <v>357</v>
      </c>
      <c r="AP77" s="14" t="s">
        <v>366</v>
      </c>
      <c r="AQ77" s="14" t="s">
        <v>357</v>
      </c>
      <c r="AR77" s="14" t="s">
        <v>366</v>
      </c>
      <c r="AS77" s="14" t="s">
        <v>357</v>
      </c>
      <c r="AT77" s="14" t="s">
        <v>358</v>
      </c>
      <c r="AU77" s="14" t="s">
        <v>358</v>
      </c>
      <c r="AV77" s="14" t="s">
        <v>357</v>
      </c>
      <c r="AW77" s="14" t="s">
        <v>357</v>
      </c>
      <c r="AX77" s="14" t="s">
        <v>357</v>
      </c>
      <c r="AY77" s="14" t="s">
        <v>356</v>
      </c>
      <c r="AZ77" s="14" t="s">
        <v>367</v>
      </c>
      <c r="BA77" s="14" t="s">
        <v>356</v>
      </c>
      <c r="BB77" s="17" t="s">
        <v>737</v>
      </c>
      <c r="BC77" s="17" t="s">
        <v>738</v>
      </c>
      <c r="BD77" s="17" t="s">
        <v>739</v>
      </c>
      <c r="BE77" s="14"/>
      <c r="BF77" s="14"/>
      <c r="BG77" s="14"/>
    </row>
    <row r="78" spans="1:59" ht="176" x14ac:dyDescent="0.15">
      <c r="A78" s="14" t="s">
        <v>348</v>
      </c>
      <c r="B78" s="14" t="s">
        <v>348</v>
      </c>
      <c r="C78" s="14" t="s">
        <v>349</v>
      </c>
      <c r="D78" s="14" t="s">
        <v>348</v>
      </c>
      <c r="E78" s="14" t="s">
        <v>349</v>
      </c>
      <c r="F78" s="14" t="s">
        <v>349</v>
      </c>
      <c r="G78" s="14" t="s">
        <v>348</v>
      </c>
      <c r="H78" s="14" t="s">
        <v>348</v>
      </c>
      <c r="I78" s="14" t="s">
        <v>348</v>
      </c>
      <c r="J78" s="14" t="s">
        <v>349</v>
      </c>
      <c r="K78" s="14" t="s">
        <v>348</v>
      </c>
      <c r="L78" s="14" t="s">
        <v>348</v>
      </c>
      <c r="M78" s="14" t="s">
        <v>348</v>
      </c>
      <c r="N78" s="14" t="s">
        <v>348</v>
      </c>
      <c r="O78" s="14" t="s">
        <v>348</v>
      </c>
      <c r="P78" s="14" t="s">
        <v>348</v>
      </c>
      <c r="Q78" s="14" t="s">
        <v>348</v>
      </c>
      <c r="R78" s="17" t="s">
        <v>740</v>
      </c>
      <c r="S78" s="14" t="s">
        <v>353</v>
      </c>
      <c r="T78" s="14" t="s">
        <v>351</v>
      </c>
      <c r="U78" s="14" t="s">
        <v>351</v>
      </c>
      <c r="V78" s="14" t="s">
        <v>351</v>
      </c>
      <c r="W78" s="14" t="s">
        <v>354</v>
      </c>
      <c r="X78" s="14" t="s">
        <v>354</v>
      </c>
      <c r="Y78" s="14" t="s">
        <v>353</v>
      </c>
      <c r="Z78" s="14" t="s">
        <v>372</v>
      </c>
      <c r="AA78" s="14" t="s">
        <v>372</v>
      </c>
      <c r="AB78" s="14" t="s">
        <v>354</v>
      </c>
      <c r="AC78" s="14" t="s">
        <v>372</v>
      </c>
      <c r="AD78" s="14" t="s">
        <v>354</v>
      </c>
      <c r="AE78" s="14" t="s">
        <v>354</v>
      </c>
      <c r="AF78" s="14" t="s">
        <v>353</v>
      </c>
      <c r="AG78" s="14" t="s">
        <v>354</v>
      </c>
      <c r="AH78" s="14" t="s">
        <v>354</v>
      </c>
      <c r="AI78" s="14" t="s">
        <v>353</v>
      </c>
      <c r="AJ78" s="17" t="s">
        <v>741</v>
      </c>
      <c r="AK78" s="14" t="s">
        <v>357</v>
      </c>
      <c r="AL78" s="14" t="s">
        <v>357</v>
      </c>
      <c r="AM78" s="14" t="s">
        <v>358</v>
      </c>
      <c r="AN78" s="14" t="s">
        <v>358</v>
      </c>
      <c r="AO78" s="14" t="s">
        <v>357</v>
      </c>
      <c r="AP78" s="14" t="s">
        <v>358</v>
      </c>
      <c r="AQ78" s="14" t="s">
        <v>357</v>
      </c>
      <c r="AR78" s="14" t="s">
        <v>356</v>
      </c>
      <c r="AS78" s="14" t="s">
        <v>357</v>
      </c>
      <c r="AT78" s="14" t="s">
        <v>356</v>
      </c>
      <c r="AU78" s="14" t="s">
        <v>358</v>
      </c>
      <c r="AV78" s="14" t="s">
        <v>357</v>
      </c>
      <c r="AW78" s="14" t="s">
        <v>357</v>
      </c>
      <c r="AX78" s="14" t="s">
        <v>357</v>
      </c>
      <c r="AY78" s="14" t="s">
        <v>356</v>
      </c>
      <c r="AZ78" s="14" t="s">
        <v>357</v>
      </c>
      <c r="BA78" s="14" t="s">
        <v>356</v>
      </c>
      <c r="BB78" s="17" t="s">
        <v>742</v>
      </c>
      <c r="BC78" s="17" t="s">
        <v>743</v>
      </c>
      <c r="BD78" s="17" t="s">
        <v>744</v>
      </c>
      <c r="BE78" s="14"/>
      <c r="BF78" s="14"/>
      <c r="BG78" s="14"/>
    </row>
    <row r="79" spans="1:59" ht="409.6" x14ac:dyDescent="0.15">
      <c r="A79" s="14" t="s">
        <v>349</v>
      </c>
      <c r="B79" s="14" t="s">
        <v>349</v>
      </c>
      <c r="C79" s="14" t="s">
        <v>348</v>
      </c>
      <c r="D79" s="14" t="s">
        <v>377</v>
      </c>
      <c r="E79" s="14" t="s">
        <v>349</v>
      </c>
      <c r="F79" s="14" t="s">
        <v>377</v>
      </c>
      <c r="G79" s="14" t="s">
        <v>349</v>
      </c>
      <c r="H79" s="14" t="s">
        <v>362</v>
      </c>
      <c r="I79" s="14" t="s">
        <v>377</v>
      </c>
      <c r="J79" s="14" t="s">
        <v>349</v>
      </c>
      <c r="K79" s="14" t="s">
        <v>348</v>
      </c>
      <c r="L79" s="14" t="s">
        <v>349</v>
      </c>
      <c r="M79" s="14" t="s">
        <v>362</v>
      </c>
      <c r="N79" s="14" t="s">
        <v>349</v>
      </c>
      <c r="O79" s="14" t="s">
        <v>377</v>
      </c>
      <c r="P79" s="14" t="s">
        <v>377</v>
      </c>
      <c r="Q79" s="14" t="s">
        <v>362</v>
      </c>
      <c r="R79" s="17" t="s">
        <v>745</v>
      </c>
      <c r="S79" s="14" t="s">
        <v>353</v>
      </c>
      <c r="T79" s="14" t="s">
        <v>353</v>
      </c>
      <c r="U79" s="14" t="s">
        <v>372</v>
      </c>
      <c r="V79" s="14" t="s">
        <v>372</v>
      </c>
      <c r="W79" s="14" t="s">
        <v>372</v>
      </c>
      <c r="X79" s="14" t="s">
        <v>351</v>
      </c>
      <c r="Y79" s="14" t="s">
        <v>372</v>
      </c>
      <c r="Z79" s="14" t="s">
        <v>351</v>
      </c>
      <c r="AA79" s="14" t="s">
        <v>372</v>
      </c>
      <c r="AB79" s="14" t="s">
        <v>372</v>
      </c>
      <c r="AC79" s="14" t="s">
        <v>351</v>
      </c>
      <c r="AD79" s="14" t="s">
        <v>351</v>
      </c>
      <c r="AE79" s="14" t="s">
        <v>372</v>
      </c>
      <c r="AF79" s="14" t="s">
        <v>372</v>
      </c>
      <c r="AG79" s="14" t="s">
        <v>353</v>
      </c>
      <c r="AH79" s="14" t="s">
        <v>353</v>
      </c>
      <c r="AI79" s="14" t="s">
        <v>372</v>
      </c>
      <c r="AJ79" s="17" t="s">
        <v>746</v>
      </c>
      <c r="AK79" s="14" t="s">
        <v>358</v>
      </c>
      <c r="AL79" s="14" t="s">
        <v>358</v>
      </c>
      <c r="AM79" s="14" t="s">
        <v>356</v>
      </c>
      <c r="AN79" s="14" t="s">
        <v>356</v>
      </c>
      <c r="AO79" s="14" t="s">
        <v>357</v>
      </c>
      <c r="AP79" s="14" t="s">
        <v>356</v>
      </c>
      <c r="AQ79" s="14" t="s">
        <v>358</v>
      </c>
      <c r="AR79" s="14" t="s">
        <v>356</v>
      </c>
      <c r="AS79" s="14" t="s">
        <v>358</v>
      </c>
      <c r="AT79" s="14" t="s">
        <v>358</v>
      </c>
      <c r="AU79" s="14" t="s">
        <v>357</v>
      </c>
      <c r="AV79" s="14" t="s">
        <v>356</v>
      </c>
      <c r="AW79" s="14" t="s">
        <v>356</v>
      </c>
      <c r="AX79" s="14" t="s">
        <v>358</v>
      </c>
      <c r="AY79" s="14" t="s">
        <v>358</v>
      </c>
      <c r="AZ79" s="14" t="s">
        <v>356</v>
      </c>
      <c r="BA79" s="14" t="s">
        <v>356</v>
      </c>
      <c r="BB79" s="17" t="s">
        <v>747</v>
      </c>
      <c r="BC79" s="17" t="s">
        <v>748</v>
      </c>
      <c r="BD79" s="17" t="s">
        <v>749</v>
      </c>
      <c r="BE79" s="14"/>
      <c r="BF79" s="14"/>
      <c r="BG79" s="14"/>
    </row>
    <row r="80" spans="1:59" ht="256" x14ac:dyDescent="0.15">
      <c r="A80" s="14" t="s">
        <v>349</v>
      </c>
      <c r="B80" s="14" t="s">
        <v>349</v>
      </c>
      <c r="C80" s="14" t="s">
        <v>377</v>
      </c>
      <c r="D80" s="14" t="s">
        <v>349</v>
      </c>
      <c r="E80" s="14" t="s">
        <v>362</v>
      </c>
      <c r="F80" s="14" t="s">
        <v>377</v>
      </c>
      <c r="G80" s="14" t="s">
        <v>363</v>
      </c>
      <c r="H80" s="14" t="s">
        <v>362</v>
      </c>
      <c r="I80" s="14" t="s">
        <v>349</v>
      </c>
      <c r="J80" s="14" t="s">
        <v>349</v>
      </c>
      <c r="K80" s="14" t="s">
        <v>349</v>
      </c>
      <c r="L80" s="14" t="s">
        <v>362</v>
      </c>
      <c r="M80" s="14" t="s">
        <v>363</v>
      </c>
      <c r="N80" s="14" t="s">
        <v>362</v>
      </c>
      <c r="O80" s="14" t="s">
        <v>362</v>
      </c>
      <c r="P80" s="14" t="s">
        <v>363</v>
      </c>
      <c r="Q80" s="14" t="s">
        <v>363</v>
      </c>
      <c r="R80" s="17" t="s">
        <v>750</v>
      </c>
      <c r="S80" s="14" t="s">
        <v>372</v>
      </c>
      <c r="T80" s="14" t="s">
        <v>351</v>
      </c>
      <c r="U80" s="14" t="s">
        <v>372</v>
      </c>
      <c r="V80" s="14" t="s">
        <v>372</v>
      </c>
      <c r="W80" s="14" t="s">
        <v>352</v>
      </c>
      <c r="X80" s="14" t="s">
        <v>351</v>
      </c>
      <c r="Y80" s="14" t="s">
        <v>372</v>
      </c>
      <c r="Z80" s="14" t="s">
        <v>353</v>
      </c>
      <c r="AA80" s="14" t="s">
        <v>353</v>
      </c>
      <c r="AB80" s="14" t="s">
        <v>353</v>
      </c>
      <c r="AC80" s="14" t="s">
        <v>352</v>
      </c>
      <c r="AD80" s="14" t="s">
        <v>352</v>
      </c>
      <c r="AE80" s="14" t="s">
        <v>372</v>
      </c>
      <c r="AF80" s="14" t="s">
        <v>352</v>
      </c>
      <c r="AG80" s="14" t="s">
        <v>372</v>
      </c>
      <c r="AH80" s="14" t="s">
        <v>351</v>
      </c>
      <c r="AI80" s="14" t="s">
        <v>353</v>
      </c>
      <c r="AJ80" s="17" t="s">
        <v>751</v>
      </c>
      <c r="AK80" s="14" t="s">
        <v>356</v>
      </c>
      <c r="AL80" s="14" t="s">
        <v>367</v>
      </c>
      <c r="AM80" s="14" t="s">
        <v>358</v>
      </c>
      <c r="AN80" s="14" t="s">
        <v>356</v>
      </c>
      <c r="AO80" s="14" t="s">
        <v>356</v>
      </c>
      <c r="AP80" s="14" t="s">
        <v>356</v>
      </c>
      <c r="AQ80" s="14" t="s">
        <v>367</v>
      </c>
      <c r="AR80" s="14" t="s">
        <v>356</v>
      </c>
      <c r="AS80" s="14" t="s">
        <v>358</v>
      </c>
      <c r="AT80" s="14" t="s">
        <v>358</v>
      </c>
      <c r="AU80" s="14" t="s">
        <v>367</v>
      </c>
      <c r="AV80" s="14" t="s">
        <v>356</v>
      </c>
      <c r="AW80" s="14" t="s">
        <v>366</v>
      </c>
      <c r="AX80" s="14" t="s">
        <v>367</v>
      </c>
      <c r="AY80" s="14" t="s">
        <v>366</v>
      </c>
      <c r="AZ80" s="14" t="s">
        <v>366</v>
      </c>
      <c r="BA80" s="14" t="s">
        <v>367</v>
      </c>
      <c r="BB80" s="17" t="s">
        <v>752</v>
      </c>
      <c r="BC80" s="17" t="s">
        <v>753</v>
      </c>
      <c r="BD80" s="17" t="s">
        <v>754</v>
      </c>
      <c r="BE80" s="14"/>
      <c r="BF80" s="14"/>
      <c r="BG80" s="14"/>
    </row>
    <row r="81" spans="1:59" ht="96" x14ac:dyDescent="0.15">
      <c r="A81" s="14" t="s">
        <v>349</v>
      </c>
      <c r="B81" s="14" t="s">
        <v>348</v>
      </c>
      <c r="C81" s="14" t="s">
        <v>377</v>
      </c>
      <c r="D81" s="14" t="s">
        <v>363</v>
      </c>
      <c r="E81" s="14" t="s">
        <v>363</v>
      </c>
      <c r="F81" s="14" t="s">
        <v>362</v>
      </c>
      <c r="G81" s="14" t="s">
        <v>348</v>
      </c>
      <c r="H81" s="14" t="s">
        <v>349</v>
      </c>
      <c r="I81" s="14" t="s">
        <v>348</v>
      </c>
      <c r="J81" s="14" t="s">
        <v>362</v>
      </c>
      <c r="K81" s="14" t="s">
        <v>348</v>
      </c>
      <c r="L81" s="14" t="s">
        <v>362</v>
      </c>
      <c r="M81" s="14" t="s">
        <v>348</v>
      </c>
      <c r="N81" s="14" t="s">
        <v>363</v>
      </c>
      <c r="O81" s="14" t="s">
        <v>362</v>
      </c>
      <c r="P81" s="14" t="s">
        <v>363</v>
      </c>
      <c r="Q81" s="14" t="s">
        <v>362</v>
      </c>
      <c r="R81" s="17" t="s">
        <v>755</v>
      </c>
      <c r="S81" s="14" t="s">
        <v>351</v>
      </c>
      <c r="T81" s="14" t="s">
        <v>372</v>
      </c>
      <c r="U81" s="14" t="s">
        <v>352</v>
      </c>
      <c r="V81" s="14" t="s">
        <v>353</v>
      </c>
      <c r="W81" s="14" t="s">
        <v>352</v>
      </c>
      <c r="X81" s="14" t="s">
        <v>354</v>
      </c>
      <c r="Y81" s="14" t="s">
        <v>352</v>
      </c>
      <c r="Z81" s="14" t="s">
        <v>351</v>
      </c>
      <c r="AA81" s="14" t="s">
        <v>354</v>
      </c>
      <c r="AB81" s="14" t="s">
        <v>353</v>
      </c>
      <c r="AC81" s="14" t="s">
        <v>351</v>
      </c>
      <c r="AD81" s="14" t="s">
        <v>353</v>
      </c>
      <c r="AE81" s="14" t="s">
        <v>352</v>
      </c>
      <c r="AF81" s="14" t="s">
        <v>353</v>
      </c>
      <c r="AG81" s="14" t="s">
        <v>354</v>
      </c>
      <c r="AH81" s="14" t="s">
        <v>352</v>
      </c>
      <c r="AI81" s="14" t="s">
        <v>351</v>
      </c>
      <c r="AJ81" s="17" t="s">
        <v>756</v>
      </c>
      <c r="AK81" s="14" t="s">
        <v>401</v>
      </c>
      <c r="AL81" s="14" t="s">
        <v>357</v>
      </c>
      <c r="AM81" s="14" t="s">
        <v>401</v>
      </c>
      <c r="AN81" s="14" t="s">
        <v>356</v>
      </c>
      <c r="AO81" s="14" t="s">
        <v>366</v>
      </c>
      <c r="AP81" s="14" t="s">
        <v>401</v>
      </c>
      <c r="AQ81" s="14" t="s">
        <v>357</v>
      </c>
      <c r="AR81" s="14" t="s">
        <v>401</v>
      </c>
      <c r="AS81" s="14" t="s">
        <v>401</v>
      </c>
      <c r="AT81" s="14" t="s">
        <v>366</v>
      </c>
      <c r="AU81" s="14" t="s">
        <v>358</v>
      </c>
      <c r="AV81" s="14" t="s">
        <v>367</v>
      </c>
      <c r="AW81" s="14" t="s">
        <v>357</v>
      </c>
      <c r="AX81" s="14" t="s">
        <v>358</v>
      </c>
      <c r="AY81" s="14" t="s">
        <v>357</v>
      </c>
      <c r="AZ81" s="14" t="s">
        <v>356</v>
      </c>
      <c r="BA81" s="14" t="s">
        <v>401</v>
      </c>
      <c r="BB81" s="17" t="s">
        <v>757</v>
      </c>
      <c r="BC81" s="17" t="s">
        <v>758</v>
      </c>
      <c r="BD81" s="17" t="s">
        <v>759</v>
      </c>
      <c r="BE81" s="14"/>
      <c r="BF81" s="14"/>
      <c r="BG81" s="14"/>
    </row>
    <row r="82" spans="1:59" ht="304" x14ac:dyDescent="0.15">
      <c r="A82" s="14" t="s">
        <v>348</v>
      </c>
      <c r="B82" s="14" t="s">
        <v>349</v>
      </c>
      <c r="C82" s="14" t="s">
        <v>348</v>
      </c>
      <c r="D82" s="14" t="s">
        <v>363</v>
      </c>
      <c r="E82" s="14" t="s">
        <v>348</v>
      </c>
      <c r="F82" s="14" t="s">
        <v>348</v>
      </c>
      <c r="G82" s="14" t="s">
        <v>349</v>
      </c>
      <c r="H82" s="14" t="s">
        <v>348</v>
      </c>
      <c r="I82" s="14" t="s">
        <v>349</v>
      </c>
      <c r="J82" s="14" t="s">
        <v>348</v>
      </c>
      <c r="K82" s="14" t="s">
        <v>348</v>
      </c>
      <c r="L82" s="14" t="s">
        <v>349</v>
      </c>
      <c r="M82" s="14" t="s">
        <v>363</v>
      </c>
      <c r="N82" s="14" t="s">
        <v>363</v>
      </c>
      <c r="O82" s="14" t="s">
        <v>349</v>
      </c>
      <c r="P82" s="14" t="s">
        <v>377</v>
      </c>
      <c r="Q82" s="14" t="s">
        <v>349</v>
      </c>
      <c r="R82" s="17" t="s">
        <v>760</v>
      </c>
      <c r="S82" s="14" t="s">
        <v>351</v>
      </c>
      <c r="T82" s="14" t="s">
        <v>351</v>
      </c>
      <c r="U82" s="14" t="s">
        <v>352</v>
      </c>
      <c r="V82" s="14" t="s">
        <v>351</v>
      </c>
      <c r="W82" s="14" t="s">
        <v>352</v>
      </c>
      <c r="X82" s="14" t="s">
        <v>351</v>
      </c>
      <c r="Y82" s="14" t="s">
        <v>353</v>
      </c>
      <c r="Z82" s="14" t="s">
        <v>351</v>
      </c>
      <c r="AA82" s="14" t="s">
        <v>372</v>
      </c>
      <c r="AB82" s="14" t="s">
        <v>351</v>
      </c>
      <c r="AC82" s="14" t="s">
        <v>352</v>
      </c>
      <c r="AD82" s="14" t="s">
        <v>351</v>
      </c>
      <c r="AE82" s="14" t="s">
        <v>372</v>
      </c>
      <c r="AF82" s="14" t="s">
        <v>352</v>
      </c>
      <c r="AG82" s="14" t="s">
        <v>351</v>
      </c>
      <c r="AH82" s="14" t="s">
        <v>354</v>
      </c>
      <c r="AI82" s="14" t="s">
        <v>351</v>
      </c>
      <c r="AJ82" s="17" t="s">
        <v>761</v>
      </c>
      <c r="AK82" s="14" t="s">
        <v>358</v>
      </c>
      <c r="AL82" s="14" t="s">
        <v>356</v>
      </c>
      <c r="AM82" s="14" t="s">
        <v>356</v>
      </c>
      <c r="AN82" s="14" t="s">
        <v>358</v>
      </c>
      <c r="AO82" s="14" t="s">
        <v>357</v>
      </c>
      <c r="AP82" s="14" t="s">
        <v>358</v>
      </c>
      <c r="AQ82" s="14" t="s">
        <v>356</v>
      </c>
      <c r="AR82" s="14" t="s">
        <v>358</v>
      </c>
      <c r="AS82" s="14" t="s">
        <v>358</v>
      </c>
      <c r="AT82" s="14" t="s">
        <v>357</v>
      </c>
      <c r="AU82" s="14" t="s">
        <v>357</v>
      </c>
      <c r="AV82" s="14" t="s">
        <v>358</v>
      </c>
      <c r="AW82" s="14" t="s">
        <v>358</v>
      </c>
      <c r="AX82" s="14" t="s">
        <v>358</v>
      </c>
      <c r="AY82" s="14" t="s">
        <v>356</v>
      </c>
      <c r="AZ82" s="14" t="s">
        <v>366</v>
      </c>
      <c r="BA82" s="14" t="s">
        <v>358</v>
      </c>
      <c r="BB82" s="17" t="s">
        <v>762</v>
      </c>
      <c r="BC82" s="17" t="s">
        <v>763</v>
      </c>
      <c r="BD82" s="17" t="s">
        <v>764</v>
      </c>
      <c r="BE82" s="14"/>
      <c r="BF82" s="14"/>
      <c r="BG82" s="14"/>
    </row>
    <row r="83" spans="1:59" ht="409.6" x14ac:dyDescent="0.15">
      <c r="A83" s="14" t="s">
        <v>348</v>
      </c>
      <c r="B83" s="14" t="s">
        <v>349</v>
      </c>
      <c r="C83" s="14" t="s">
        <v>348</v>
      </c>
      <c r="D83" s="14" t="s">
        <v>348</v>
      </c>
      <c r="E83" s="14" t="s">
        <v>348</v>
      </c>
      <c r="F83" s="14" t="s">
        <v>349</v>
      </c>
      <c r="G83" s="14" t="s">
        <v>349</v>
      </c>
      <c r="H83" s="14" t="s">
        <v>349</v>
      </c>
      <c r="I83" s="14" t="s">
        <v>349</v>
      </c>
      <c r="J83" s="14" t="s">
        <v>348</v>
      </c>
      <c r="K83" s="14" t="s">
        <v>349</v>
      </c>
      <c r="L83" s="14" t="s">
        <v>348</v>
      </c>
      <c r="M83" s="14" t="s">
        <v>349</v>
      </c>
      <c r="N83" s="14" t="s">
        <v>348</v>
      </c>
      <c r="O83" s="14" t="s">
        <v>349</v>
      </c>
      <c r="P83" s="14" t="s">
        <v>348</v>
      </c>
      <c r="Q83" s="14" t="s">
        <v>349</v>
      </c>
      <c r="R83" s="17" t="s">
        <v>765</v>
      </c>
      <c r="S83" s="14" t="s">
        <v>353</v>
      </c>
      <c r="T83" s="14" t="s">
        <v>351</v>
      </c>
      <c r="U83" s="14" t="s">
        <v>353</v>
      </c>
      <c r="V83" s="14" t="s">
        <v>353</v>
      </c>
      <c r="W83" s="14" t="s">
        <v>354</v>
      </c>
      <c r="X83" s="14" t="s">
        <v>353</v>
      </c>
      <c r="Y83" s="14" t="s">
        <v>351</v>
      </c>
      <c r="Z83" s="14" t="s">
        <v>354</v>
      </c>
      <c r="AA83" s="14" t="s">
        <v>354</v>
      </c>
      <c r="AB83" s="14" t="s">
        <v>354</v>
      </c>
      <c r="AC83" s="14" t="s">
        <v>351</v>
      </c>
      <c r="AD83" s="14" t="s">
        <v>353</v>
      </c>
      <c r="AE83" s="14" t="s">
        <v>353</v>
      </c>
      <c r="AF83" s="14" t="s">
        <v>353</v>
      </c>
      <c r="AG83" s="14" t="s">
        <v>353</v>
      </c>
      <c r="AH83" s="14" t="s">
        <v>353</v>
      </c>
      <c r="AI83" s="14" t="s">
        <v>372</v>
      </c>
      <c r="AJ83" s="17" t="s">
        <v>766</v>
      </c>
      <c r="AK83" s="14" t="s">
        <v>357</v>
      </c>
      <c r="AL83" s="14" t="s">
        <v>358</v>
      </c>
      <c r="AM83" s="14" t="s">
        <v>356</v>
      </c>
      <c r="AN83" s="14" t="s">
        <v>357</v>
      </c>
      <c r="AO83" s="14" t="s">
        <v>356</v>
      </c>
      <c r="AP83" s="14" t="s">
        <v>358</v>
      </c>
      <c r="AQ83" s="14" t="s">
        <v>357</v>
      </c>
      <c r="AR83" s="14" t="s">
        <v>357</v>
      </c>
      <c r="AS83" s="14" t="s">
        <v>358</v>
      </c>
      <c r="AT83" s="14" t="s">
        <v>358</v>
      </c>
      <c r="AU83" s="14" t="s">
        <v>356</v>
      </c>
      <c r="AV83" s="14" t="s">
        <v>358</v>
      </c>
      <c r="AW83" s="14" t="s">
        <v>358</v>
      </c>
      <c r="AX83" s="14" t="s">
        <v>358</v>
      </c>
      <c r="AY83" s="14" t="s">
        <v>358</v>
      </c>
      <c r="AZ83" s="14" t="s">
        <v>358</v>
      </c>
      <c r="BA83" s="14" t="s">
        <v>356</v>
      </c>
      <c r="BB83" s="17" t="s">
        <v>767</v>
      </c>
      <c r="BC83" s="17" t="s">
        <v>768</v>
      </c>
      <c r="BD83" s="17" t="s">
        <v>769</v>
      </c>
      <c r="BE83" s="14"/>
      <c r="BF83" s="14"/>
      <c r="BG83" s="14"/>
    </row>
    <row r="84" spans="1:59" ht="96" x14ac:dyDescent="0.15">
      <c r="A84" s="14" t="s">
        <v>349</v>
      </c>
      <c r="B84" s="14" t="s">
        <v>348</v>
      </c>
      <c r="C84" s="14" t="s">
        <v>349</v>
      </c>
      <c r="D84" s="14" t="s">
        <v>349</v>
      </c>
      <c r="E84" s="14" t="s">
        <v>348</v>
      </c>
      <c r="F84" s="14" t="s">
        <v>349</v>
      </c>
      <c r="G84" s="14" t="s">
        <v>349</v>
      </c>
      <c r="H84" s="14" t="s">
        <v>349</v>
      </c>
      <c r="I84" s="14" t="s">
        <v>349</v>
      </c>
      <c r="J84" s="14" t="s">
        <v>349</v>
      </c>
      <c r="K84" s="14" t="s">
        <v>348</v>
      </c>
      <c r="L84" s="14" t="s">
        <v>349</v>
      </c>
      <c r="M84" s="14" t="s">
        <v>348</v>
      </c>
      <c r="N84" s="14" t="s">
        <v>349</v>
      </c>
      <c r="O84" s="14" t="s">
        <v>349</v>
      </c>
      <c r="P84" s="14" t="s">
        <v>348</v>
      </c>
      <c r="Q84" s="14" t="s">
        <v>349</v>
      </c>
      <c r="R84" s="17" t="s">
        <v>770</v>
      </c>
      <c r="S84" s="14" t="s">
        <v>372</v>
      </c>
      <c r="T84" s="14" t="s">
        <v>372</v>
      </c>
      <c r="U84" s="14" t="s">
        <v>372</v>
      </c>
      <c r="V84" s="14" t="s">
        <v>353</v>
      </c>
      <c r="W84" s="14" t="s">
        <v>354</v>
      </c>
      <c r="X84" s="14" t="s">
        <v>372</v>
      </c>
      <c r="Y84" s="14" t="s">
        <v>353</v>
      </c>
      <c r="Z84" s="14" t="s">
        <v>354</v>
      </c>
      <c r="AA84" s="14" t="s">
        <v>353</v>
      </c>
      <c r="AB84" s="14" t="s">
        <v>372</v>
      </c>
      <c r="AC84" s="14" t="s">
        <v>353</v>
      </c>
      <c r="AD84" s="14" t="s">
        <v>372</v>
      </c>
      <c r="AE84" s="14" t="s">
        <v>372</v>
      </c>
      <c r="AF84" s="14" t="s">
        <v>372</v>
      </c>
      <c r="AG84" s="14" t="s">
        <v>353</v>
      </c>
      <c r="AH84" s="14" t="s">
        <v>354</v>
      </c>
      <c r="AI84" s="14" t="s">
        <v>353</v>
      </c>
      <c r="AJ84" s="17" t="s">
        <v>771</v>
      </c>
      <c r="AK84" s="14" t="s">
        <v>357</v>
      </c>
      <c r="AL84" s="14" t="s">
        <v>357</v>
      </c>
      <c r="AM84" s="14" t="s">
        <v>357</v>
      </c>
      <c r="AN84" s="14" t="s">
        <v>357</v>
      </c>
      <c r="AO84" s="14" t="s">
        <v>357</v>
      </c>
      <c r="AP84" s="14" t="s">
        <v>358</v>
      </c>
      <c r="AQ84" s="14" t="s">
        <v>357</v>
      </c>
      <c r="AR84" s="14" t="s">
        <v>358</v>
      </c>
      <c r="AS84" s="14" t="s">
        <v>357</v>
      </c>
      <c r="AT84" s="14" t="s">
        <v>358</v>
      </c>
      <c r="AU84" s="14" t="s">
        <v>357</v>
      </c>
      <c r="AV84" s="14" t="s">
        <v>358</v>
      </c>
      <c r="AW84" s="14" t="s">
        <v>357</v>
      </c>
      <c r="AX84" s="14" t="s">
        <v>358</v>
      </c>
      <c r="AY84" s="14" t="s">
        <v>357</v>
      </c>
      <c r="AZ84" s="14" t="s">
        <v>357</v>
      </c>
      <c r="BA84" s="14" t="s">
        <v>357</v>
      </c>
      <c r="BB84" s="17" t="s">
        <v>772</v>
      </c>
      <c r="BC84" s="17" t="s">
        <v>773</v>
      </c>
      <c r="BD84" s="17" t="s">
        <v>774</v>
      </c>
      <c r="BE84" s="14"/>
      <c r="BF84" s="14"/>
      <c r="BG84" s="14"/>
    </row>
    <row r="85" spans="1:59" ht="320" x14ac:dyDescent="0.15">
      <c r="A85" s="14" t="s">
        <v>348</v>
      </c>
      <c r="B85" s="14" t="s">
        <v>349</v>
      </c>
      <c r="C85" s="14" t="s">
        <v>363</v>
      </c>
      <c r="D85" s="14" t="s">
        <v>348</v>
      </c>
      <c r="E85" s="14" t="s">
        <v>362</v>
      </c>
      <c r="F85" s="14" t="s">
        <v>363</v>
      </c>
      <c r="G85" s="14" t="s">
        <v>349</v>
      </c>
      <c r="H85" s="14" t="s">
        <v>349</v>
      </c>
      <c r="I85" s="14" t="s">
        <v>348</v>
      </c>
      <c r="J85" s="14" t="s">
        <v>349</v>
      </c>
      <c r="K85" s="14" t="s">
        <v>349</v>
      </c>
      <c r="L85" s="14" t="s">
        <v>363</v>
      </c>
      <c r="M85" s="14" t="s">
        <v>348</v>
      </c>
      <c r="N85" s="14" t="s">
        <v>349</v>
      </c>
      <c r="O85" s="14" t="s">
        <v>362</v>
      </c>
      <c r="P85" s="14" t="s">
        <v>377</v>
      </c>
      <c r="Q85" s="14" t="s">
        <v>362</v>
      </c>
      <c r="R85" s="17" t="s">
        <v>775</v>
      </c>
      <c r="S85" s="14" t="s">
        <v>353</v>
      </c>
      <c r="T85" s="14" t="s">
        <v>354</v>
      </c>
      <c r="U85" s="14" t="s">
        <v>351</v>
      </c>
      <c r="V85" s="14" t="s">
        <v>351</v>
      </c>
      <c r="W85" s="14" t="s">
        <v>372</v>
      </c>
      <c r="X85" s="14" t="s">
        <v>353</v>
      </c>
      <c r="Y85" s="14" t="s">
        <v>353</v>
      </c>
      <c r="Z85" s="14" t="s">
        <v>353</v>
      </c>
      <c r="AA85" s="14" t="s">
        <v>353</v>
      </c>
      <c r="AB85" s="14" t="s">
        <v>351</v>
      </c>
      <c r="AC85" s="14" t="s">
        <v>352</v>
      </c>
      <c r="AD85" s="14" t="s">
        <v>351</v>
      </c>
      <c r="AE85" s="14" t="s">
        <v>353</v>
      </c>
      <c r="AF85" s="14" t="s">
        <v>372</v>
      </c>
      <c r="AG85" s="14" t="s">
        <v>351</v>
      </c>
      <c r="AH85" s="14" t="s">
        <v>352</v>
      </c>
      <c r="AI85" s="14" t="s">
        <v>352</v>
      </c>
      <c r="AJ85" s="17" t="s">
        <v>776</v>
      </c>
      <c r="AK85" s="14" t="s">
        <v>358</v>
      </c>
      <c r="AL85" s="14" t="s">
        <v>357</v>
      </c>
      <c r="AM85" s="14" t="s">
        <v>366</v>
      </c>
      <c r="AN85" s="14" t="s">
        <v>357</v>
      </c>
      <c r="AO85" s="14" t="s">
        <v>357</v>
      </c>
      <c r="AP85" s="14" t="s">
        <v>358</v>
      </c>
      <c r="AQ85" s="14" t="s">
        <v>357</v>
      </c>
      <c r="AR85" s="14" t="s">
        <v>358</v>
      </c>
      <c r="AS85" s="14" t="s">
        <v>357</v>
      </c>
      <c r="AT85" s="14" t="s">
        <v>357</v>
      </c>
      <c r="AU85" s="14" t="s">
        <v>358</v>
      </c>
      <c r="AV85" s="14" t="s">
        <v>357</v>
      </c>
      <c r="AW85" s="14" t="s">
        <v>357</v>
      </c>
      <c r="AX85" s="14" t="s">
        <v>358</v>
      </c>
      <c r="AY85" s="14" t="s">
        <v>366</v>
      </c>
      <c r="AZ85" s="14" t="s">
        <v>401</v>
      </c>
      <c r="BA85" s="14" t="s">
        <v>356</v>
      </c>
      <c r="BB85" s="17" t="s">
        <v>777</v>
      </c>
      <c r="BC85" s="17" t="s">
        <v>778</v>
      </c>
      <c r="BD85" s="17" t="s">
        <v>779</v>
      </c>
      <c r="BE85" s="14"/>
      <c r="BF85" s="14"/>
      <c r="BG85" s="14"/>
    </row>
    <row r="86" spans="1:59" ht="409.6" x14ac:dyDescent="0.15">
      <c r="A86" s="14" t="s">
        <v>349</v>
      </c>
      <c r="B86" s="14" t="s">
        <v>349</v>
      </c>
      <c r="C86" s="14" t="s">
        <v>348</v>
      </c>
      <c r="D86" s="14" t="s">
        <v>349</v>
      </c>
      <c r="E86" s="14" t="s">
        <v>349</v>
      </c>
      <c r="F86" s="14" t="s">
        <v>349</v>
      </c>
      <c r="G86" s="14" t="s">
        <v>348</v>
      </c>
      <c r="H86" s="14" t="s">
        <v>348</v>
      </c>
      <c r="I86" s="14" t="s">
        <v>349</v>
      </c>
      <c r="J86" s="14" t="s">
        <v>348</v>
      </c>
      <c r="K86" s="14" t="s">
        <v>349</v>
      </c>
      <c r="L86" s="14" t="s">
        <v>349</v>
      </c>
      <c r="M86" s="14" t="s">
        <v>348</v>
      </c>
      <c r="N86" s="14" t="s">
        <v>348</v>
      </c>
      <c r="O86" s="14" t="s">
        <v>349</v>
      </c>
      <c r="P86" s="14" t="s">
        <v>348</v>
      </c>
      <c r="Q86" s="14" t="s">
        <v>349</v>
      </c>
      <c r="R86" s="17" t="s">
        <v>780</v>
      </c>
      <c r="S86" s="14" t="s">
        <v>372</v>
      </c>
      <c r="T86" s="14" t="s">
        <v>353</v>
      </c>
      <c r="U86" s="14" t="s">
        <v>353</v>
      </c>
      <c r="V86" s="14" t="s">
        <v>353</v>
      </c>
      <c r="W86" s="14" t="s">
        <v>351</v>
      </c>
      <c r="X86" s="14" t="s">
        <v>372</v>
      </c>
      <c r="Y86" s="14" t="s">
        <v>353</v>
      </c>
      <c r="Z86" s="14" t="s">
        <v>353</v>
      </c>
      <c r="AA86" s="14" t="s">
        <v>372</v>
      </c>
      <c r="AB86" s="14" t="s">
        <v>372</v>
      </c>
      <c r="AC86" s="14" t="s">
        <v>372</v>
      </c>
      <c r="AD86" s="14" t="s">
        <v>353</v>
      </c>
      <c r="AE86" s="14" t="s">
        <v>372</v>
      </c>
      <c r="AF86" s="14" t="s">
        <v>372</v>
      </c>
      <c r="AG86" s="14" t="s">
        <v>353</v>
      </c>
      <c r="AH86" s="14" t="s">
        <v>353</v>
      </c>
      <c r="AI86" s="14" t="s">
        <v>372</v>
      </c>
      <c r="AJ86" s="17" t="s">
        <v>781</v>
      </c>
      <c r="AK86" s="14" t="s">
        <v>358</v>
      </c>
      <c r="AL86" s="14" t="s">
        <v>358</v>
      </c>
      <c r="AM86" s="14" t="s">
        <v>358</v>
      </c>
      <c r="AN86" s="14" t="s">
        <v>357</v>
      </c>
      <c r="AO86" s="14" t="s">
        <v>357</v>
      </c>
      <c r="AP86" s="14" t="s">
        <v>358</v>
      </c>
      <c r="AQ86" s="14" t="s">
        <v>358</v>
      </c>
      <c r="AR86" s="14" t="s">
        <v>357</v>
      </c>
      <c r="AS86" s="14" t="s">
        <v>358</v>
      </c>
      <c r="AT86" s="14" t="s">
        <v>358</v>
      </c>
      <c r="AU86" s="14" t="s">
        <v>358</v>
      </c>
      <c r="AV86" s="14" t="s">
        <v>358</v>
      </c>
      <c r="AW86" s="14" t="s">
        <v>358</v>
      </c>
      <c r="AX86" s="14" t="s">
        <v>357</v>
      </c>
      <c r="AY86" s="14" t="s">
        <v>357</v>
      </c>
      <c r="AZ86" s="14" t="s">
        <v>358</v>
      </c>
      <c r="BA86" s="14" t="s">
        <v>358</v>
      </c>
      <c r="BB86" s="17" t="s">
        <v>782</v>
      </c>
      <c r="BC86" s="17" t="s">
        <v>783</v>
      </c>
      <c r="BD86" s="17" t="s">
        <v>784</v>
      </c>
      <c r="BE86" s="14"/>
      <c r="BF86" s="14"/>
      <c r="BG86" s="14"/>
    </row>
    <row r="87" spans="1:59" ht="409.6" x14ac:dyDescent="0.15">
      <c r="A87" s="14" t="s">
        <v>349</v>
      </c>
      <c r="B87" s="14" t="s">
        <v>348</v>
      </c>
      <c r="C87" s="14" t="s">
        <v>363</v>
      </c>
      <c r="D87" s="14" t="s">
        <v>362</v>
      </c>
      <c r="E87" s="14" t="s">
        <v>377</v>
      </c>
      <c r="F87" s="14" t="s">
        <v>362</v>
      </c>
      <c r="G87" s="14" t="s">
        <v>362</v>
      </c>
      <c r="H87" s="14" t="s">
        <v>377</v>
      </c>
      <c r="I87" s="14" t="s">
        <v>362</v>
      </c>
      <c r="J87" s="14" t="s">
        <v>362</v>
      </c>
      <c r="K87" s="14" t="s">
        <v>377</v>
      </c>
      <c r="L87" s="14" t="s">
        <v>348</v>
      </c>
      <c r="M87" s="14" t="s">
        <v>349</v>
      </c>
      <c r="N87" s="14" t="s">
        <v>377</v>
      </c>
      <c r="O87" s="14" t="s">
        <v>377</v>
      </c>
      <c r="P87" s="14" t="s">
        <v>349</v>
      </c>
      <c r="Q87" s="14" t="s">
        <v>348</v>
      </c>
      <c r="R87" s="17" t="s">
        <v>785</v>
      </c>
      <c r="S87" s="14" t="s">
        <v>353</v>
      </c>
      <c r="T87" s="14" t="s">
        <v>354</v>
      </c>
      <c r="U87" s="14" t="s">
        <v>372</v>
      </c>
      <c r="V87" s="14" t="s">
        <v>353</v>
      </c>
      <c r="W87" s="14" t="s">
        <v>372</v>
      </c>
      <c r="X87" s="14" t="s">
        <v>353</v>
      </c>
      <c r="Y87" s="14" t="s">
        <v>354</v>
      </c>
      <c r="Z87" s="14" t="s">
        <v>354</v>
      </c>
      <c r="AA87" s="14" t="s">
        <v>353</v>
      </c>
      <c r="AB87" s="14" t="s">
        <v>372</v>
      </c>
      <c r="AC87" s="14" t="s">
        <v>353</v>
      </c>
      <c r="AD87" s="14" t="s">
        <v>354</v>
      </c>
      <c r="AE87" s="14" t="s">
        <v>353</v>
      </c>
      <c r="AF87" s="14" t="s">
        <v>352</v>
      </c>
      <c r="AG87" s="14" t="s">
        <v>372</v>
      </c>
      <c r="AH87" s="14" t="s">
        <v>353</v>
      </c>
      <c r="AI87" s="14" t="s">
        <v>353</v>
      </c>
      <c r="AJ87" s="17" t="s">
        <v>786</v>
      </c>
      <c r="AK87" s="14" t="s">
        <v>357</v>
      </c>
      <c r="AL87" s="14" t="s">
        <v>358</v>
      </c>
      <c r="AM87" s="14" t="s">
        <v>356</v>
      </c>
      <c r="AN87" s="14" t="s">
        <v>358</v>
      </c>
      <c r="AO87" s="14" t="s">
        <v>356</v>
      </c>
      <c r="AP87" s="14" t="s">
        <v>357</v>
      </c>
      <c r="AQ87" s="14" t="s">
        <v>358</v>
      </c>
      <c r="AR87" s="14" t="s">
        <v>357</v>
      </c>
      <c r="AS87" s="14" t="s">
        <v>358</v>
      </c>
      <c r="AT87" s="14" t="s">
        <v>356</v>
      </c>
      <c r="AU87" s="14" t="s">
        <v>358</v>
      </c>
      <c r="AV87" s="14" t="s">
        <v>358</v>
      </c>
      <c r="AW87" s="14" t="s">
        <v>356</v>
      </c>
      <c r="AX87" s="14" t="s">
        <v>358</v>
      </c>
      <c r="AY87" s="14" t="s">
        <v>356</v>
      </c>
      <c r="AZ87" s="14" t="s">
        <v>358</v>
      </c>
      <c r="BA87" s="14" t="s">
        <v>357</v>
      </c>
      <c r="BB87" s="17" t="s">
        <v>787</v>
      </c>
      <c r="BC87" s="17" t="s">
        <v>788</v>
      </c>
      <c r="BD87" s="17" t="s">
        <v>789</v>
      </c>
      <c r="BE87" s="14"/>
      <c r="BF87" s="14"/>
      <c r="BG87" s="14"/>
    </row>
    <row r="88" spans="1:59" ht="96" x14ac:dyDescent="0.15">
      <c r="A88" s="14" t="s">
        <v>349</v>
      </c>
      <c r="B88" s="14" t="s">
        <v>363</v>
      </c>
      <c r="C88" s="14" t="s">
        <v>362</v>
      </c>
      <c r="D88" s="14" t="s">
        <v>348</v>
      </c>
      <c r="E88" s="14" t="s">
        <v>349</v>
      </c>
      <c r="F88" s="14" t="s">
        <v>349</v>
      </c>
      <c r="G88" s="14" t="s">
        <v>348</v>
      </c>
      <c r="H88" s="14" t="s">
        <v>349</v>
      </c>
      <c r="I88" s="14" t="s">
        <v>348</v>
      </c>
      <c r="J88" s="14" t="s">
        <v>348</v>
      </c>
      <c r="K88" s="14" t="s">
        <v>362</v>
      </c>
      <c r="L88" s="14" t="s">
        <v>363</v>
      </c>
      <c r="M88" s="14" t="s">
        <v>363</v>
      </c>
      <c r="N88" s="14" t="s">
        <v>349</v>
      </c>
      <c r="O88" s="14" t="s">
        <v>348</v>
      </c>
      <c r="P88" s="14" t="s">
        <v>349</v>
      </c>
      <c r="Q88" s="14" t="s">
        <v>348</v>
      </c>
      <c r="R88" s="17" t="s">
        <v>790</v>
      </c>
      <c r="S88" s="14" t="s">
        <v>352</v>
      </c>
      <c r="T88" s="14" t="s">
        <v>372</v>
      </c>
      <c r="U88" s="14" t="s">
        <v>352</v>
      </c>
      <c r="V88" s="14" t="s">
        <v>353</v>
      </c>
      <c r="W88" s="14" t="s">
        <v>351</v>
      </c>
      <c r="X88" s="14" t="s">
        <v>351</v>
      </c>
      <c r="Y88" s="14" t="s">
        <v>353</v>
      </c>
      <c r="Z88" s="14" t="s">
        <v>353</v>
      </c>
      <c r="AA88" s="14" t="s">
        <v>352</v>
      </c>
      <c r="AB88" s="14" t="s">
        <v>372</v>
      </c>
      <c r="AC88" s="14" t="s">
        <v>354</v>
      </c>
      <c r="AD88" s="14" t="s">
        <v>351</v>
      </c>
      <c r="AE88" s="14" t="s">
        <v>353</v>
      </c>
      <c r="AF88" s="14" t="s">
        <v>353</v>
      </c>
      <c r="AG88" s="14" t="s">
        <v>351</v>
      </c>
      <c r="AH88" s="14" t="s">
        <v>372</v>
      </c>
      <c r="AI88" s="14" t="s">
        <v>351</v>
      </c>
      <c r="AJ88" s="17" t="s">
        <v>791</v>
      </c>
      <c r="AK88" s="14" t="s">
        <v>356</v>
      </c>
      <c r="AL88" s="14" t="s">
        <v>367</v>
      </c>
      <c r="AM88" s="14" t="s">
        <v>367</v>
      </c>
      <c r="AN88" s="14" t="s">
        <v>357</v>
      </c>
      <c r="AO88" s="14" t="s">
        <v>367</v>
      </c>
      <c r="AP88" s="14" t="s">
        <v>358</v>
      </c>
      <c r="AQ88" s="14" t="s">
        <v>357</v>
      </c>
      <c r="AR88" s="14" t="s">
        <v>358</v>
      </c>
      <c r="AS88" s="14" t="s">
        <v>367</v>
      </c>
      <c r="AT88" s="14" t="s">
        <v>358</v>
      </c>
      <c r="AU88" s="14" t="s">
        <v>366</v>
      </c>
      <c r="AV88" s="14" t="s">
        <v>357</v>
      </c>
      <c r="AW88" s="14" t="s">
        <v>357</v>
      </c>
      <c r="AX88" s="14" t="s">
        <v>357</v>
      </c>
      <c r="AY88" s="14" t="s">
        <v>356</v>
      </c>
      <c r="AZ88" s="14" t="s">
        <v>358</v>
      </c>
      <c r="BA88" s="14" t="s">
        <v>367</v>
      </c>
      <c r="BB88" s="17" t="s">
        <v>792</v>
      </c>
      <c r="BC88" s="17" t="s">
        <v>793</v>
      </c>
      <c r="BD88" s="17" t="s">
        <v>794</v>
      </c>
      <c r="BE88" s="14"/>
      <c r="BF88" s="14"/>
      <c r="BG88" s="14"/>
    </row>
    <row r="89" spans="1:59" ht="192" x14ac:dyDescent="0.15">
      <c r="A89" s="14" t="s">
        <v>349</v>
      </c>
      <c r="B89" s="14" t="s">
        <v>348</v>
      </c>
      <c r="C89" s="14" t="s">
        <v>349</v>
      </c>
      <c r="D89" s="14" t="s">
        <v>348</v>
      </c>
      <c r="E89" s="14" t="s">
        <v>349</v>
      </c>
      <c r="F89" s="14" t="s">
        <v>349</v>
      </c>
      <c r="G89" s="14" t="s">
        <v>349</v>
      </c>
      <c r="H89" s="14" t="s">
        <v>362</v>
      </c>
      <c r="I89" s="14" t="s">
        <v>363</v>
      </c>
      <c r="J89" s="14" t="s">
        <v>363</v>
      </c>
      <c r="K89" s="14" t="s">
        <v>349</v>
      </c>
      <c r="L89" s="14" t="s">
        <v>362</v>
      </c>
      <c r="M89" s="14" t="s">
        <v>362</v>
      </c>
      <c r="N89" s="14" t="s">
        <v>362</v>
      </c>
      <c r="O89" s="14" t="s">
        <v>363</v>
      </c>
      <c r="P89" s="14" t="s">
        <v>362</v>
      </c>
      <c r="Q89" s="14" t="s">
        <v>362</v>
      </c>
      <c r="R89" s="17" t="s">
        <v>795</v>
      </c>
      <c r="S89" s="14" t="s">
        <v>353</v>
      </c>
      <c r="T89" s="14" t="s">
        <v>353</v>
      </c>
      <c r="U89" s="14" t="s">
        <v>372</v>
      </c>
      <c r="V89" s="14" t="s">
        <v>351</v>
      </c>
      <c r="W89" s="14" t="s">
        <v>353</v>
      </c>
      <c r="X89" s="14" t="s">
        <v>352</v>
      </c>
      <c r="Y89" s="14" t="s">
        <v>351</v>
      </c>
      <c r="Z89" s="14" t="s">
        <v>351</v>
      </c>
      <c r="AA89" s="14" t="s">
        <v>352</v>
      </c>
      <c r="AB89" s="14" t="s">
        <v>351</v>
      </c>
      <c r="AC89" s="14" t="s">
        <v>372</v>
      </c>
      <c r="AD89" s="14" t="s">
        <v>372</v>
      </c>
      <c r="AE89" s="14" t="s">
        <v>353</v>
      </c>
      <c r="AF89" s="14" t="s">
        <v>353</v>
      </c>
      <c r="AG89" s="14" t="s">
        <v>372</v>
      </c>
      <c r="AH89" s="14" t="s">
        <v>372</v>
      </c>
      <c r="AI89" s="14" t="s">
        <v>351</v>
      </c>
      <c r="AJ89" s="17" t="s">
        <v>796</v>
      </c>
      <c r="AK89" s="14" t="s">
        <v>357</v>
      </c>
      <c r="AL89" s="14" t="s">
        <v>357</v>
      </c>
      <c r="AM89" s="14" t="s">
        <v>356</v>
      </c>
      <c r="AN89" s="14" t="s">
        <v>357</v>
      </c>
      <c r="AO89" s="14" t="s">
        <v>356</v>
      </c>
      <c r="AP89" s="14" t="s">
        <v>367</v>
      </c>
      <c r="AQ89" s="14" t="s">
        <v>357</v>
      </c>
      <c r="AR89" s="14" t="s">
        <v>367</v>
      </c>
      <c r="AS89" s="14" t="s">
        <v>367</v>
      </c>
      <c r="AT89" s="14" t="s">
        <v>367</v>
      </c>
      <c r="AU89" s="14" t="s">
        <v>357</v>
      </c>
      <c r="AV89" s="14" t="s">
        <v>357</v>
      </c>
      <c r="AW89" s="14" t="s">
        <v>356</v>
      </c>
      <c r="AX89" s="14" t="s">
        <v>367</v>
      </c>
      <c r="AY89" s="14" t="s">
        <v>356</v>
      </c>
      <c r="AZ89" s="14" t="s">
        <v>357</v>
      </c>
      <c r="BA89" s="14" t="s">
        <v>357</v>
      </c>
      <c r="BB89" s="17" t="s">
        <v>797</v>
      </c>
      <c r="BC89" s="17" t="s">
        <v>798</v>
      </c>
      <c r="BD89" s="17" t="s">
        <v>799</v>
      </c>
      <c r="BE89" s="14"/>
      <c r="BF89" s="14"/>
      <c r="BG89" s="14"/>
    </row>
    <row r="90" spans="1:59" ht="409.6" x14ac:dyDescent="0.15">
      <c r="A90" s="14" t="s">
        <v>348</v>
      </c>
      <c r="B90" s="14" t="s">
        <v>348</v>
      </c>
      <c r="C90" s="14" t="s">
        <v>348</v>
      </c>
      <c r="D90" s="14" t="s">
        <v>348</v>
      </c>
      <c r="E90" s="14" t="s">
        <v>348</v>
      </c>
      <c r="F90" s="14" t="s">
        <v>348</v>
      </c>
      <c r="G90" s="14" t="s">
        <v>348</v>
      </c>
      <c r="H90" s="14" t="s">
        <v>348</v>
      </c>
      <c r="I90" s="14" t="s">
        <v>348</v>
      </c>
      <c r="J90" s="14" t="s">
        <v>348</v>
      </c>
      <c r="K90" s="14" t="s">
        <v>348</v>
      </c>
      <c r="L90" s="14" t="s">
        <v>348</v>
      </c>
      <c r="M90" s="14" t="s">
        <v>348</v>
      </c>
      <c r="N90" s="14" t="s">
        <v>348</v>
      </c>
      <c r="O90" s="14" t="s">
        <v>348</v>
      </c>
      <c r="P90" s="14" t="s">
        <v>348</v>
      </c>
      <c r="Q90" s="14" t="s">
        <v>348</v>
      </c>
      <c r="R90" s="17" t="s">
        <v>800</v>
      </c>
      <c r="S90" s="14" t="s">
        <v>354</v>
      </c>
      <c r="T90" s="14" t="s">
        <v>354</v>
      </c>
      <c r="U90" s="14" t="s">
        <v>354</v>
      </c>
      <c r="V90" s="14" t="s">
        <v>372</v>
      </c>
      <c r="W90" s="14" t="s">
        <v>353</v>
      </c>
      <c r="X90" s="14" t="s">
        <v>351</v>
      </c>
      <c r="Y90" s="14" t="s">
        <v>354</v>
      </c>
      <c r="Z90" s="14" t="s">
        <v>354</v>
      </c>
      <c r="AA90" s="14" t="s">
        <v>354</v>
      </c>
      <c r="AB90" s="14" t="s">
        <v>354</v>
      </c>
      <c r="AC90" s="14" t="s">
        <v>351</v>
      </c>
      <c r="AD90" s="14" t="s">
        <v>354</v>
      </c>
      <c r="AE90" s="14" t="s">
        <v>352</v>
      </c>
      <c r="AF90" s="14" t="s">
        <v>372</v>
      </c>
      <c r="AG90" s="14" t="s">
        <v>372</v>
      </c>
      <c r="AH90" s="14" t="s">
        <v>372</v>
      </c>
      <c r="AI90" s="14" t="s">
        <v>354</v>
      </c>
      <c r="AJ90" s="17" t="s">
        <v>801</v>
      </c>
      <c r="AK90" s="14" t="s">
        <v>357</v>
      </c>
      <c r="AL90" s="14" t="s">
        <v>357</v>
      </c>
      <c r="AM90" s="14" t="s">
        <v>357</v>
      </c>
      <c r="AN90" s="14" t="s">
        <v>356</v>
      </c>
      <c r="AO90" s="14" t="s">
        <v>358</v>
      </c>
      <c r="AP90" s="14" t="s">
        <v>358</v>
      </c>
      <c r="AQ90" s="14" t="s">
        <v>358</v>
      </c>
      <c r="AR90" s="14" t="s">
        <v>357</v>
      </c>
      <c r="AS90" s="14" t="s">
        <v>357</v>
      </c>
      <c r="AT90" s="14" t="s">
        <v>357</v>
      </c>
      <c r="AU90" s="14" t="s">
        <v>357</v>
      </c>
      <c r="AV90" s="14" t="s">
        <v>357</v>
      </c>
      <c r="AW90" s="14" t="s">
        <v>357</v>
      </c>
      <c r="AX90" s="14" t="s">
        <v>357</v>
      </c>
      <c r="AY90" s="14" t="s">
        <v>356</v>
      </c>
      <c r="AZ90" s="14" t="s">
        <v>358</v>
      </c>
      <c r="BA90" s="14" t="s">
        <v>357</v>
      </c>
      <c r="BB90" s="17" t="s">
        <v>802</v>
      </c>
      <c r="BC90" s="17" t="s">
        <v>803</v>
      </c>
      <c r="BD90" s="17" t="s">
        <v>804</v>
      </c>
      <c r="BE90" s="14"/>
      <c r="BF90" s="14"/>
      <c r="BG90" s="14"/>
    </row>
    <row r="91" spans="1:59" ht="128" x14ac:dyDescent="0.15">
      <c r="A91" s="14" t="s">
        <v>348</v>
      </c>
      <c r="B91" s="14" t="s">
        <v>349</v>
      </c>
      <c r="C91" s="14" t="s">
        <v>349</v>
      </c>
      <c r="D91" s="14" t="s">
        <v>349</v>
      </c>
      <c r="E91" s="14" t="s">
        <v>348</v>
      </c>
      <c r="F91" s="14" t="s">
        <v>349</v>
      </c>
      <c r="G91" s="14" t="s">
        <v>377</v>
      </c>
      <c r="H91" s="14" t="s">
        <v>377</v>
      </c>
      <c r="I91" s="14" t="s">
        <v>363</v>
      </c>
      <c r="J91" s="14" t="s">
        <v>348</v>
      </c>
      <c r="K91" s="14" t="s">
        <v>349</v>
      </c>
      <c r="L91" s="14" t="s">
        <v>349</v>
      </c>
      <c r="M91" s="14" t="s">
        <v>377</v>
      </c>
      <c r="N91" s="14" t="s">
        <v>362</v>
      </c>
      <c r="O91" s="14" t="s">
        <v>377</v>
      </c>
      <c r="P91" s="14" t="s">
        <v>377</v>
      </c>
      <c r="Q91" s="14" t="s">
        <v>362</v>
      </c>
      <c r="R91" s="17" t="s">
        <v>805</v>
      </c>
      <c r="S91" s="14" t="s">
        <v>354</v>
      </c>
      <c r="T91" s="14" t="s">
        <v>354</v>
      </c>
      <c r="U91" s="14" t="s">
        <v>353</v>
      </c>
      <c r="V91" s="14" t="s">
        <v>353</v>
      </c>
      <c r="W91" s="14" t="s">
        <v>354</v>
      </c>
      <c r="X91" s="14" t="s">
        <v>354</v>
      </c>
      <c r="Y91" s="14" t="s">
        <v>351</v>
      </c>
      <c r="Z91" s="14" t="s">
        <v>351</v>
      </c>
      <c r="AA91" s="14" t="s">
        <v>352</v>
      </c>
      <c r="AB91" s="14" t="s">
        <v>353</v>
      </c>
      <c r="AC91" s="14" t="s">
        <v>354</v>
      </c>
      <c r="AD91" s="14" t="s">
        <v>353</v>
      </c>
      <c r="AE91" s="14" t="s">
        <v>351</v>
      </c>
      <c r="AF91" s="14" t="s">
        <v>372</v>
      </c>
      <c r="AG91" s="14" t="s">
        <v>351</v>
      </c>
      <c r="AH91" s="14" t="s">
        <v>352</v>
      </c>
      <c r="AI91" s="14" t="s">
        <v>351</v>
      </c>
      <c r="AJ91" s="17" t="s">
        <v>806</v>
      </c>
      <c r="AK91" s="14" t="s">
        <v>357</v>
      </c>
      <c r="AL91" s="14" t="s">
        <v>357</v>
      </c>
      <c r="AM91" s="14" t="s">
        <v>356</v>
      </c>
      <c r="AN91" s="14" t="s">
        <v>357</v>
      </c>
      <c r="AO91" s="14" t="s">
        <v>357</v>
      </c>
      <c r="AP91" s="14" t="s">
        <v>357</v>
      </c>
      <c r="AQ91" s="14" t="s">
        <v>356</v>
      </c>
      <c r="AR91" s="14" t="s">
        <v>367</v>
      </c>
      <c r="AS91" s="14" t="s">
        <v>366</v>
      </c>
      <c r="AT91" s="14" t="s">
        <v>358</v>
      </c>
      <c r="AU91" s="14" t="s">
        <v>357</v>
      </c>
      <c r="AV91" s="14" t="s">
        <v>367</v>
      </c>
      <c r="AW91" s="14" t="s">
        <v>367</v>
      </c>
      <c r="AX91" s="14" t="s">
        <v>366</v>
      </c>
      <c r="AY91" s="14" t="s">
        <v>366</v>
      </c>
      <c r="AZ91" s="14" t="s">
        <v>366</v>
      </c>
      <c r="BA91" s="14" t="s">
        <v>367</v>
      </c>
      <c r="BB91" s="17" t="s">
        <v>807</v>
      </c>
      <c r="BC91" s="17" t="s">
        <v>808</v>
      </c>
      <c r="BD91" s="17" t="s">
        <v>809</v>
      </c>
      <c r="BE91" s="14"/>
      <c r="BF91" s="14"/>
      <c r="BG91" s="14"/>
    </row>
    <row r="92" spans="1:59" ht="160" x14ac:dyDescent="0.15">
      <c r="A92" s="14" t="s">
        <v>349</v>
      </c>
      <c r="B92" s="14" t="s">
        <v>348</v>
      </c>
      <c r="C92" s="14" t="s">
        <v>348</v>
      </c>
      <c r="D92" s="14" t="s">
        <v>349</v>
      </c>
      <c r="E92" s="14" t="s">
        <v>349</v>
      </c>
      <c r="F92" s="14" t="s">
        <v>349</v>
      </c>
      <c r="G92" s="14" t="s">
        <v>349</v>
      </c>
      <c r="H92" s="14" t="s">
        <v>349</v>
      </c>
      <c r="I92" s="14" t="s">
        <v>348</v>
      </c>
      <c r="J92" s="14" t="s">
        <v>348</v>
      </c>
      <c r="K92" s="14" t="s">
        <v>349</v>
      </c>
      <c r="L92" s="14" t="s">
        <v>348</v>
      </c>
      <c r="M92" s="14" t="s">
        <v>362</v>
      </c>
      <c r="N92" s="14" t="s">
        <v>349</v>
      </c>
      <c r="O92" s="14" t="s">
        <v>349</v>
      </c>
      <c r="P92" s="14" t="s">
        <v>349</v>
      </c>
      <c r="Q92" s="14" t="s">
        <v>362</v>
      </c>
      <c r="R92" s="17" t="s">
        <v>810</v>
      </c>
      <c r="S92" s="14" t="s">
        <v>351</v>
      </c>
      <c r="T92" s="14" t="s">
        <v>351</v>
      </c>
      <c r="U92" s="14" t="s">
        <v>351</v>
      </c>
      <c r="V92" s="14" t="s">
        <v>351</v>
      </c>
      <c r="W92" s="14" t="s">
        <v>351</v>
      </c>
      <c r="X92" s="14" t="s">
        <v>351</v>
      </c>
      <c r="Y92" s="14" t="s">
        <v>351</v>
      </c>
      <c r="Z92" s="14" t="s">
        <v>351</v>
      </c>
      <c r="AA92" s="14" t="s">
        <v>351</v>
      </c>
      <c r="AB92" s="14" t="s">
        <v>351</v>
      </c>
      <c r="AC92" s="14" t="s">
        <v>351</v>
      </c>
      <c r="AD92" s="14" t="s">
        <v>351</v>
      </c>
      <c r="AE92" s="14" t="s">
        <v>351</v>
      </c>
      <c r="AF92" s="14" t="s">
        <v>351</v>
      </c>
      <c r="AG92" s="14" t="s">
        <v>351</v>
      </c>
      <c r="AH92" s="14" t="s">
        <v>351</v>
      </c>
      <c r="AI92" s="14" t="s">
        <v>351</v>
      </c>
      <c r="AJ92" s="17" t="s">
        <v>811</v>
      </c>
      <c r="AK92" s="14" t="s">
        <v>357</v>
      </c>
      <c r="AL92" s="14" t="s">
        <v>357</v>
      </c>
      <c r="AM92" s="14" t="s">
        <v>358</v>
      </c>
      <c r="AN92" s="14" t="s">
        <v>358</v>
      </c>
      <c r="AO92" s="14" t="s">
        <v>358</v>
      </c>
      <c r="AP92" s="14" t="s">
        <v>358</v>
      </c>
      <c r="AQ92" s="14" t="s">
        <v>357</v>
      </c>
      <c r="AR92" s="14" t="s">
        <v>357</v>
      </c>
      <c r="AS92" s="14" t="s">
        <v>357</v>
      </c>
      <c r="AT92" s="14" t="s">
        <v>358</v>
      </c>
      <c r="AU92" s="14" t="s">
        <v>358</v>
      </c>
      <c r="AV92" s="14" t="s">
        <v>358</v>
      </c>
      <c r="AW92" s="14" t="s">
        <v>358</v>
      </c>
      <c r="AX92" s="14" t="s">
        <v>358</v>
      </c>
      <c r="AY92" s="14" t="s">
        <v>358</v>
      </c>
      <c r="AZ92" s="14" t="s">
        <v>356</v>
      </c>
      <c r="BA92" s="14" t="s">
        <v>367</v>
      </c>
      <c r="BB92" s="17" t="s">
        <v>812</v>
      </c>
      <c r="BC92" s="17" t="s">
        <v>813</v>
      </c>
      <c r="BD92" s="17" t="s">
        <v>814</v>
      </c>
      <c r="BE92" s="14"/>
      <c r="BF92" s="14"/>
      <c r="BG92" s="14"/>
    </row>
    <row r="93" spans="1:59" ht="240" x14ac:dyDescent="0.15">
      <c r="A93" s="14" t="s">
        <v>348</v>
      </c>
      <c r="B93" s="14" t="s">
        <v>348</v>
      </c>
      <c r="C93" s="14" t="s">
        <v>349</v>
      </c>
      <c r="D93" s="14" t="s">
        <v>348</v>
      </c>
      <c r="E93" s="14" t="s">
        <v>348</v>
      </c>
      <c r="F93" s="14" t="s">
        <v>348</v>
      </c>
      <c r="G93" s="14" t="s">
        <v>348</v>
      </c>
      <c r="H93" s="14" t="s">
        <v>349</v>
      </c>
      <c r="I93" s="14" t="s">
        <v>348</v>
      </c>
      <c r="J93" s="14" t="s">
        <v>348</v>
      </c>
      <c r="K93" s="14" t="s">
        <v>349</v>
      </c>
      <c r="L93" s="14" t="s">
        <v>349</v>
      </c>
      <c r="M93" s="14" t="s">
        <v>349</v>
      </c>
      <c r="N93" s="14" t="s">
        <v>349</v>
      </c>
      <c r="O93" s="14" t="s">
        <v>362</v>
      </c>
      <c r="P93" s="14" t="s">
        <v>362</v>
      </c>
      <c r="Q93" s="14" t="s">
        <v>362</v>
      </c>
      <c r="R93" s="17" t="s">
        <v>815</v>
      </c>
      <c r="S93" s="14" t="s">
        <v>372</v>
      </c>
      <c r="T93" s="14" t="s">
        <v>353</v>
      </c>
      <c r="U93" s="14" t="s">
        <v>372</v>
      </c>
      <c r="V93" s="14" t="s">
        <v>351</v>
      </c>
      <c r="W93" s="14" t="s">
        <v>351</v>
      </c>
      <c r="X93" s="14" t="s">
        <v>353</v>
      </c>
      <c r="Y93" s="14" t="s">
        <v>351</v>
      </c>
      <c r="Z93" s="14" t="s">
        <v>351</v>
      </c>
      <c r="AA93" s="14" t="s">
        <v>352</v>
      </c>
      <c r="AB93" s="14" t="s">
        <v>351</v>
      </c>
      <c r="AC93" s="14" t="s">
        <v>351</v>
      </c>
      <c r="AD93" s="14" t="s">
        <v>372</v>
      </c>
      <c r="AE93" s="14" t="s">
        <v>372</v>
      </c>
      <c r="AF93" s="14" t="s">
        <v>351</v>
      </c>
      <c r="AG93" s="14" t="s">
        <v>351</v>
      </c>
      <c r="AH93" s="14" t="s">
        <v>372</v>
      </c>
      <c r="AI93" s="14" t="s">
        <v>351</v>
      </c>
      <c r="AJ93" s="17" t="s">
        <v>816</v>
      </c>
      <c r="AK93" s="14" t="s">
        <v>357</v>
      </c>
      <c r="AL93" s="14" t="s">
        <v>357</v>
      </c>
      <c r="AM93" s="14" t="s">
        <v>358</v>
      </c>
      <c r="AN93" s="14" t="s">
        <v>358</v>
      </c>
      <c r="AO93" s="14" t="s">
        <v>357</v>
      </c>
      <c r="AP93" s="14" t="s">
        <v>357</v>
      </c>
      <c r="AQ93" s="14" t="s">
        <v>357</v>
      </c>
      <c r="AR93" s="14" t="s">
        <v>357</v>
      </c>
      <c r="AS93" s="14" t="s">
        <v>357</v>
      </c>
      <c r="AT93" s="14" t="s">
        <v>357</v>
      </c>
      <c r="AU93" s="14" t="s">
        <v>358</v>
      </c>
      <c r="AV93" s="14" t="s">
        <v>357</v>
      </c>
      <c r="AW93" s="14" t="s">
        <v>358</v>
      </c>
      <c r="AX93" s="14" t="s">
        <v>357</v>
      </c>
      <c r="AY93" s="14" t="s">
        <v>356</v>
      </c>
      <c r="AZ93" s="14" t="s">
        <v>356</v>
      </c>
      <c r="BA93" s="14" t="s">
        <v>367</v>
      </c>
      <c r="BB93" s="17" t="s">
        <v>817</v>
      </c>
      <c r="BC93" s="17" t="s">
        <v>818</v>
      </c>
      <c r="BD93" s="17" t="s">
        <v>819</v>
      </c>
      <c r="BE93" s="14"/>
      <c r="BF93" s="14"/>
      <c r="BG93" s="14"/>
    </row>
    <row r="94" spans="1:59" ht="320" x14ac:dyDescent="0.15">
      <c r="A94" s="14" t="s">
        <v>349</v>
      </c>
      <c r="B94" s="14" t="s">
        <v>362</v>
      </c>
      <c r="C94" s="14" t="s">
        <v>362</v>
      </c>
      <c r="D94" s="14" t="s">
        <v>362</v>
      </c>
      <c r="E94" s="14" t="s">
        <v>362</v>
      </c>
      <c r="F94" s="14" t="s">
        <v>362</v>
      </c>
      <c r="G94" s="14" t="s">
        <v>362</v>
      </c>
      <c r="H94" s="14" t="s">
        <v>362</v>
      </c>
      <c r="I94" s="14" t="s">
        <v>362</v>
      </c>
      <c r="J94" s="14" t="s">
        <v>362</v>
      </c>
      <c r="K94" s="14" t="s">
        <v>362</v>
      </c>
      <c r="L94" s="14" t="s">
        <v>362</v>
      </c>
      <c r="M94" s="14" t="s">
        <v>362</v>
      </c>
      <c r="N94" s="14" t="s">
        <v>362</v>
      </c>
      <c r="O94" s="14" t="s">
        <v>362</v>
      </c>
      <c r="P94" s="14" t="s">
        <v>363</v>
      </c>
      <c r="Q94" s="14" t="s">
        <v>363</v>
      </c>
      <c r="R94" s="17" t="s">
        <v>820</v>
      </c>
      <c r="S94" s="14" t="s">
        <v>372</v>
      </c>
      <c r="T94" s="14" t="s">
        <v>372</v>
      </c>
      <c r="U94" s="14" t="s">
        <v>372</v>
      </c>
      <c r="V94" s="14" t="s">
        <v>351</v>
      </c>
      <c r="W94" s="14" t="s">
        <v>353</v>
      </c>
      <c r="X94" s="14" t="s">
        <v>372</v>
      </c>
      <c r="Y94" s="14" t="s">
        <v>372</v>
      </c>
      <c r="Z94" s="14" t="s">
        <v>372</v>
      </c>
      <c r="AA94" s="14" t="s">
        <v>372</v>
      </c>
      <c r="AB94" s="14" t="s">
        <v>353</v>
      </c>
      <c r="AC94" s="14" t="s">
        <v>372</v>
      </c>
      <c r="AD94" s="14" t="s">
        <v>372</v>
      </c>
      <c r="AE94" s="14" t="s">
        <v>353</v>
      </c>
      <c r="AF94" s="14" t="s">
        <v>372</v>
      </c>
      <c r="AG94" s="14" t="s">
        <v>372</v>
      </c>
      <c r="AH94" s="14" t="s">
        <v>372</v>
      </c>
      <c r="AI94" s="14" t="s">
        <v>372</v>
      </c>
      <c r="AJ94" s="17" t="s">
        <v>821</v>
      </c>
      <c r="AK94" s="14" t="s">
        <v>367</v>
      </c>
      <c r="AL94" s="14" t="s">
        <v>367</v>
      </c>
      <c r="AM94" s="14" t="s">
        <v>366</v>
      </c>
      <c r="AN94" s="14" t="s">
        <v>367</v>
      </c>
      <c r="AO94" s="14" t="s">
        <v>367</v>
      </c>
      <c r="AP94" s="14" t="s">
        <v>367</v>
      </c>
      <c r="AQ94" s="14" t="s">
        <v>367</v>
      </c>
      <c r="AR94" s="14" t="s">
        <v>367</v>
      </c>
      <c r="AS94" s="14" t="s">
        <v>367</v>
      </c>
      <c r="AT94" s="14" t="s">
        <v>367</v>
      </c>
      <c r="AU94" s="14" t="s">
        <v>367</v>
      </c>
      <c r="AV94" s="14" t="s">
        <v>367</v>
      </c>
      <c r="AW94" s="14" t="s">
        <v>367</v>
      </c>
      <c r="AX94" s="14" t="s">
        <v>356</v>
      </c>
      <c r="AY94" s="14" t="s">
        <v>367</v>
      </c>
      <c r="AZ94" s="14" t="s">
        <v>367</v>
      </c>
      <c r="BA94" s="14" t="s">
        <v>367</v>
      </c>
      <c r="BB94" s="17" t="s">
        <v>822</v>
      </c>
      <c r="BC94" s="17" t="s">
        <v>823</v>
      </c>
      <c r="BD94" s="17" t="s">
        <v>824</v>
      </c>
      <c r="BE94" s="14"/>
      <c r="BF94" s="14"/>
      <c r="BG94" s="14"/>
    </row>
    <row r="95" spans="1:59" ht="288" x14ac:dyDescent="0.15">
      <c r="A95" s="14" t="s">
        <v>362</v>
      </c>
      <c r="B95" s="14" t="s">
        <v>362</v>
      </c>
      <c r="C95" s="14" t="s">
        <v>377</v>
      </c>
      <c r="D95" s="14" t="s">
        <v>363</v>
      </c>
      <c r="E95" s="14" t="s">
        <v>362</v>
      </c>
      <c r="F95" s="14" t="s">
        <v>377</v>
      </c>
      <c r="G95" s="14" t="s">
        <v>362</v>
      </c>
      <c r="H95" s="14" t="s">
        <v>377</v>
      </c>
      <c r="I95" s="14" t="s">
        <v>362</v>
      </c>
      <c r="J95" s="14" t="s">
        <v>363</v>
      </c>
      <c r="K95" s="14" t="s">
        <v>362</v>
      </c>
      <c r="L95" s="14" t="s">
        <v>377</v>
      </c>
      <c r="M95" s="14" t="s">
        <v>362</v>
      </c>
      <c r="N95" s="14" t="s">
        <v>362</v>
      </c>
      <c r="O95" s="14" t="s">
        <v>362</v>
      </c>
      <c r="P95" s="14" t="s">
        <v>377</v>
      </c>
      <c r="Q95" s="14" t="s">
        <v>349</v>
      </c>
      <c r="R95" s="17" t="s">
        <v>825</v>
      </c>
      <c r="S95" s="14" t="s">
        <v>351</v>
      </c>
      <c r="T95" s="14" t="s">
        <v>372</v>
      </c>
      <c r="U95" s="14" t="s">
        <v>351</v>
      </c>
      <c r="V95" s="14" t="s">
        <v>353</v>
      </c>
      <c r="W95" s="14" t="s">
        <v>351</v>
      </c>
      <c r="X95" s="14" t="s">
        <v>372</v>
      </c>
      <c r="Y95" s="14" t="s">
        <v>353</v>
      </c>
      <c r="Z95" s="14" t="s">
        <v>372</v>
      </c>
      <c r="AA95" s="14" t="s">
        <v>353</v>
      </c>
      <c r="AB95" s="14" t="s">
        <v>351</v>
      </c>
      <c r="AC95" s="14" t="s">
        <v>351</v>
      </c>
      <c r="AD95" s="14" t="s">
        <v>354</v>
      </c>
      <c r="AE95" s="14" t="s">
        <v>372</v>
      </c>
      <c r="AF95" s="14" t="s">
        <v>353</v>
      </c>
      <c r="AG95" s="14" t="s">
        <v>353</v>
      </c>
      <c r="AH95" s="14" t="s">
        <v>372</v>
      </c>
      <c r="AI95" s="14" t="s">
        <v>352</v>
      </c>
      <c r="AJ95" s="17" t="s">
        <v>826</v>
      </c>
      <c r="AK95" s="14" t="s">
        <v>367</v>
      </c>
      <c r="AL95" s="14" t="s">
        <v>358</v>
      </c>
      <c r="AM95" s="14" t="s">
        <v>356</v>
      </c>
      <c r="AN95" s="14" t="s">
        <v>357</v>
      </c>
      <c r="AO95" s="14" t="s">
        <v>367</v>
      </c>
      <c r="AP95" s="14" t="s">
        <v>356</v>
      </c>
      <c r="AQ95" s="14" t="s">
        <v>357</v>
      </c>
      <c r="AR95" s="14" t="s">
        <v>366</v>
      </c>
      <c r="AS95" s="14" t="s">
        <v>358</v>
      </c>
      <c r="AT95" s="14" t="s">
        <v>357</v>
      </c>
      <c r="AU95" s="14" t="s">
        <v>358</v>
      </c>
      <c r="AV95" s="14" t="s">
        <v>358</v>
      </c>
      <c r="AW95" s="14" t="s">
        <v>356</v>
      </c>
      <c r="AX95" s="14" t="s">
        <v>357</v>
      </c>
      <c r="AY95" s="14" t="s">
        <v>357</v>
      </c>
      <c r="AZ95" s="14" t="s">
        <v>357</v>
      </c>
      <c r="BA95" s="14" t="s">
        <v>358</v>
      </c>
      <c r="BB95" s="17" t="s">
        <v>827</v>
      </c>
      <c r="BC95" s="17" t="s">
        <v>828</v>
      </c>
      <c r="BD95" s="17" t="s">
        <v>829</v>
      </c>
      <c r="BE95" s="14"/>
      <c r="BF95" s="14"/>
      <c r="BG95" s="14"/>
    </row>
    <row r="96" spans="1:59" ht="64" x14ac:dyDescent="0.15">
      <c r="A96" s="14" t="s">
        <v>348</v>
      </c>
      <c r="B96" s="14" t="s">
        <v>349</v>
      </c>
      <c r="C96" s="14" t="s">
        <v>348</v>
      </c>
      <c r="D96" s="14" t="s">
        <v>348</v>
      </c>
      <c r="E96" s="14" t="s">
        <v>348</v>
      </c>
      <c r="F96" s="14" t="s">
        <v>349</v>
      </c>
      <c r="G96" s="14" t="s">
        <v>348</v>
      </c>
      <c r="H96" s="14" t="s">
        <v>349</v>
      </c>
      <c r="I96" s="14" t="s">
        <v>349</v>
      </c>
      <c r="J96" s="14" t="s">
        <v>349</v>
      </c>
      <c r="K96" s="14" t="s">
        <v>349</v>
      </c>
      <c r="L96" s="14" t="s">
        <v>349</v>
      </c>
      <c r="M96" s="14" t="s">
        <v>362</v>
      </c>
      <c r="N96" s="14" t="s">
        <v>362</v>
      </c>
      <c r="O96" s="14" t="s">
        <v>363</v>
      </c>
      <c r="P96" s="14" t="s">
        <v>362</v>
      </c>
      <c r="Q96" s="14" t="s">
        <v>377</v>
      </c>
      <c r="R96" s="17" t="s">
        <v>830</v>
      </c>
      <c r="S96" s="14" t="s">
        <v>354</v>
      </c>
      <c r="T96" s="14" t="s">
        <v>354</v>
      </c>
      <c r="U96" s="14" t="s">
        <v>354</v>
      </c>
      <c r="V96" s="14" t="s">
        <v>354</v>
      </c>
      <c r="W96" s="14" t="s">
        <v>354</v>
      </c>
      <c r="X96" s="14" t="s">
        <v>354</v>
      </c>
      <c r="Y96" s="14" t="s">
        <v>354</v>
      </c>
      <c r="Z96" s="14" t="s">
        <v>354</v>
      </c>
      <c r="AA96" s="14" t="s">
        <v>354</v>
      </c>
      <c r="AB96" s="14" t="s">
        <v>354</v>
      </c>
      <c r="AC96" s="14" t="s">
        <v>354</v>
      </c>
      <c r="AD96" s="14" t="s">
        <v>354</v>
      </c>
      <c r="AE96" s="14" t="s">
        <v>354</v>
      </c>
      <c r="AF96" s="14" t="s">
        <v>353</v>
      </c>
      <c r="AG96" s="14" t="s">
        <v>372</v>
      </c>
      <c r="AH96" s="14" t="s">
        <v>372</v>
      </c>
      <c r="AI96" s="14" t="s">
        <v>399</v>
      </c>
      <c r="AJ96" s="17" t="s">
        <v>831</v>
      </c>
      <c r="AK96" s="14" t="s">
        <v>357</v>
      </c>
      <c r="AL96" s="14" t="s">
        <v>357</v>
      </c>
      <c r="AM96" s="14" t="s">
        <v>357</v>
      </c>
      <c r="AN96" s="14" t="s">
        <v>357</v>
      </c>
      <c r="AO96" s="14" t="s">
        <v>357</v>
      </c>
      <c r="AP96" s="14" t="s">
        <v>357</v>
      </c>
      <c r="AQ96" s="14" t="s">
        <v>357</v>
      </c>
      <c r="AR96" s="14" t="s">
        <v>357</v>
      </c>
      <c r="AS96" s="14" t="s">
        <v>357</v>
      </c>
      <c r="AT96" s="14" t="s">
        <v>357</v>
      </c>
      <c r="AU96" s="14" t="s">
        <v>357</v>
      </c>
      <c r="AV96" s="14" t="s">
        <v>357</v>
      </c>
      <c r="AW96" s="14" t="s">
        <v>357</v>
      </c>
      <c r="AX96" s="14" t="s">
        <v>357</v>
      </c>
      <c r="AY96" s="14" t="s">
        <v>366</v>
      </c>
      <c r="AZ96" s="14" t="s">
        <v>357</v>
      </c>
      <c r="BA96" s="14" t="s">
        <v>366</v>
      </c>
      <c r="BB96" s="17" t="s">
        <v>832</v>
      </c>
      <c r="BC96" s="17" t="s">
        <v>833</v>
      </c>
      <c r="BD96" s="17" t="s">
        <v>834</v>
      </c>
      <c r="BE96" s="14"/>
      <c r="BF96" s="14"/>
      <c r="BG96" s="14"/>
    </row>
    <row r="97" spans="1:59" ht="208" x14ac:dyDescent="0.15">
      <c r="A97" s="14" t="s">
        <v>349</v>
      </c>
      <c r="B97" s="14" t="s">
        <v>362</v>
      </c>
      <c r="C97" s="14" t="s">
        <v>362</v>
      </c>
      <c r="D97" s="14" t="s">
        <v>349</v>
      </c>
      <c r="E97" s="14" t="s">
        <v>348</v>
      </c>
      <c r="F97" s="14" t="s">
        <v>349</v>
      </c>
      <c r="G97" s="14" t="s">
        <v>349</v>
      </c>
      <c r="H97" s="14" t="s">
        <v>349</v>
      </c>
      <c r="I97" s="14" t="s">
        <v>362</v>
      </c>
      <c r="J97" s="14" t="s">
        <v>362</v>
      </c>
      <c r="K97" s="14" t="s">
        <v>349</v>
      </c>
      <c r="L97" s="14" t="s">
        <v>349</v>
      </c>
      <c r="M97" s="14" t="s">
        <v>349</v>
      </c>
      <c r="N97" s="14" t="s">
        <v>349</v>
      </c>
      <c r="O97" s="14" t="s">
        <v>362</v>
      </c>
      <c r="P97" s="14" t="s">
        <v>349</v>
      </c>
      <c r="Q97" s="14" t="s">
        <v>362</v>
      </c>
      <c r="R97" s="17" t="s">
        <v>835</v>
      </c>
      <c r="S97" s="14" t="s">
        <v>353</v>
      </c>
      <c r="T97" s="14" t="s">
        <v>372</v>
      </c>
      <c r="U97" s="14" t="s">
        <v>353</v>
      </c>
      <c r="V97" s="14" t="s">
        <v>372</v>
      </c>
      <c r="W97" s="14" t="s">
        <v>353</v>
      </c>
      <c r="X97" s="14" t="s">
        <v>353</v>
      </c>
      <c r="Y97" s="14" t="s">
        <v>353</v>
      </c>
      <c r="Z97" s="14" t="s">
        <v>372</v>
      </c>
      <c r="AA97" s="14" t="s">
        <v>353</v>
      </c>
      <c r="AB97" s="14" t="s">
        <v>354</v>
      </c>
      <c r="AC97" s="14" t="s">
        <v>353</v>
      </c>
      <c r="AD97" s="14" t="s">
        <v>353</v>
      </c>
      <c r="AE97" s="14" t="s">
        <v>353</v>
      </c>
      <c r="AF97" s="14" t="s">
        <v>372</v>
      </c>
      <c r="AG97" s="14" t="s">
        <v>353</v>
      </c>
      <c r="AH97" s="14" t="s">
        <v>353</v>
      </c>
      <c r="AI97" s="14" t="s">
        <v>353</v>
      </c>
      <c r="AJ97" s="17" t="s">
        <v>836</v>
      </c>
      <c r="AK97" s="14" t="s">
        <v>358</v>
      </c>
      <c r="AL97" s="14" t="s">
        <v>358</v>
      </c>
      <c r="AM97" s="14" t="s">
        <v>356</v>
      </c>
      <c r="AN97" s="14" t="s">
        <v>358</v>
      </c>
      <c r="AO97" s="14" t="s">
        <v>357</v>
      </c>
      <c r="AP97" s="14" t="s">
        <v>358</v>
      </c>
      <c r="AQ97" s="14" t="s">
        <v>358</v>
      </c>
      <c r="AR97" s="14" t="s">
        <v>356</v>
      </c>
      <c r="AS97" s="14" t="s">
        <v>358</v>
      </c>
      <c r="AT97" s="14" t="s">
        <v>357</v>
      </c>
      <c r="AU97" s="14" t="s">
        <v>358</v>
      </c>
      <c r="AV97" s="14" t="s">
        <v>357</v>
      </c>
      <c r="AW97" s="14" t="s">
        <v>358</v>
      </c>
      <c r="AX97" s="14" t="s">
        <v>358</v>
      </c>
      <c r="AY97" s="14" t="s">
        <v>358</v>
      </c>
      <c r="AZ97" s="14" t="s">
        <v>358</v>
      </c>
      <c r="BA97" s="14" t="s">
        <v>358</v>
      </c>
      <c r="BB97" s="17" t="s">
        <v>837</v>
      </c>
      <c r="BC97" s="17" t="s">
        <v>838</v>
      </c>
      <c r="BD97" s="17" t="s">
        <v>839</v>
      </c>
      <c r="BE97" s="14"/>
      <c r="BF97" s="14"/>
      <c r="BG97" s="14"/>
    </row>
    <row r="98" spans="1:59" ht="409.6" x14ac:dyDescent="0.15">
      <c r="A98" s="14" t="s">
        <v>363</v>
      </c>
      <c r="B98" s="14" t="s">
        <v>348</v>
      </c>
      <c r="C98" s="14" t="s">
        <v>362</v>
      </c>
      <c r="D98" s="14" t="s">
        <v>362</v>
      </c>
      <c r="E98" s="14" t="s">
        <v>377</v>
      </c>
      <c r="F98" s="14" t="s">
        <v>362</v>
      </c>
      <c r="G98" s="14" t="s">
        <v>349</v>
      </c>
      <c r="H98" s="14" t="s">
        <v>377</v>
      </c>
      <c r="I98" s="14" t="s">
        <v>362</v>
      </c>
      <c r="J98" s="14" t="s">
        <v>377</v>
      </c>
      <c r="K98" s="14" t="s">
        <v>349</v>
      </c>
      <c r="L98" s="14" t="s">
        <v>363</v>
      </c>
      <c r="M98" s="14" t="s">
        <v>363</v>
      </c>
      <c r="N98" s="14" t="s">
        <v>362</v>
      </c>
      <c r="O98" s="14" t="s">
        <v>349</v>
      </c>
      <c r="P98" s="14" t="s">
        <v>377</v>
      </c>
      <c r="Q98" s="14" t="s">
        <v>363</v>
      </c>
      <c r="R98" s="17" t="s">
        <v>840</v>
      </c>
      <c r="S98" s="14" t="s">
        <v>351</v>
      </c>
      <c r="T98" s="14" t="s">
        <v>353</v>
      </c>
      <c r="U98" s="14" t="s">
        <v>351</v>
      </c>
      <c r="V98" s="14" t="s">
        <v>353</v>
      </c>
      <c r="W98" s="14" t="s">
        <v>352</v>
      </c>
      <c r="X98" s="14" t="s">
        <v>372</v>
      </c>
      <c r="Y98" s="14" t="s">
        <v>354</v>
      </c>
      <c r="Z98" s="14" t="s">
        <v>372</v>
      </c>
      <c r="AA98" s="14" t="s">
        <v>353</v>
      </c>
      <c r="AB98" s="14" t="s">
        <v>353</v>
      </c>
      <c r="AC98" s="14" t="s">
        <v>351</v>
      </c>
      <c r="AD98" s="14" t="s">
        <v>372</v>
      </c>
      <c r="AE98" s="14" t="s">
        <v>353</v>
      </c>
      <c r="AF98" s="14" t="s">
        <v>372</v>
      </c>
      <c r="AG98" s="14" t="s">
        <v>372</v>
      </c>
      <c r="AH98" s="14" t="s">
        <v>353</v>
      </c>
      <c r="AI98" s="14" t="s">
        <v>372</v>
      </c>
      <c r="AJ98" s="17" t="s">
        <v>841</v>
      </c>
      <c r="AK98" s="14" t="s">
        <v>366</v>
      </c>
      <c r="AL98" s="14" t="s">
        <v>357</v>
      </c>
      <c r="AM98" s="14" t="s">
        <v>401</v>
      </c>
      <c r="AN98" s="14" t="s">
        <v>367</v>
      </c>
      <c r="AO98" s="14" t="s">
        <v>401</v>
      </c>
      <c r="AP98" s="14" t="s">
        <v>367</v>
      </c>
      <c r="AQ98" s="14" t="s">
        <v>357</v>
      </c>
      <c r="AR98" s="14" t="s">
        <v>366</v>
      </c>
      <c r="AS98" s="14" t="s">
        <v>367</v>
      </c>
      <c r="AT98" s="14" t="s">
        <v>357</v>
      </c>
      <c r="AU98" s="14" t="s">
        <v>357</v>
      </c>
      <c r="AV98" s="14" t="s">
        <v>357</v>
      </c>
      <c r="AW98" s="14" t="s">
        <v>367</v>
      </c>
      <c r="AX98" s="14" t="s">
        <v>357</v>
      </c>
      <c r="AY98" s="14" t="s">
        <v>401</v>
      </c>
      <c r="AZ98" s="14" t="s">
        <v>366</v>
      </c>
      <c r="BA98" s="14" t="s">
        <v>401</v>
      </c>
      <c r="BB98" s="17" t="s">
        <v>842</v>
      </c>
      <c r="BC98" s="17" t="s">
        <v>843</v>
      </c>
      <c r="BD98" s="17" t="s">
        <v>844</v>
      </c>
      <c r="BE98" s="14"/>
      <c r="BF98" s="14"/>
      <c r="BG98" s="14"/>
    </row>
    <row r="99" spans="1:59" ht="128" x14ac:dyDescent="0.15">
      <c r="A99" s="14" t="s">
        <v>349</v>
      </c>
      <c r="B99" s="14" t="s">
        <v>348</v>
      </c>
      <c r="C99" s="14" t="s">
        <v>349</v>
      </c>
      <c r="D99" s="14" t="s">
        <v>348</v>
      </c>
      <c r="E99" s="14" t="s">
        <v>348</v>
      </c>
      <c r="F99" s="14" t="s">
        <v>349</v>
      </c>
      <c r="G99" s="14" t="s">
        <v>348</v>
      </c>
      <c r="H99" s="14" t="s">
        <v>348</v>
      </c>
      <c r="I99" s="14" t="s">
        <v>348</v>
      </c>
      <c r="J99" s="14" t="s">
        <v>349</v>
      </c>
      <c r="K99" s="14" t="s">
        <v>348</v>
      </c>
      <c r="L99" s="14" t="s">
        <v>348</v>
      </c>
      <c r="M99" s="14" t="s">
        <v>348</v>
      </c>
      <c r="N99" s="14" t="s">
        <v>348</v>
      </c>
      <c r="O99" s="14" t="s">
        <v>348</v>
      </c>
      <c r="P99" s="14" t="s">
        <v>349</v>
      </c>
      <c r="Q99" s="14" t="s">
        <v>349</v>
      </c>
      <c r="R99" s="17" t="s">
        <v>845</v>
      </c>
      <c r="S99" s="14" t="s">
        <v>372</v>
      </c>
      <c r="T99" s="14" t="s">
        <v>372</v>
      </c>
      <c r="U99" s="14" t="s">
        <v>351</v>
      </c>
      <c r="V99" s="14" t="s">
        <v>353</v>
      </c>
      <c r="W99" s="14" t="s">
        <v>353</v>
      </c>
      <c r="X99" s="14" t="s">
        <v>372</v>
      </c>
      <c r="Y99" s="14" t="s">
        <v>353</v>
      </c>
      <c r="Z99" s="14" t="s">
        <v>353</v>
      </c>
      <c r="AA99" s="14" t="s">
        <v>353</v>
      </c>
      <c r="AB99" s="14" t="s">
        <v>372</v>
      </c>
      <c r="AC99" s="14" t="s">
        <v>353</v>
      </c>
      <c r="AD99" s="14" t="s">
        <v>353</v>
      </c>
      <c r="AE99" s="14" t="s">
        <v>372</v>
      </c>
      <c r="AF99" s="14" t="s">
        <v>372</v>
      </c>
      <c r="AG99" s="14" t="s">
        <v>353</v>
      </c>
      <c r="AH99" s="14" t="s">
        <v>372</v>
      </c>
      <c r="AI99" s="14" t="s">
        <v>353</v>
      </c>
      <c r="AJ99" s="17" t="s">
        <v>846</v>
      </c>
      <c r="AK99" s="14" t="s">
        <v>358</v>
      </c>
      <c r="AL99" s="14" t="s">
        <v>358</v>
      </c>
      <c r="AM99" s="14" t="s">
        <v>356</v>
      </c>
      <c r="AN99" s="14" t="s">
        <v>357</v>
      </c>
      <c r="AO99" s="14" t="s">
        <v>358</v>
      </c>
      <c r="AP99" s="14" t="s">
        <v>358</v>
      </c>
      <c r="AQ99" s="14" t="s">
        <v>357</v>
      </c>
      <c r="AR99" s="14" t="s">
        <v>358</v>
      </c>
      <c r="AS99" s="14" t="s">
        <v>357</v>
      </c>
      <c r="AT99" s="14" t="s">
        <v>358</v>
      </c>
      <c r="AU99" s="14" t="s">
        <v>357</v>
      </c>
      <c r="AV99" s="14" t="s">
        <v>357</v>
      </c>
      <c r="AW99" s="14" t="s">
        <v>358</v>
      </c>
      <c r="AX99" s="14" t="s">
        <v>357</v>
      </c>
      <c r="AY99" s="14" t="s">
        <v>358</v>
      </c>
      <c r="AZ99" s="14" t="s">
        <v>358</v>
      </c>
      <c r="BA99" s="14" t="s">
        <v>358</v>
      </c>
      <c r="BB99" s="17" t="s">
        <v>847</v>
      </c>
      <c r="BC99" s="17" t="s">
        <v>848</v>
      </c>
      <c r="BD99" s="17" t="s">
        <v>849</v>
      </c>
      <c r="BE99" s="14"/>
      <c r="BF99" s="14"/>
      <c r="BG99" s="14"/>
    </row>
    <row r="100" spans="1:59" ht="144" x14ac:dyDescent="0.15">
      <c r="A100" s="14" t="s">
        <v>348</v>
      </c>
      <c r="B100" s="14" t="s">
        <v>348</v>
      </c>
      <c r="C100" s="14" t="s">
        <v>348</v>
      </c>
      <c r="D100" s="14" t="s">
        <v>348</v>
      </c>
      <c r="E100" s="14" t="s">
        <v>348</v>
      </c>
      <c r="F100" s="14" t="s">
        <v>348</v>
      </c>
      <c r="G100" s="14" t="s">
        <v>348</v>
      </c>
      <c r="H100" s="14" t="s">
        <v>349</v>
      </c>
      <c r="I100" s="14" t="s">
        <v>348</v>
      </c>
      <c r="J100" s="14" t="s">
        <v>348</v>
      </c>
      <c r="K100" s="14" t="s">
        <v>348</v>
      </c>
      <c r="L100" s="14" t="s">
        <v>348</v>
      </c>
      <c r="M100" s="14" t="s">
        <v>348</v>
      </c>
      <c r="N100" s="14" t="s">
        <v>348</v>
      </c>
      <c r="O100" s="14" t="s">
        <v>348</v>
      </c>
      <c r="P100" s="14" t="s">
        <v>348</v>
      </c>
      <c r="Q100" s="14" t="s">
        <v>348</v>
      </c>
      <c r="R100" s="17" t="s">
        <v>850</v>
      </c>
      <c r="S100" s="14" t="s">
        <v>353</v>
      </c>
      <c r="T100" s="14" t="s">
        <v>353</v>
      </c>
      <c r="U100" s="14" t="s">
        <v>351</v>
      </c>
      <c r="V100" s="14" t="s">
        <v>353</v>
      </c>
      <c r="W100" s="14" t="s">
        <v>351</v>
      </c>
      <c r="X100" s="14" t="s">
        <v>353</v>
      </c>
      <c r="Y100" s="14" t="s">
        <v>372</v>
      </c>
      <c r="Z100" s="14" t="s">
        <v>353</v>
      </c>
      <c r="AA100" s="14" t="s">
        <v>353</v>
      </c>
      <c r="AB100" s="14" t="s">
        <v>353</v>
      </c>
      <c r="AC100" s="14" t="s">
        <v>351</v>
      </c>
      <c r="AD100" s="14" t="s">
        <v>351</v>
      </c>
      <c r="AE100" s="14" t="s">
        <v>351</v>
      </c>
      <c r="AF100" s="14" t="s">
        <v>372</v>
      </c>
      <c r="AG100" s="14" t="s">
        <v>354</v>
      </c>
      <c r="AH100" s="14" t="s">
        <v>353</v>
      </c>
      <c r="AI100" s="14" t="s">
        <v>354</v>
      </c>
      <c r="AJ100" s="17" t="s">
        <v>851</v>
      </c>
      <c r="AK100" s="14" t="s">
        <v>357</v>
      </c>
      <c r="AL100" s="14" t="s">
        <v>358</v>
      </c>
      <c r="AM100" s="14" t="s">
        <v>358</v>
      </c>
      <c r="AN100" s="14" t="s">
        <v>358</v>
      </c>
      <c r="AO100" s="14" t="s">
        <v>357</v>
      </c>
      <c r="AP100" s="14" t="s">
        <v>357</v>
      </c>
      <c r="AQ100" s="14" t="s">
        <v>357</v>
      </c>
      <c r="AR100" s="14" t="s">
        <v>356</v>
      </c>
      <c r="AS100" s="14" t="s">
        <v>358</v>
      </c>
      <c r="AT100" s="14" t="s">
        <v>357</v>
      </c>
      <c r="AU100" s="14" t="s">
        <v>356</v>
      </c>
      <c r="AV100" s="14" t="s">
        <v>356</v>
      </c>
      <c r="AW100" s="14" t="s">
        <v>358</v>
      </c>
      <c r="AX100" s="14" t="s">
        <v>357</v>
      </c>
      <c r="AY100" s="14" t="s">
        <v>357</v>
      </c>
      <c r="AZ100" s="14" t="s">
        <v>358</v>
      </c>
      <c r="BA100" s="14" t="s">
        <v>357</v>
      </c>
      <c r="BB100" s="17" t="s">
        <v>852</v>
      </c>
      <c r="BC100" s="17" t="s">
        <v>853</v>
      </c>
      <c r="BD100" s="17" t="s">
        <v>854</v>
      </c>
      <c r="BE100" s="14"/>
      <c r="BF100" s="14"/>
      <c r="BG100" s="14"/>
    </row>
    <row r="101" spans="1:59" ht="208" x14ac:dyDescent="0.15">
      <c r="A101" s="14" t="s">
        <v>348</v>
      </c>
      <c r="B101" s="14" t="s">
        <v>349</v>
      </c>
      <c r="C101" s="14" t="s">
        <v>349</v>
      </c>
      <c r="D101" s="14" t="s">
        <v>349</v>
      </c>
      <c r="E101" s="14" t="s">
        <v>348</v>
      </c>
      <c r="F101" s="14" t="s">
        <v>349</v>
      </c>
      <c r="G101" s="14" t="s">
        <v>348</v>
      </c>
      <c r="H101" s="14" t="s">
        <v>363</v>
      </c>
      <c r="I101" s="14" t="s">
        <v>363</v>
      </c>
      <c r="J101" s="14" t="s">
        <v>363</v>
      </c>
      <c r="K101" s="14" t="s">
        <v>363</v>
      </c>
      <c r="L101" s="14" t="s">
        <v>349</v>
      </c>
      <c r="M101" s="14" t="s">
        <v>363</v>
      </c>
      <c r="N101" s="14" t="s">
        <v>348</v>
      </c>
      <c r="O101" s="14" t="s">
        <v>349</v>
      </c>
      <c r="P101" s="14" t="s">
        <v>363</v>
      </c>
      <c r="Q101" s="14" t="s">
        <v>363</v>
      </c>
      <c r="R101" s="17" t="s">
        <v>855</v>
      </c>
      <c r="S101" s="14" t="s">
        <v>351</v>
      </c>
      <c r="T101" s="14" t="s">
        <v>353</v>
      </c>
      <c r="U101" s="14" t="s">
        <v>351</v>
      </c>
      <c r="V101" s="14" t="s">
        <v>353</v>
      </c>
      <c r="W101" s="14" t="s">
        <v>353</v>
      </c>
      <c r="X101" s="14" t="s">
        <v>354</v>
      </c>
      <c r="Y101" s="14" t="s">
        <v>353</v>
      </c>
      <c r="Z101" s="14" t="s">
        <v>353</v>
      </c>
      <c r="AA101" s="14" t="s">
        <v>351</v>
      </c>
      <c r="AB101" s="14" t="s">
        <v>353</v>
      </c>
      <c r="AC101" s="14" t="s">
        <v>372</v>
      </c>
      <c r="AD101" s="14" t="s">
        <v>351</v>
      </c>
      <c r="AE101" s="14" t="s">
        <v>353</v>
      </c>
      <c r="AF101" s="14" t="s">
        <v>351</v>
      </c>
      <c r="AG101" s="14" t="s">
        <v>353</v>
      </c>
      <c r="AH101" s="14" t="s">
        <v>353</v>
      </c>
      <c r="AI101" s="14" t="s">
        <v>351</v>
      </c>
      <c r="AJ101" s="17" t="s">
        <v>856</v>
      </c>
      <c r="AK101" s="14" t="s">
        <v>358</v>
      </c>
      <c r="AL101" s="14" t="s">
        <v>357</v>
      </c>
      <c r="AM101" s="14" t="s">
        <v>367</v>
      </c>
      <c r="AN101" s="14" t="s">
        <v>357</v>
      </c>
      <c r="AO101" s="14" t="s">
        <v>357</v>
      </c>
      <c r="AP101" s="14" t="s">
        <v>357</v>
      </c>
      <c r="AQ101" s="14" t="s">
        <v>357</v>
      </c>
      <c r="AR101" s="14" t="s">
        <v>357</v>
      </c>
      <c r="AS101" s="14" t="s">
        <v>358</v>
      </c>
      <c r="AT101" s="14" t="s">
        <v>358</v>
      </c>
      <c r="AU101" s="14" t="s">
        <v>358</v>
      </c>
      <c r="AV101" s="14" t="s">
        <v>358</v>
      </c>
      <c r="AW101" s="14" t="s">
        <v>358</v>
      </c>
      <c r="AX101" s="14" t="s">
        <v>357</v>
      </c>
      <c r="AY101" s="14" t="s">
        <v>357</v>
      </c>
      <c r="AZ101" s="14" t="s">
        <v>357</v>
      </c>
      <c r="BA101" s="14" t="s">
        <v>358</v>
      </c>
      <c r="BB101" s="17" t="s">
        <v>857</v>
      </c>
      <c r="BC101" s="17" t="s">
        <v>858</v>
      </c>
      <c r="BD101" s="17" t="s">
        <v>859</v>
      </c>
      <c r="BE101" s="14"/>
      <c r="BF101" s="14"/>
      <c r="BG101" s="14"/>
    </row>
    <row r="102" spans="1:59" ht="409.6" x14ac:dyDescent="0.15">
      <c r="A102" s="14" t="s">
        <v>349</v>
      </c>
      <c r="B102" s="14" t="s">
        <v>348</v>
      </c>
      <c r="C102" s="14" t="s">
        <v>349</v>
      </c>
      <c r="D102" s="14" t="s">
        <v>348</v>
      </c>
      <c r="E102" s="14" t="s">
        <v>348</v>
      </c>
      <c r="F102" s="14" t="s">
        <v>349</v>
      </c>
      <c r="G102" s="14" t="s">
        <v>348</v>
      </c>
      <c r="H102" s="14" t="s">
        <v>377</v>
      </c>
      <c r="I102" s="14" t="s">
        <v>349</v>
      </c>
      <c r="J102" s="14" t="s">
        <v>348</v>
      </c>
      <c r="K102" s="14" t="s">
        <v>348</v>
      </c>
      <c r="L102" s="14" t="s">
        <v>349</v>
      </c>
      <c r="M102" s="14" t="s">
        <v>348</v>
      </c>
      <c r="N102" s="14" t="s">
        <v>349</v>
      </c>
      <c r="O102" s="14" t="s">
        <v>349</v>
      </c>
      <c r="P102" s="14" t="s">
        <v>377</v>
      </c>
      <c r="Q102" s="14" t="s">
        <v>349</v>
      </c>
      <c r="R102" s="17" t="s">
        <v>860</v>
      </c>
      <c r="S102" s="14" t="s">
        <v>353</v>
      </c>
      <c r="T102" s="14" t="s">
        <v>351</v>
      </c>
      <c r="U102" s="14" t="s">
        <v>351</v>
      </c>
      <c r="V102" s="14" t="s">
        <v>353</v>
      </c>
      <c r="W102" s="14" t="s">
        <v>354</v>
      </c>
      <c r="X102" s="14" t="s">
        <v>353</v>
      </c>
      <c r="Y102" s="14" t="s">
        <v>372</v>
      </c>
      <c r="Z102" s="14" t="s">
        <v>372</v>
      </c>
      <c r="AA102" s="14" t="s">
        <v>351</v>
      </c>
      <c r="AB102" s="14" t="s">
        <v>353</v>
      </c>
      <c r="AC102" s="14" t="s">
        <v>372</v>
      </c>
      <c r="AD102" s="14" t="s">
        <v>353</v>
      </c>
      <c r="AE102" s="14" t="s">
        <v>353</v>
      </c>
      <c r="AF102" s="14" t="s">
        <v>353</v>
      </c>
      <c r="AG102" s="14" t="s">
        <v>353</v>
      </c>
      <c r="AH102" s="14" t="s">
        <v>352</v>
      </c>
      <c r="AI102" s="14" t="s">
        <v>351</v>
      </c>
      <c r="AJ102" s="17" t="s">
        <v>861</v>
      </c>
      <c r="AK102" s="14" t="s">
        <v>356</v>
      </c>
      <c r="AL102" s="14" t="s">
        <v>367</v>
      </c>
      <c r="AM102" s="14" t="s">
        <v>367</v>
      </c>
      <c r="AN102" s="14" t="s">
        <v>356</v>
      </c>
      <c r="AO102" s="14" t="s">
        <v>358</v>
      </c>
      <c r="AP102" s="14" t="s">
        <v>358</v>
      </c>
      <c r="AQ102" s="14" t="s">
        <v>357</v>
      </c>
      <c r="AR102" s="14" t="s">
        <v>367</v>
      </c>
      <c r="AS102" s="14" t="s">
        <v>367</v>
      </c>
      <c r="AT102" s="14" t="s">
        <v>358</v>
      </c>
      <c r="AU102" s="14" t="s">
        <v>357</v>
      </c>
      <c r="AV102" s="14" t="s">
        <v>357</v>
      </c>
      <c r="AW102" s="14" t="s">
        <v>356</v>
      </c>
      <c r="AX102" s="14" t="s">
        <v>357</v>
      </c>
      <c r="AY102" s="14" t="s">
        <v>358</v>
      </c>
      <c r="AZ102" s="14" t="s">
        <v>367</v>
      </c>
      <c r="BA102" s="14" t="s">
        <v>358</v>
      </c>
      <c r="BB102" s="17" t="s">
        <v>862</v>
      </c>
      <c r="BC102" s="17" t="s">
        <v>863</v>
      </c>
      <c r="BD102" s="17" t="s">
        <v>864</v>
      </c>
      <c r="BE102" s="14"/>
      <c r="BF102" s="14"/>
      <c r="BG102" s="14"/>
    </row>
    <row r="103" spans="1:59" ht="409.6" x14ac:dyDescent="0.15">
      <c r="A103" s="14" t="s">
        <v>349</v>
      </c>
      <c r="B103" s="14" t="s">
        <v>349</v>
      </c>
      <c r="C103" s="14" t="s">
        <v>349</v>
      </c>
      <c r="D103" s="14" t="s">
        <v>349</v>
      </c>
      <c r="E103" s="14" t="s">
        <v>349</v>
      </c>
      <c r="F103" s="14" t="s">
        <v>349</v>
      </c>
      <c r="G103" s="14" t="s">
        <v>349</v>
      </c>
      <c r="H103" s="14" t="s">
        <v>362</v>
      </c>
      <c r="I103" s="14" t="s">
        <v>362</v>
      </c>
      <c r="J103" s="14" t="s">
        <v>349</v>
      </c>
      <c r="K103" s="14" t="s">
        <v>349</v>
      </c>
      <c r="L103" s="14" t="s">
        <v>349</v>
      </c>
      <c r="M103" s="14" t="s">
        <v>349</v>
      </c>
      <c r="N103" s="14" t="s">
        <v>349</v>
      </c>
      <c r="O103" s="14" t="s">
        <v>349</v>
      </c>
      <c r="P103" s="14" t="s">
        <v>349</v>
      </c>
      <c r="Q103" s="14" t="s">
        <v>349</v>
      </c>
      <c r="R103" s="17" t="s">
        <v>865</v>
      </c>
      <c r="S103" s="14" t="s">
        <v>353</v>
      </c>
      <c r="T103" s="14" t="s">
        <v>353</v>
      </c>
      <c r="U103" s="14" t="s">
        <v>353</v>
      </c>
      <c r="V103" s="14" t="s">
        <v>372</v>
      </c>
      <c r="W103" s="14" t="s">
        <v>372</v>
      </c>
      <c r="X103" s="14" t="s">
        <v>351</v>
      </c>
      <c r="Y103" s="14" t="s">
        <v>351</v>
      </c>
      <c r="Z103" s="14" t="s">
        <v>353</v>
      </c>
      <c r="AA103" s="14" t="s">
        <v>353</v>
      </c>
      <c r="AB103" s="14" t="s">
        <v>353</v>
      </c>
      <c r="AC103" s="14" t="s">
        <v>372</v>
      </c>
      <c r="AD103" s="14" t="s">
        <v>372</v>
      </c>
      <c r="AE103" s="14" t="s">
        <v>353</v>
      </c>
      <c r="AF103" s="14" t="s">
        <v>351</v>
      </c>
      <c r="AG103" s="14" t="s">
        <v>372</v>
      </c>
      <c r="AH103" s="14" t="s">
        <v>351</v>
      </c>
      <c r="AI103" s="14" t="s">
        <v>372</v>
      </c>
      <c r="AJ103" s="17" t="s">
        <v>866</v>
      </c>
      <c r="AK103" s="14" t="s">
        <v>357</v>
      </c>
      <c r="AL103" s="14" t="s">
        <v>357</v>
      </c>
      <c r="AM103" s="14" t="s">
        <v>357</v>
      </c>
      <c r="AN103" s="14" t="s">
        <v>356</v>
      </c>
      <c r="AO103" s="14" t="s">
        <v>357</v>
      </c>
      <c r="AP103" s="14" t="s">
        <v>357</v>
      </c>
      <c r="AQ103" s="14" t="s">
        <v>358</v>
      </c>
      <c r="AR103" s="14" t="s">
        <v>357</v>
      </c>
      <c r="AS103" s="14" t="s">
        <v>357</v>
      </c>
      <c r="AT103" s="14" t="s">
        <v>357</v>
      </c>
      <c r="AU103" s="14" t="s">
        <v>357</v>
      </c>
      <c r="AV103" s="14" t="s">
        <v>357</v>
      </c>
      <c r="AW103" s="14" t="s">
        <v>358</v>
      </c>
      <c r="AX103" s="14" t="s">
        <v>357</v>
      </c>
      <c r="AY103" s="14" t="s">
        <v>357</v>
      </c>
      <c r="AZ103" s="14" t="s">
        <v>357</v>
      </c>
      <c r="BA103" s="14" t="s">
        <v>357</v>
      </c>
      <c r="BB103" s="17" t="s">
        <v>867</v>
      </c>
      <c r="BC103" s="17" t="s">
        <v>868</v>
      </c>
      <c r="BD103" s="17" t="s">
        <v>869</v>
      </c>
      <c r="BE103" s="14"/>
      <c r="BF103" s="14"/>
      <c r="BG103" s="14"/>
    </row>
    <row r="104" spans="1:59" ht="192" x14ac:dyDescent="0.15">
      <c r="A104" s="14" t="s">
        <v>348</v>
      </c>
      <c r="B104" s="14" t="s">
        <v>348</v>
      </c>
      <c r="C104" s="14" t="s">
        <v>348</v>
      </c>
      <c r="D104" s="14" t="s">
        <v>348</v>
      </c>
      <c r="E104" s="14" t="s">
        <v>348</v>
      </c>
      <c r="F104" s="14" t="s">
        <v>362</v>
      </c>
      <c r="G104" s="14" t="s">
        <v>349</v>
      </c>
      <c r="H104" s="14" t="s">
        <v>349</v>
      </c>
      <c r="I104" s="14" t="s">
        <v>348</v>
      </c>
      <c r="J104" s="14" t="s">
        <v>348</v>
      </c>
      <c r="K104" s="14" t="s">
        <v>348</v>
      </c>
      <c r="L104" s="14" t="s">
        <v>349</v>
      </c>
      <c r="M104" s="14" t="s">
        <v>348</v>
      </c>
      <c r="N104" s="14" t="s">
        <v>348</v>
      </c>
      <c r="O104" s="14" t="s">
        <v>348</v>
      </c>
      <c r="P104" s="14" t="s">
        <v>348</v>
      </c>
      <c r="Q104" s="14" t="s">
        <v>348</v>
      </c>
      <c r="R104" s="17" t="s">
        <v>870</v>
      </c>
      <c r="S104" s="14" t="s">
        <v>353</v>
      </c>
      <c r="T104" s="14" t="s">
        <v>351</v>
      </c>
      <c r="U104" s="14" t="s">
        <v>351</v>
      </c>
      <c r="V104" s="14" t="s">
        <v>351</v>
      </c>
      <c r="W104" s="14" t="s">
        <v>353</v>
      </c>
      <c r="X104" s="14" t="s">
        <v>353</v>
      </c>
      <c r="Y104" s="14" t="s">
        <v>353</v>
      </c>
      <c r="Z104" s="14" t="s">
        <v>353</v>
      </c>
      <c r="AA104" s="14" t="s">
        <v>353</v>
      </c>
      <c r="AB104" s="14" t="s">
        <v>353</v>
      </c>
      <c r="AC104" s="14" t="s">
        <v>353</v>
      </c>
      <c r="AD104" s="14" t="s">
        <v>353</v>
      </c>
      <c r="AE104" s="14" t="s">
        <v>353</v>
      </c>
      <c r="AF104" s="14" t="s">
        <v>372</v>
      </c>
      <c r="AG104" s="14" t="s">
        <v>372</v>
      </c>
      <c r="AH104" s="14" t="s">
        <v>372</v>
      </c>
      <c r="AI104" s="14" t="s">
        <v>372</v>
      </c>
      <c r="AJ104" s="17" t="s">
        <v>871</v>
      </c>
      <c r="AK104" s="14" t="s">
        <v>357</v>
      </c>
      <c r="AL104" s="14" t="s">
        <v>357</v>
      </c>
      <c r="AM104" s="14" t="s">
        <v>357</v>
      </c>
      <c r="AN104" s="14" t="s">
        <v>356</v>
      </c>
      <c r="AO104" s="14" t="s">
        <v>358</v>
      </c>
      <c r="AP104" s="14" t="s">
        <v>358</v>
      </c>
      <c r="AQ104" s="14" t="s">
        <v>358</v>
      </c>
      <c r="AR104" s="14" t="s">
        <v>357</v>
      </c>
      <c r="AS104" s="14" t="s">
        <v>357</v>
      </c>
      <c r="AT104" s="14" t="s">
        <v>357</v>
      </c>
      <c r="AU104" s="14" t="s">
        <v>357</v>
      </c>
      <c r="AV104" s="14" t="s">
        <v>357</v>
      </c>
      <c r="AW104" s="14" t="s">
        <v>357</v>
      </c>
      <c r="AX104" s="14" t="s">
        <v>357</v>
      </c>
      <c r="AY104" s="14" t="s">
        <v>357</v>
      </c>
      <c r="AZ104" s="14" t="s">
        <v>357</v>
      </c>
      <c r="BA104" s="14" t="s">
        <v>357</v>
      </c>
      <c r="BB104" s="17" t="s">
        <v>872</v>
      </c>
      <c r="BC104" s="17" t="s">
        <v>873</v>
      </c>
      <c r="BD104" s="17" t="s">
        <v>874</v>
      </c>
      <c r="BE104" s="14"/>
      <c r="BF104" s="14"/>
      <c r="BG104" s="14"/>
    </row>
    <row r="105" spans="1:59" ht="304" x14ac:dyDescent="0.15">
      <c r="A105" s="14" t="s">
        <v>349</v>
      </c>
      <c r="B105" s="14" t="s">
        <v>349</v>
      </c>
      <c r="C105" s="14" t="s">
        <v>349</v>
      </c>
      <c r="D105" s="14" t="s">
        <v>377</v>
      </c>
      <c r="E105" s="14" t="s">
        <v>349</v>
      </c>
      <c r="F105" s="14" t="s">
        <v>349</v>
      </c>
      <c r="G105" s="14" t="s">
        <v>348</v>
      </c>
      <c r="H105" s="14" t="s">
        <v>349</v>
      </c>
      <c r="I105" s="14" t="s">
        <v>349</v>
      </c>
      <c r="J105" s="14" t="s">
        <v>348</v>
      </c>
      <c r="K105" s="14" t="s">
        <v>349</v>
      </c>
      <c r="L105" s="14" t="s">
        <v>349</v>
      </c>
      <c r="M105" s="14" t="s">
        <v>377</v>
      </c>
      <c r="N105" s="14" t="s">
        <v>349</v>
      </c>
      <c r="O105" s="14" t="s">
        <v>349</v>
      </c>
      <c r="P105" s="14" t="s">
        <v>349</v>
      </c>
      <c r="Q105" s="14" t="s">
        <v>349</v>
      </c>
      <c r="R105" s="17" t="s">
        <v>875</v>
      </c>
      <c r="S105" s="14" t="s">
        <v>353</v>
      </c>
      <c r="T105" s="14" t="s">
        <v>353</v>
      </c>
      <c r="U105" s="14" t="s">
        <v>372</v>
      </c>
      <c r="V105" s="14" t="s">
        <v>353</v>
      </c>
      <c r="W105" s="14" t="s">
        <v>353</v>
      </c>
      <c r="X105" s="14" t="s">
        <v>353</v>
      </c>
      <c r="Y105" s="14" t="s">
        <v>372</v>
      </c>
      <c r="Z105" s="14" t="s">
        <v>372</v>
      </c>
      <c r="AA105" s="14" t="s">
        <v>353</v>
      </c>
      <c r="AB105" s="14" t="s">
        <v>351</v>
      </c>
      <c r="AC105" s="14" t="s">
        <v>353</v>
      </c>
      <c r="AD105" s="14" t="s">
        <v>353</v>
      </c>
      <c r="AE105" s="14" t="s">
        <v>351</v>
      </c>
      <c r="AF105" s="14" t="s">
        <v>372</v>
      </c>
      <c r="AG105" s="14" t="s">
        <v>372</v>
      </c>
      <c r="AH105" s="14" t="s">
        <v>353</v>
      </c>
      <c r="AI105" s="14" t="s">
        <v>372</v>
      </c>
      <c r="AJ105" s="17" t="s">
        <v>876</v>
      </c>
      <c r="AK105" s="14" t="s">
        <v>357</v>
      </c>
      <c r="AL105" s="14" t="s">
        <v>357</v>
      </c>
      <c r="AM105" s="14" t="s">
        <v>358</v>
      </c>
      <c r="AN105" s="14" t="s">
        <v>357</v>
      </c>
      <c r="AO105" s="14" t="s">
        <v>357</v>
      </c>
      <c r="AP105" s="14" t="s">
        <v>358</v>
      </c>
      <c r="AQ105" s="14" t="s">
        <v>358</v>
      </c>
      <c r="AR105" s="14" t="s">
        <v>357</v>
      </c>
      <c r="AS105" s="14" t="s">
        <v>356</v>
      </c>
      <c r="AT105" s="14" t="s">
        <v>358</v>
      </c>
      <c r="AU105" s="14" t="s">
        <v>358</v>
      </c>
      <c r="AV105" s="14" t="s">
        <v>358</v>
      </c>
      <c r="AW105" s="14" t="s">
        <v>358</v>
      </c>
      <c r="AX105" s="14" t="s">
        <v>357</v>
      </c>
      <c r="AY105" s="14" t="s">
        <v>357</v>
      </c>
      <c r="AZ105" s="14" t="s">
        <v>356</v>
      </c>
      <c r="BA105" s="14" t="s">
        <v>358</v>
      </c>
      <c r="BB105" s="17" t="s">
        <v>877</v>
      </c>
      <c r="BC105" s="17" t="s">
        <v>878</v>
      </c>
      <c r="BD105" s="17" t="s">
        <v>879</v>
      </c>
      <c r="BE105" s="14"/>
      <c r="BF105" s="14"/>
      <c r="BG105" s="14"/>
    </row>
    <row r="106" spans="1:59" ht="13" x14ac:dyDescent="0.1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row>
    <row r="107" spans="1:59" ht="13" x14ac:dyDescent="0.1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row>
    <row r="108" spans="1:59" ht="13" x14ac:dyDescent="0.1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row>
    <row r="109" spans="1:59" ht="13" x14ac:dyDescent="0.1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row>
    <row r="110" spans="1:59" ht="13" x14ac:dyDescent="0.1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row>
    <row r="111" spans="1:59" ht="13" x14ac:dyDescent="0.1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row>
    <row r="112" spans="1:59" ht="13" x14ac:dyDescent="0.1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row>
    <row r="113" spans="1:59" ht="13" x14ac:dyDescent="0.1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row>
    <row r="114" spans="1:59" ht="13" x14ac:dyDescent="0.1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row>
    <row r="115" spans="1:59" ht="13" x14ac:dyDescent="0.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row>
    <row r="116" spans="1:59" ht="13" x14ac:dyDescent="0.1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row>
    <row r="117" spans="1:59" ht="13" x14ac:dyDescent="0.1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row>
    <row r="118" spans="1:59" ht="13" x14ac:dyDescent="0.1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row>
    <row r="119" spans="1:59" ht="13" x14ac:dyDescent="0.1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row>
    <row r="120" spans="1:59" ht="13" x14ac:dyDescent="0.1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row>
    <row r="121" spans="1:59" ht="13" x14ac:dyDescent="0.1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row>
    <row r="122" spans="1:59" ht="13" x14ac:dyDescent="0.1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row>
    <row r="123" spans="1:59" ht="13" x14ac:dyDescent="0.1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row>
    <row r="124" spans="1:59" ht="13" x14ac:dyDescent="0.1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row>
    <row r="125" spans="1:59" ht="13" x14ac:dyDescent="0.1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row>
    <row r="126" spans="1:59" ht="13" x14ac:dyDescent="0.1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row>
    <row r="127" spans="1:59" ht="13" x14ac:dyDescent="0.1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row>
    <row r="128" spans="1:59" ht="13" x14ac:dyDescent="0.1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row>
    <row r="129" spans="1:59" ht="13" x14ac:dyDescent="0.1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row>
    <row r="130" spans="1:59" ht="13" x14ac:dyDescent="0.1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row>
    <row r="131" spans="1:59" ht="13" x14ac:dyDescent="0.1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row>
    <row r="132" spans="1:59" ht="13" x14ac:dyDescent="0.1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row>
    <row r="133" spans="1:59" ht="13" x14ac:dyDescent="0.1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row>
    <row r="134" spans="1:59" ht="13" x14ac:dyDescent="0.1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row>
    <row r="135" spans="1:59" ht="13" x14ac:dyDescent="0.1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row>
    <row r="136" spans="1:59" ht="13" x14ac:dyDescent="0.1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row>
    <row r="137" spans="1:59" ht="13" x14ac:dyDescent="0.1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row>
    <row r="138" spans="1:59" ht="13" x14ac:dyDescent="0.1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row>
    <row r="139" spans="1:59" ht="13" x14ac:dyDescent="0.1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row>
    <row r="140" spans="1:59" ht="13" x14ac:dyDescent="0.1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row>
    <row r="141" spans="1:59" ht="13" x14ac:dyDescent="0.1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row>
    <row r="142" spans="1:59" ht="13" x14ac:dyDescent="0.1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row>
    <row r="143" spans="1:59" ht="13" x14ac:dyDescent="0.1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row>
    <row r="144" spans="1:59" ht="13" x14ac:dyDescent="0.1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row>
    <row r="145" spans="1:59" ht="13" x14ac:dyDescent="0.1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row>
    <row r="146" spans="1:59" ht="13" x14ac:dyDescent="0.1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row>
    <row r="147" spans="1:59" ht="13" x14ac:dyDescent="0.1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row>
    <row r="148" spans="1:59" ht="13" x14ac:dyDescent="0.1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row>
    <row r="149" spans="1:59" ht="13" x14ac:dyDescent="0.1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row>
    <row r="150" spans="1:59" ht="13" x14ac:dyDescent="0.1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row>
    <row r="151" spans="1:59" ht="13" x14ac:dyDescent="0.1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row>
    <row r="152" spans="1:59" ht="13" x14ac:dyDescent="0.1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row>
    <row r="153" spans="1:59" ht="13" x14ac:dyDescent="0.1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row>
    <row r="154" spans="1:59" ht="13" x14ac:dyDescent="0.1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row>
    <row r="155" spans="1:59" ht="13" x14ac:dyDescent="0.1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row>
    <row r="156" spans="1:59" ht="13" x14ac:dyDescent="0.1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row>
    <row r="157" spans="1:59" ht="13" x14ac:dyDescent="0.1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row>
    <row r="158" spans="1:59" ht="13" x14ac:dyDescent="0.1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row>
    <row r="159" spans="1:59" ht="13" x14ac:dyDescent="0.1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row>
    <row r="160" spans="1:59" ht="13" x14ac:dyDescent="0.1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row>
    <row r="161" spans="1:59" ht="13" x14ac:dyDescent="0.1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row>
    <row r="162" spans="1:59" ht="13" x14ac:dyDescent="0.1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row>
    <row r="163" spans="1:59" ht="13" x14ac:dyDescent="0.1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row>
    <row r="164" spans="1:59" ht="13" x14ac:dyDescent="0.1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row>
    <row r="165" spans="1:59" ht="13" x14ac:dyDescent="0.1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row>
    <row r="166" spans="1:59" ht="13" x14ac:dyDescent="0.1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row>
    <row r="167" spans="1:59" ht="13" x14ac:dyDescent="0.1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row>
    <row r="168" spans="1:59" ht="13" x14ac:dyDescent="0.1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row>
    <row r="169" spans="1:59" ht="13" x14ac:dyDescent="0.1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row>
    <row r="170" spans="1:59" ht="13" x14ac:dyDescent="0.1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row>
    <row r="171" spans="1:59" ht="13" x14ac:dyDescent="0.1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row>
    <row r="172" spans="1:59" ht="13" x14ac:dyDescent="0.1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row>
    <row r="173" spans="1:59" ht="13" x14ac:dyDescent="0.1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row>
    <row r="174" spans="1:59" ht="13" x14ac:dyDescent="0.1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row>
    <row r="175" spans="1:59" ht="13" x14ac:dyDescent="0.1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row>
    <row r="176" spans="1:59" ht="13" x14ac:dyDescent="0.1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row>
    <row r="177" spans="1:59" ht="13" x14ac:dyDescent="0.1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row>
    <row r="178" spans="1:59" ht="13" x14ac:dyDescent="0.1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row>
    <row r="179" spans="1:59" ht="13" x14ac:dyDescent="0.1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row>
    <row r="180" spans="1:59" ht="13" x14ac:dyDescent="0.1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row>
    <row r="181" spans="1:59" ht="13" x14ac:dyDescent="0.1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row>
    <row r="182" spans="1:59" ht="13" x14ac:dyDescent="0.1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row>
    <row r="183" spans="1:59" ht="13" x14ac:dyDescent="0.1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row>
    <row r="184" spans="1:59" ht="13" x14ac:dyDescent="0.1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row>
    <row r="185" spans="1:59" ht="13" x14ac:dyDescent="0.1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row>
    <row r="186" spans="1:59" ht="13" x14ac:dyDescent="0.1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row>
    <row r="187" spans="1:59" ht="13" x14ac:dyDescent="0.1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row>
    <row r="188" spans="1:59" ht="13" x14ac:dyDescent="0.1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row>
    <row r="189" spans="1:59" ht="13" x14ac:dyDescent="0.1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row>
    <row r="190" spans="1:59" ht="13" x14ac:dyDescent="0.1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row>
    <row r="191" spans="1:59" ht="13" x14ac:dyDescent="0.1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row>
    <row r="192" spans="1:59" ht="13" x14ac:dyDescent="0.1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row>
    <row r="193" spans="1:59" ht="13" x14ac:dyDescent="0.1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row>
    <row r="194" spans="1:59" ht="13" x14ac:dyDescent="0.1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row>
    <row r="195" spans="1:59" ht="13" x14ac:dyDescent="0.1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row>
    <row r="196" spans="1:59" ht="13" x14ac:dyDescent="0.1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row>
    <row r="197" spans="1:59" ht="13" x14ac:dyDescent="0.1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row>
    <row r="198" spans="1:59" ht="13" x14ac:dyDescent="0.1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row>
    <row r="199" spans="1:59" ht="13" x14ac:dyDescent="0.1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row>
    <row r="200" spans="1:59" ht="13" x14ac:dyDescent="0.1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row>
    <row r="201" spans="1:59" ht="13" x14ac:dyDescent="0.1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row>
    <row r="202" spans="1:59" ht="13" x14ac:dyDescent="0.1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row>
    <row r="203" spans="1:59" ht="13" x14ac:dyDescent="0.1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row>
    <row r="204" spans="1:59" ht="13" x14ac:dyDescent="0.1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row>
    <row r="205" spans="1:59" ht="13" x14ac:dyDescent="0.1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row>
    <row r="206" spans="1:59" ht="13" x14ac:dyDescent="0.1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row>
    <row r="207" spans="1:59" ht="13" x14ac:dyDescent="0.1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row>
    <row r="208" spans="1:59" ht="13" x14ac:dyDescent="0.1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row>
    <row r="209" spans="1:59" ht="13" x14ac:dyDescent="0.1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row>
    <row r="210" spans="1:59" ht="13" x14ac:dyDescent="0.1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row>
    <row r="211" spans="1:59" ht="13" x14ac:dyDescent="0.1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row>
    <row r="212" spans="1:59" ht="13" x14ac:dyDescent="0.1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row>
    <row r="213" spans="1:59" ht="13" x14ac:dyDescent="0.1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row>
    <row r="214" spans="1:59" ht="13" x14ac:dyDescent="0.1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row>
    <row r="215" spans="1:59" ht="13" x14ac:dyDescent="0.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row>
    <row r="216" spans="1:59" ht="13" x14ac:dyDescent="0.1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row>
    <row r="217" spans="1:59" ht="13" x14ac:dyDescent="0.1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row>
    <row r="218" spans="1:59" ht="13" x14ac:dyDescent="0.1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row>
    <row r="219" spans="1:59" ht="13" x14ac:dyDescent="0.1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row>
    <row r="220" spans="1:59" ht="13" x14ac:dyDescent="0.1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row>
    <row r="221" spans="1:59" ht="13" x14ac:dyDescent="0.1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row>
    <row r="222" spans="1:59" ht="13" x14ac:dyDescent="0.1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row>
    <row r="223" spans="1:59" ht="13" x14ac:dyDescent="0.1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row>
    <row r="224" spans="1:59" ht="13" x14ac:dyDescent="0.1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row>
    <row r="225" spans="1:59" ht="13" x14ac:dyDescent="0.1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row>
    <row r="226" spans="1:59" ht="13" x14ac:dyDescent="0.1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row>
    <row r="227" spans="1:59" ht="13" x14ac:dyDescent="0.1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row>
    <row r="228" spans="1:59" ht="13" x14ac:dyDescent="0.1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row>
    <row r="229" spans="1:59" ht="13" x14ac:dyDescent="0.1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row>
    <row r="230" spans="1:59" ht="13" x14ac:dyDescent="0.1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row>
    <row r="231" spans="1:59" ht="13" x14ac:dyDescent="0.1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row>
    <row r="232" spans="1:59" ht="13" x14ac:dyDescent="0.1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row>
    <row r="233" spans="1:59" ht="13" x14ac:dyDescent="0.1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row>
    <row r="234" spans="1:59" ht="13" x14ac:dyDescent="0.1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row>
    <row r="235" spans="1:59" ht="13" x14ac:dyDescent="0.1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row>
    <row r="236" spans="1:59" ht="13" x14ac:dyDescent="0.1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row>
    <row r="237" spans="1:59" ht="13" x14ac:dyDescent="0.1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row>
    <row r="238" spans="1:59" ht="13" x14ac:dyDescent="0.1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row>
    <row r="239" spans="1:59" ht="13" x14ac:dyDescent="0.1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row>
    <row r="240" spans="1:59" ht="13" x14ac:dyDescent="0.1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row>
    <row r="241" spans="1:59" ht="13" x14ac:dyDescent="0.1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row>
    <row r="242" spans="1:59" ht="13" x14ac:dyDescent="0.1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row>
    <row r="243" spans="1:59" ht="13" x14ac:dyDescent="0.1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row>
    <row r="244" spans="1:59" ht="13" x14ac:dyDescent="0.1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row>
    <row r="245" spans="1:59" ht="13" x14ac:dyDescent="0.1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row>
    <row r="246" spans="1:59" ht="13" x14ac:dyDescent="0.1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row>
    <row r="247" spans="1:59" ht="13" x14ac:dyDescent="0.1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row>
    <row r="248" spans="1:59" ht="13" x14ac:dyDescent="0.1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row>
    <row r="249" spans="1:59" ht="13" x14ac:dyDescent="0.1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row>
    <row r="250" spans="1:59" ht="13" x14ac:dyDescent="0.1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row>
    <row r="251" spans="1:59" ht="13" x14ac:dyDescent="0.1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row>
    <row r="252" spans="1:59" ht="13" x14ac:dyDescent="0.1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row>
    <row r="253" spans="1:59" ht="13" x14ac:dyDescent="0.1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row>
    <row r="254" spans="1:59" ht="13" x14ac:dyDescent="0.1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row>
    <row r="255" spans="1:59" ht="13" x14ac:dyDescent="0.1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row>
    <row r="256" spans="1:59" ht="13" x14ac:dyDescent="0.1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row>
    <row r="257" spans="1:59" ht="13" x14ac:dyDescent="0.1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row>
    <row r="258" spans="1:59" ht="13" x14ac:dyDescent="0.1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row>
    <row r="259" spans="1:59" ht="13" x14ac:dyDescent="0.1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row>
    <row r="260" spans="1:59" ht="13" x14ac:dyDescent="0.1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row>
    <row r="261" spans="1:59" ht="13" x14ac:dyDescent="0.1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row>
    <row r="262" spans="1:59" ht="13" x14ac:dyDescent="0.1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row>
    <row r="263" spans="1:59" ht="13" x14ac:dyDescent="0.1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row>
    <row r="264" spans="1:59" ht="13" x14ac:dyDescent="0.1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row>
    <row r="265" spans="1:59" ht="13" x14ac:dyDescent="0.1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row>
    <row r="266" spans="1:59" ht="13" x14ac:dyDescent="0.1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row>
    <row r="267" spans="1:59" ht="13" x14ac:dyDescent="0.1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row>
    <row r="268" spans="1:59" ht="13" x14ac:dyDescent="0.1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row>
    <row r="269" spans="1:59" ht="13" x14ac:dyDescent="0.1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row>
    <row r="270" spans="1:59" ht="13" x14ac:dyDescent="0.1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row>
    <row r="271" spans="1:59" ht="13" x14ac:dyDescent="0.1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row>
    <row r="272" spans="1:59" ht="13" x14ac:dyDescent="0.1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row>
    <row r="273" spans="1:59" ht="13" x14ac:dyDescent="0.1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row>
    <row r="274" spans="1:59" ht="13" x14ac:dyDescent="0.1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row>
    <row r="275" spans="1:59" ht="13" x14ac:dyDescent="0.1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row>
    <row r="276" spans="1:59" ht="13" x14ac:dyDescent="0.1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row>
    <row r="277" spans="1:59" ht="13" x14ac:dyDescent="0.1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row>
    <row r="278" spans="1:59" ht="13" x14ac:dyDescent="0.1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row>
    <row r="279" spans="1:59" ht="13" x14ac:dyDescent="0.1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row>
    <row r="280" spans="1:59" ht="13" x14ac:dyDescent="0.1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row>
    <row r="281" spans="1:59" ht="13" x14ac:dyDescent="0.1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row>
    <row r="282" spans="1:59" ht="13" x14ac:dyDescent="0.1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row>
    <row r="283" spans="1:59" ht="13" x14ac:dyDescent="0.1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row>
    <row r="284" spans="1:59" ht="13" x14ac:dyDescent="0.1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row>
    <row r="285" spans="1:59" ht="13" x14ac:dyDescent="0.1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row>
    <row r="286" spans="1:59" ht="13" x14ac:dyDescent="0.1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row>
    <row r="287" spans="1:59" ht="13" x14ac:dyDescent="0.1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row>
    <row r="288" spans="1:59" ht="13" x14ac:dyDescent="0.1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row>
    <row r="289" spans="1:59" ht="13" x14ac:dyDescent="0.1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row>
    <row r="290" spans="1:59" ht="13" x14ac:dyDescent="0.1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row>
    <row r="291" spans="1:59" ht="13" x14ac:dyDescent="0.1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row>
    <row r="292" spans="1:59" ht="13" x14ac:dyDescent="0.1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row>
    <row r="293" spans="1:59" ht="13" x14ac:dyDescent="0.1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row>
    <row r="294" spans="1:59" ht="13" x14ac:dyDescent="0.1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row>
    <row r="295" spans="1:59" ht="13" x14ac:dyDescent="0.1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row>
    <row r="296" spans="1:59" ht="13" x14ac:dyDescent="0.1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row>
    <row r="297" spans="1:59" ht="13" x14ac:dyDescent="0.1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row>
    <row r="298" spans="1:59" ht="13" x14ac:dyDescent="0.1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row>
    <row r="299" spans="1:59" ht="13" x14ac:dyDescent="0.1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row>
    <row r="300" spans="1:59" ht="13" x14ac:dyDescent="0.1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row>
    <row r="301" spans="1:59" ht="13" x14ac:dyDescent="0.1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row>
    <row r="302" spans="1:59" ht="13" x14ac:dyDescent="0.1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row>
    <row r="303" spans="1:59" ht="13" x14ac:dyDescent="0.1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row>
    <row r="304" spans="1:59" ht="13" x14ac:dyDescent="0.1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row>
    <row r="305" spans="1:59" ht="13" x14ac:dyDescent="0.1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row>
    <row r="306" spans="1:59" ht="13" x14ac:dyDescent="0.1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row>
    <row r="307" spans="1:59" ht="13" x14ac:dyDescent="0.1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row>
    <row r="308" spans="1:59" ht="13" x14ac:dyDescent="0.1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row>
    <row r="309" spans="1:59" ht="13" x14ac:dyDescent="0.1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row>
    <row r="310" spans="1:59" ht="13" x14ac:dyDescent="0.1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row>
    <row r="311" spans="1:59" ht="13" x14ac:dyDescent="0.1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row>
    <row r="312" spans="1:59" ht="13" x14ac:dyDescent="0.1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row>
    <row r="313" spans="1:59" ht="13" x14ac:dyDescent="0.1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row>
    <row r="314" spans="1:59" ht="13" x14ac:dyDescent="0.1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row>
    <row r="315" spans="1:59" ht="13" x14ac:dyDescent="0.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row>
    <row r="316" spans="1:59" ht="13" x14ac:dyDescent="0.1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row>
    <row r="317" spans="1:59" ht="13" x14ac:dyDescent="0.1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row>
    <row r="318" spans="1:59" ht="13" x14ac:dyDescent="0.1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row>
    <row r="319" spans="1:59" ht="13" x14ac:dyDescent="0.1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row>
    <row r="320" spans="1:59" ht="13" x14ac:dyDescent="0.1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row>
    <row r="321" spans="1:59" ht="13" x14ac:dyDescent="0.1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row>
    <row r="322" spans="1:59" ht="13" x14ac:dyDescent="0.1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row>
    <row r="323" spans="1:59" ht="13" x14ac:dyDescent="0.1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row>
    <row r="324" spans="1:59" ht="13" x14ac:dyDescent="0.1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row>
    <row r="325" spans="1:59" ht="13" x14ac:dyDescent="0.1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row>
    <row r="326" spans="1:59" ht="13" x14ac:dyDescent="0.1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row>
    <row r="327" spans="1:59" ht="13" x14ac:dyDescent="0.1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row>
    <row r="328" spans="1:59" ht="13" x14ac:dyDescent="0.1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row>
    <row r="329" spans="1:59" ht="13" x14ac:dyDescent="0.1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row>
    <row r="330" spans="1:59" ht="13" x14ac:dyDescent="0.1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row>
    <row r="331" spans="1:59" ht="13" x14ac:dyDescent="0.1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row>
    <row r="332" spans="1:59" ht="13" x14ac:dyDescent="0.1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row>
    <row r="333" spans="1:59" ht="13" x14ac:dyDescent="0.1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row>
    <row r="334" spans="1:59" ht="13" x14ac:dyDescent="0.1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row>
    <row r="335" spans="1:59" ht="13" x14ac:dyDescent="0.1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row>
    <row r="336" spans="1:59" ht="13" x14ac:dyDescent="0.1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row>
    <row r="337" spans="1:59" ht="13" x14ac:dyDescent="0.1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row>
    <row r="338" spans="1:59" ht="13" x14ac:dyDescent="0.1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row>
    <row r="339" spans="1:59" ht="13" x14ac:dyDescent="0.1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row>
    <row r="340" spans="1:59" ht="13" x14ac:dyDescent="0.1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row>
    <row r="341" spans="1:59" ht="13" x14ac:dyDescent="0.1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row>
    <row r="342" spans="1:59" ht="13" x14ac:dyDescent="0.1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row>
    <row r="343" spans="1:59" ht="13" x14ac:dyDescent="0.1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row>
    <row r="344" spans="1:59" ht="13" x14ac:dyDescent="0.1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row>
    <row r="345" spans="1:59" ht="13" x14ac:dyDescent="0.1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row>
    <row r="346" spans="1:59" ht="13" x14ac:dyDescent="0.1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row>
    <row r="347" spans="1:59" ht="13" x14ac:dyDescent="0.1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row>
    <row r="348" spans="1:59" ht="13" x14ac:dyDescent="0.1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row>
    <row r="349" spans="1:59" ht="13" x14ac:dyDescent="0.1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row>
    <row r="350" spans="1:59" ht="13" x14ac:dyDescent="0.1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row>
    <row r="351" spans="1:59" ht="13" x14ac:dyDescent="0.1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row>
    <row r="352" spans="1:59" ht="13" x14ac:dyDescent="0.1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row>
    <row r="353" spans="1:59" ht="13" x14ac:dyDescent="0.1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row>
    <row r="354" spans="1:59" ht="13" x14ac:dyDescent="0.1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row>
    <row r="355" spans="1:59" ht="13" x14ac:dyDescent="0.1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row>
    <row r="356" spans="1:59" ht="13" x14ac:dyDescent="0.1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row>
    <row r="357" spans="1:59" ht="13" x14ac:dyDescent="0.1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row>
    <row r="358" spans="1:59" ht="13" x14ac:dyDescent="0.1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row>
    <row r="359" spans="1:59" ht="13" x14ac:dyDescent="0.1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row>
    <row r="360" spans="1:59" ht="13" x14ac:dyDescent="0.1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row>
    <row r="361" spans="1:59" ht="13" x14ac:dyDescent="0.1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row>
    <row r="362" spans="1:59" ht="13" x14ac:dyDescent="0.1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row>
    <row r="363" spans="1:59" ht="13" x14ac:dyDescent="0.1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row>
    <row r="364" spans="1:59" ht="13" x14ac:dyDescent="0.1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row>
    <row r="365" spans="1:59" ht="13" x14ac:dyDescent="0.1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row>
    <row r="366" spans="1:59" ht="13" x14ac:dyDescent="0.1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row>
    <row r="367" spans="1:59" ht="13" x14ac:dyDescent="0.1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row>
    <row r="368" spans="1:59" ht="13" x14ac:dyDescent="0.1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row>
    <row r="369" spans="1:59" ht="13" x14ac:dyDescent="0.1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row>
    <row r="370" spans="1:59" ht="13" x14ac:dyDescent="0.1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row>
    <row r="371" spans="1:59" ht="13" x14ac:dyDescent="0.1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row>
    <row r="372" spans="1:59" ht="13" x14ac:dyDescent="0.1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row>
    <row r="373" spans="1:59" ht="13" x14ac:dyDescent="0.1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row>
    <row r="374" spans="1:59" ht="13" x14ac:dyDescent="0.1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row>
    <row r="375" spans="1:59" ht="13" x14ac:dyDescent="0.1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row>
    <row r="376" spans="1:59" ht="13" x14ac:dyDescent="0.1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row>
    <row r="377" spans="1:59" ht="13" x14ac:dyDescent="0.1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row>
    <row r="378" spans="1:59" ht="13" x14ac:dyDescent="0.1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row>
    <row r="379" spans="1:59" ht="13" x14ac:dyDescent="0.1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row>
    <row r="380" spans="1:59" ht="13" x14ac:dyDescent="0.1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row>
    <row r="381" spans="1:59" ht="13" x14ac:dyDescent="0.1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row>
    <row r="382" spans="1:59" ht="13" x14ac:dyDescent="0.1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row>
    <row r="383" spans="1:59" ht="13" x14ac:dyDescent="0.1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row>
    <row r="384" spans="1:59" ht="13" x14ac:dyDescent="0.1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row>
    <row r="385" spans="1:59" ht="13" x14ac:dyDescent="0.1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row>
    <row r="386" spans="1:59" ht="13" x14ac:dyDescent="0.1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row>
    <row r="387" spans="1:59" ht="13" x14ac:dyDescent="0.1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row>
    <row r="388" spans="1:59" ht="13" x14ac:dyDescent="0.1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row>
    <row r="389" spans="1:59" ht="13" x14ac:dyDescent="0.1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row>
    <row r="390" spans="1:59" ht="13" x14ac:dyDescent="0.1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row>
    <row r="391" spans="1:59" ht="13" x14ac:dyDescent="0.1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row>
    <row r="392" spans="1:59" ht="13" x14ac:dyDescent="0.1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row>
    <row r="393" spans="1:59" ht="13" x14ac:dyDescent="0.1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row>
    <row r="394" spans="1:59" ht="13" x14ac:dyDescent="0.1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row>
    <row r="395" spans="1:59" ht="13" x14ac:dyDescent="0.1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row>
    <row r="396" spans="1:59" ht="13" x14ac:dyDescent="0.1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row>
    <row r="397" spans="1:59" ht="13" x14ac:dyDescent="0.1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row>
    <row r="398" spans="1:59" ht="13" x14ac:dyDescent="0.1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row>
    <row r="399" spans="1:59" ht="13" x14ac:dyDescent="0.1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row>
    <row r="400" spans="1:59" ht="13" x14ac:dyDescent="0.1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row>
    <row r="401" spans="1:59" ht="13" x14ac:dyDescent="0.1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row>
    <row r="402" spans="1:59" ht="13" x14ac:dyDescent="0.1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row>
    <row r="403" spans="1:59" ht="13" x14ac:dyDescent="0.1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row>
    <row r="404" spans="1:59" ht="13" x14ac:dyDescent="0.1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row>
    <row r="405" spans="1:59" ht="13" x14ac:dyDescent="0.1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row>
    <row r="406" spans="1:59" ht="13" x14ac:dyDescent="0.1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row>
    <row r="407" spans="1:59" ht="13" x14ac:dyDescent="0.1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row>
    <row r="408" spans="1:59" ht="13" x14ac:dyDescent="0.1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row>
    <row r="409" spans="1:59" ht="13" x14ac:dyDescent="0.1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row>
    <row r="410" spans="1:59" ht="13" x14ac:dyDescent="0.1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row>
    <row r="411" spans="1:59" ht="13" x14ac:dyDescent="0.1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row>
    <row r="412" spans="1:59" ht="13" x14ac:dyDescent="0.1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row>
    <row r="413" spans="1:59" ht="13" x14ac:dyDescent="0.1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row>
    <row r="414" spans="1:59" ht="13" x14ac:dyDescent="0.1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row>
    <row r="415" spans="1:59" ht="13" x14ac:dyDescent="0.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row>
    <row r="416" spans="1:59" ht="13" x14ac:dyDescent="0.1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row>
    <row r="417" spans="1:59" ht="13" x14ac:dyDescent="0.1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row>
    <row r="418" spans="1:59" ht="13" x14ac:dyDescent="0.1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row>
    <row r="419" spans="1:59" ht="13" x14ac:dyDescent="0.1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row>
    <row r="420" spans="1:59" ht="13" x14ac:dyDescent="0.1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row>
    <row r="421" spans="1:59" ht="13" x14ac:dyDescent="0.1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row>
    <row r="422" spans="1:59" ht="13" x14ac:dyDescent="0.1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row>
    <row r="423" spans="1:59" ht="13" x14ac:dyDescent="0.1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row>
    <row r="424" spans="1:59" ht="13" x14ac:dyDescent="0.1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row>
    <row r="425" spans="1:59" ht="13" x14ac:dyDescent="0.1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row>
    <row r="426" spans="1:59" ht="13" x14ac:dyDescent="0.1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row>
    <row r="427" spans="1:59" ht="13" x14ac:dyDescent="0.1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row>
    <row r="428" spans="1:59" ht="13" x14ac:dyDescent="0.1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row>
    <row r="429" spans="1:59" ht="13" x14ac:dyDescent="0.1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row>
    <row r="430" spans="1:59" ht="13" x14ac:dyDescent="0.1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row>
    <row r="431" spans="1:59" ht="13" x14ac:dyDescent="0.1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row>
    <row r="432" spans="1:59" ht="13" x14ac:dyDescent="0.1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row>
    <row r="433" spans="1:59" ht="13" x14ac:dyDescent="0.1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row>
    <row r="434" spans="1:59" ht="13" x14ac:dyDescent="0.1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row>
    <row r="435" spans="1:59" ht="13" x14ac:dyDescent="0.1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row>
    <row r="436" spans="1:59" ht="13" x14ac:dyDescent="0.1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row>
    <row r="437" spans="1:59" ht="13" x14ac:dyDescent="0.1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row>
    <row r="438" spans="1:59" ht="13" x14ac:dyDescent="0.1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row>
    <row r="439" spans="1:59" ht="13" x14ac:dyDescent="0.1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row>
    <row r="440" spans="1:59" ht="13" x14ac:dyDescent="0.1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row>
    <row r="441" spans="1:59" ht="13" x14ac:dyDescent="0.1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row>
    <row r="442" spans="1:59" ht="13" x14ac:dyDescent="0.1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row>
    <row r="443" spans="1:59" ht="13" x14ac:dyDescent="0.1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row>
    <row r="444" spans="1:59" ht="13" x14ac:dyDescent="0.1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row>
    <row r="445" spans="1:59" ht="13" x14ac:dyDescent="0.1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row>
    <row r="446" spans="1:59" ht="13" x14ac:dyDescent="0.1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row>
    <row r="447" spans="1:59" ht="13" x14ac:dyDescent="0.1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row>
    <row r="448" spans="1:59" ht="13" x14ac:dyDescent="0.1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row>
    <row r="449" spans="1:59" ht="13" x14ac:dyDescent="0.1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row>
    <row r="450" spans="1:59" ht="13" x14ac:dyDescent="0.1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row>
    <row r="451" spans="1:59" ht="13" x14ac:dyDescent="0.1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row>
    <row r="452" spans="1:59" ht="13" x14ac:dyDescent="0.1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row>
    <row r="453" spans="1:59" ht="13" x14ac:dyDescent="0.1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row>
    <row r="454" spans="1:59" ht="13" x14ac:dyDescent="0.1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row>
    <row r="455" spans="1:59" ht="13" x14ac:dyDescent="0.1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row>
    <row r="456" spans="1:59" ht="13" x14ac:dyDescent="0.1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row>
    <row r="457" spans="1:59" ht="13" x14ac:dyDescent="0.1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row>
    <row r="458" spans="1:59" ht="13" x14ac:dyDescent="0.1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row>
    <row r="459" spans="1:59" ht="13" x14ac:dyDescent="0.1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row>
    <row r="460" spans="1:59" ht="13" x14ac:dyDescent="0.1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row>
    <row r="461" spans="1:59" ht="13" x14ac:dyDescent="0.1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row>
    <row r="462" spans="1:59" ht="13" x14ac:dyDescent="0.1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row>
    <row r="463" spans="1:59" ht="13" x14ac:dyDescent="0.1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row>
    <row r="464" spans="1:59" ht="13" x14ac:dyDescent="0.1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row>
    <row r="465" spans="1:59" ht="13" x14ac:dyDescent="0.1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row>
    <row r="466" spans="1:59" ht="13" x14ac:dyDescent="0.1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row>
    <row r="467" spans="1:59" ht="13" x14ac:dyDescent="0.1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row>
    <row r="468" spans="1:59" ht="13" x14ac:dyDescent="0.1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row>
    <row r="469" spans="1:59" ht="13" x14ac:dyDescent="0.1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row>
    <row r="470" spans="1:59" ht="13" x14ac:dyDescent="0.1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row>
    <row r="471" spans="1:59" ht="13" x14ac:dyDescent="0.1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row>
    <row r="472" spans="1:59" ht="13" x14ac:dyDescent="0.1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row>
    <row r="473" spans="1:59" ht="13" x14ac:dyDescent="0.1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row>
    <row r="474" spans="1:59" ht="13" x14ac:dyDescent="0.1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row>
    <row r="475" spans="1:59" ht="13" x14ac:dyDescent="0.1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row>
    <row r="476" spans="1:59" ht="13" x14ac:dyDescent="0.1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row>
    <row r="477" spans="1:59" ht="13" x14ac:dyDescent="0.1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row>
    <row r="478" spans="1:59" ht="13" x14ac:dyDescent="0.1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row>
    <row r="479" spans="1:59" ht="13" x14ac:dyDescent="0.1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row>
    <row r="480" spans="1:59" ht="13" x14ac:dyDescent="0.1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row>
    <row r="481" spans="1:59" ht="13" x14ac:dyDescent="0.1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row>
    <row r="482" spans="1:59" ht="13" x14ac:dyDescent="0.1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row>
    <row r="483" spans="1:59" ht="13" x14ac:dyDescent="0.1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row>
    <row r="484" spans="1:59" ht="13" x14ac:dyDescent="0.1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row>
    <row r="485" spans="1:59" ht="13" x14ac:dyDescent="0.1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row>
    <row r="486" spans="1:59" ht="13" x14ac:dyDescent="0.1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row>
    <row r="487" spans="1:59" ht="13" x14ac:dyDescent="0.1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row>
    <row r="488" spans="1:59" ht="13" x14ac:dyDescent="0.1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row>
    <row r="489" spans="1:59" ht="13" x14ac:dyDescent="0.1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row>
    <row r="490" spans="1:59" ht="13" x14ac:dyDescent="0.1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row>
    <row r="491" spans="1:59" ht="13" x14ac:dyDescent="0.1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row>
    <row r="492" spans="1:59" ht="13" x14ac:dyDescent="0.1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row>
    <row r="493" spans="1:59" ht="13" x14ac:dyDescent="0.1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row>
    <row r="494" spans="1:59" ht="13" x14ac:dyDescent="0.1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row>
    <row r="495" spans="1:59" ht="13" x14ac:dyDescent="0.1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row>
    <row r="496" spans="1:59" ht="13" x14ac:dyDescent="0.1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row>
    <row r="497" spans="1:59" ht="13" x14ac:dyDescent="0.1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row>
    <row r="498" spans="1:59" ht="13" x14ac:dyDescent="0.1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row>
    <row r="499" spans="1:59" ht="13" x14ac:dyDescent="0.1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row>
    <row r="500" spans="1:59" ht="13" x14ac:dyDescent="0.1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row>
    <row r="501" spans="1:59" ht="13" x14ac:dyDescent="0.1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row>
    <row r="502" spans="1:59" ht="13" x14ac:dyDescent="0.1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row>
    <row r="503" spans="1:59" ht="13" x14ac:dyDescent="0.1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row>
    <row r="504" spans="1:59" ht="13" x14ac:dyDescent="0.1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row>
    <row r="505" spans="1:59" ht="13" x14ac:dyDescent="0.1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row>
    <row r="506" spans="1:59" ht="13" x14ac:dyDescent="0.1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row>
    <row r="507" spans="1:59" ht="13" x14ac:dyDescent="0.1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row>
    <row r="508" spans="1:59" ht="13" x14ac:dyDescent="0.1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row>
    <row r="509" spans="1:59" ht="13" x14ac:dyDescent="0.1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row>
    <row r="510" spans="1:59" ht="13" x14ac:dyDescent="0.1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row>
    <row r="511" spans="1:59" ht="13" x14ac:dyDescent="0.1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row>
    <row r="512" spans="1:59" ht="13" x14ac:dyDescent="0.1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row>
    <row r="513" spans="1:59" ht="13" x14ac:dyDescent="0.1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row>
    <row r="514" spans="1:59" ht="13" x14ac:dyDescent="0.1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row>
    <row r="515" spans="1:59" ht="13" x14ac:dyDescent="0.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row>
    <row r="516" spans="1:59" ht="13" x14ac:dyDescent="0.1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row>
    <row r="517" spans="1:59" ht="13" x14ac:dyDescent="0.1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row>
    <row r="518" spans="1:59" ht="13" x14ac:dyDescent="0.1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row>
    <row r="519" spans="1:59" ht="13" x14ac:dyDescent="0.1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row>
    <row r="520" spans="1:59" ht="13" x14ac:dyDescent="0.1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row>
    <row r="521" spans="1:59" ht="13" x14ac:dyDescent="0.1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row>
    <row r="522" spans="1:59" ht="13" x14ac:dyDescent="0.1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row>
    <row r="523" spans="1:59" ht="13" x14ac:dyDescent="0.1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row>
    <row r="524" spans="1:59" ht="13" x14ac:dyDescent="0.1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row>
    <row r="525" spans="1:59" ht="13" x14ac:dyDescent="0.1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row>
    <row r="526" spans="1:59" ht="13" x14ac:dyDescent="0.1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row>
    <row r="527" spans="1:59" ht="13" x14ac:dyDescent="0.1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row>
    <row r="528" spans="1:59" ht="13" x14ac:dyDescent="0.1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row>
    <row r="529" spans="1:59" ht="13" x14ac:dyDescent="0.1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row>
    <row r="530" spans="1:59" ht="13" x14ac:dyDescent="0.1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row>
    <row r="531" spans="1:59" ht="13" x14ac:dyDescent="0.1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row>
    <row r="532" spans="1:59" ht="13" x14ac:dyDescent="0.1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row>
    <row r="533" spans="1:59" ht="13" x14ac:dyDescent="0.1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row>
    <row r="534" spans="1:59" ht="13" x14ac:dyDescent="0.1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row>
    <row r="535" spans="1:59" ht="13" x14ac:dyDescent="0.1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row>
    <row r="536" spans="1:59" ht="13" x14ac:dyDescent="0.1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row>
    <row r="537" spans="1:59" ht="13" x14ac:dyDescent="0.1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row>
    <row r="538" spans="1:59" ht="13" x14ac:dyDescent="0.1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row>
    <row r="539" spans="1:59" ht="13" x14ac:dyDescent="0.1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row>
    <row r="540" spans="1:59" ht="13" x14ac:dyDescent="0.1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row>
    <row r="541" spans="1:59" ht="13" x14ac:dyDescent="0.1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row>
    <row r="542" spans="1:59" ht="13" x14ac:dyDescent="0.1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row>
    <row r="543" spans="1:59" ht="13" x14ac:dyDescent="0.1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row>
    <row r="544" spans="1:59" ht="13" x14ac:dyDescent="0.1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row>
    <row r="545" spans="1:59" ht="13" x14ac:dyDescent="0.1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row>
    <row r="546" spans="1:59" ht="13" x14ac:dyDescent="0.1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row>
    <row r="547" spans="1:59" ht="13" x14ac:dyDescent="0.1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row>
    <row r="548" spans="1:59" ht="13" x14ac:dyDescent="0.1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row>
    <row r="549" spans="1:59" ht="13" x14ac:dyDescent="0.1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row>
    <row r="550" spans="1:59" ht="13" x14ac:dyDescent="0.1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row>
    <row r="551" spans="1:59" ht="13" x14ac:dyDescent="0.1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row>
    <row r="552" spans="1:59" ht="13" x14ac:dyDescent="0.1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row>
    <row r="553" spans="1:59" ht="13" x14ac:dyDescent="0.1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row>
    <row r="554" spans="1:59" ht="13" x14ac:dyDescent="0.1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row>
    <row r="555" spans="1:59" ht="13" x14ac:dyDescent="0.1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row>
    <row r="556" spans="1:59" ht="13" x14ac:dyDescent="0.1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row>
    <row r="557" spans="1:59" ht="13" x14ac:dyDescent="0.1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row>
    <row r="558" spans="1:59" ht="13" x14ac:dyDescent="0.1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row>
    <row r="559" spans="1:59" ht="13" x14ac:dyDescent="0.1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row>
    <row r="560" spans="1:59" ht="13" x14ac:dyDescent="0.1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row>
    <row r="561" spans="1:59" ht="13" x14ac:dyDescent="0.1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row>
    <row r="562" spans="1:59" ht="13" x14ac:dyDescent="0.1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row>
    <row r="563" spans="1:59" ht="13" x14ac:dyDescent="0.1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row>
    <row r="564" spans="1:59" ht="13" x14ac:dyDescent="0.1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row>
    <row r="565" spans="1:59" ht="13" x14ac:dyDescent="0.1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row>
    <row r="566" spans="1:59" ht="13" x14ac:dyDescent="0.1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row>
    <row r="567" spans="1:59" ht="13" x14ac:dyDescent="0.1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row>
    <row r="568" spans="1:59" ht="13" x14ac:dyDescent="0.1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row>
    <row r="569" spans="1:59" ht="13" x14ac:dyDescent="0.1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row>
    <row r="570" spans="1:59" ht="13" x14ac:dyDescent="0.1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row>
    <row r="571" spans="1:59" ht="13" x14ac:dyDescent="0.1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row>
    <row r="572" spans="1:59" ht="13" x14ac:dyDescent="0.1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row>
    <row r="573" spans="1:59" ht="13" x14ac:dyDescent="0.1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row>
    <row r="574" spans="1:59" ht="13" x14ac:dyDescent="0.1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row>
    <row r="575" spans="1:59" ht="13" x14ac:dyDescent="0.1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row>
    <row r="576" spans="1:59" ht="13" x14ac:dyDescent="0.1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row>
    <row r="577" spans="1:59" ht="13" x14ac:dyDescent="0.1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row>
    <row r="578" spans="1:59" ht="13" x14ac:dyDescent="0.1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row>
    <row r="579" spans="1:59" ht="13" x14ac:dyDescent="0.1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row>
    <row r="580" spans="1:59" ht="13" x14ac:dyDescent="0.1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row>
    <row r="581" spans="1:59" ht="13" x14ac:dyDescent="0.1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row>
    <row r="582" spans="1:59" ht="13" x14ac:dyDescent="0.1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row>
    <row r="583" spans="1:59" ht="13" x14ac:dyDescent="0.1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row>
    <row r="584" spans="1:59" ht="13" x14ac:dyDescent="0.1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row>
    <row r="585" spans="1:59" ht="13" x14ac:dyDescent="0.1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row>
    <row r="586" spans="1:59" ht="13" x14ac:dyDescent="0.1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row>
    <row r="587" spans="1:59" ht="13" x14ac:dyDescent="0.1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row>
    <row r="588" spans="1:59" ht="13" x14ac:dyDescent="0.1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row>
    <row r="589" spans="1:59" ht="13" x14ac:dyDescent="0.1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row>
    <row r="590" spans="1:59" ht="13" x14ac:dyDescent="0.1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row>
    <row r="591" spans="1:59" ht="13" x14ac:dyDescent="0.1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row>
    <row r="592" spans="1:59" ht="13" x14ac:dyDescent="0.1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row>
    <row r="593" spans="1:59" ht="13" x14ac:dyDescent="0.1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row>
    <row r="594" spans="1:59" ht="13" x14ac:dyDescent="0.1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row>
    <row r="595" spans="1:59" ht="13" x14ac:dyDescent="0.1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row>
    <row r="596" spans="1:59" ht="13" x14ac:dyDescent="0.1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row>
    <row r="597" spans="1:59" ht="13" x14ac:dyDescent="0.1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row>
    <row r="598" spans="1:59" ht="13" x14ac:dyDescent="0.1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row>
    <row r="599" spans="1:59" ht="13" x14ac:dyDescent="0.1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row>
    <row r="600" spans="1:59" ht="13" x14ac:dyDescent="0.1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row>
    <row r="601" spans="1:59" ht="13" x14ac:dyDescent="0.1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row>
    <row r="602" spans="1:59" ht="13" x14ac:dyDescent="0.1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row>
    <row r="603" spans="1:59" ht="13" x14ac:dyDescent="0.15">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row>
    <row r="604" spans="1:59" ht="13" x14ac:dyDescent="0.15">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row>
    <row r="605" spans="1:59" ht="13" x14ac:dyDescent="0.1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row>
    <row r="606" spans="1:59" ht="13" x14ac:dyDescent="0.15">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row>
    <row r="607" spans="1:59" ht="13" x14ac:dyDescent="0.15">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row>
    <row r="608" spans="1:59" ht="13" x14ac:dyDescent="0.15">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row>
    <row r="609" spans="1:59" ht="13" x14ac:dyDescent="0.15">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row>
    <row r="610" spans="1:59" ht="13" x14ac:dyDescent="0.15">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row>
    <row r="611" spans="1:59" ht="13" x14ac:dyDescent="0.15">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row>
    <row r="612" spans="1:59" ht="13" x14ac:dyDescent="0.15">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row>
    <row r="613" spans="1:59" ht="13" x14ac:dyDescent="0.15">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row>
    <row r="614" spans="1:59" ht="13" x14ac:dyDescent="0.15">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row>
    <row r="615" spans="1:59" ht="13" x14ac:dyDescent="0.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row>
    <row r="616" spans="1:59" ht="13" x14ac:dyDescent="0.15">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row>
    <row r="617" spans="1:59" ht="13" x14ac:dyDescent="0.15">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row>
    <row r="618" spans="1:59" ht="13" x14ac:dyDescent="0.15">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row>
    <row r="619" spans="1:59" ht="13" x14ac:dyDescent="0.15">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row>
    <row r="620" spans="1:59" ht="13" x14ac:dyDescent="0.15">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row>
    <row r="621" spans="1:59" ht="13" x14ac:dyDescent="0.15">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row>
    <row r="622" spans="1:59" ht="13" x14ac:dyDescent="0.15">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row>
    <row r="623" spans="1:59" ht="13" x14ac:dyDescent="0.15">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row>
    <row r="624" spans="1:59" ht="13" x14ac:dyDescent="0.15">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row>
    <row r="625" spans="1:59" ht="13" x14ac:dyDescent="0.1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row>
    <row r="626" spans="1:59" ht="13" x14ac:dyDescent="0.15">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row>
    <row r="627" spans="1:59" ht="13" x14ac:dyDescent="0.15">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row>
    <row r="628" spans="1:59" ht="13" x14ac:dyDescent="0.15">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row>
    <row r="629" spans="1:59" ht="13" x14ac:dyDescent="0.15">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row>
    <row r="630" spans="1:59" ht="13" x14ac:dyDescent="0.15">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row>
    <row r="631" spans="1:59" ht="13" x14ac:dyDescent="0.15">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row>
    <row r="632" spans="1:59" ht="13" x14ac:dyDescent="0.15">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row>
    <row r="633" spans="1:59" ht="13" x14ac:dyDescent="0.15">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row>
    <row r="634" spans="1:59" ht="13" x14ac:dyDescent="0.15">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row>
    <row r="635" spans="1:59" ht="13" x14ac:dyDescent="0.1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row>
    <row r="636" spans="1:59" ht="13" x14ac:dyDescent="0.15">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row>
    <row r="637" spans="1:59" ht="13" x14ac:dyDescent="0.15">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row>
    <row r="638" spans="1:59" ht="13" x14ac:dyDescent="0.15">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row>
    <row r="639" spans="1:59" ht="13" x14ac:dyDescent="0.15">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row>
    <row r="640" spans="1:59" ht="13" x14ac:dyDescent="0.15">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row>
    <row r="641" spans="1:59" ht="13" x14ac:dyDescent="0.15">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row>
    <row r="642" spans="1:59" ht="13" x14ac:dyDescent="0.15">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row>
    <row r="643" spans="1:59" ht="13" x14ac:dyDescent="0.15">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row>
    <row r="644" spans="1:59" ht="13" x14ac:dyDescent="0.15">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row>
    <row r="645" spans="1:59" ht="13" x14ac:dyDescent="0.1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row>
    <row r="646" spans="1:59" ht="13" x14ac:dyDescent="0.15">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row>
    <row r="647" spans="1:59" ht="13" x14ac:dyDescent="0.15">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row>
    <row r="648" spans="1:59" ht="13" x14ac:dyDescent="0.15">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row>
    <row r="649" spans="1:59" ht="13" x14ac:dyDescent="0.15">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row>
    <row r="650" spans="1:59" ht="13" x14ac:dyDescent="0.15">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row>
    <row r="651" spans="1:59" ht="13" x14ac:dyDescent="0.15">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row>
    <row r="652" spans="1:59" ht="13" x14ac:dyDescent="0.15">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row>
    <row r="653" spans="1:59" ht="13" x14ac:dyDescent="0.15">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row>
    <row r="654" spans="1:59" ht="13" x14ac:dyDescent="0.15">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row>
    <row r="655" spans="1:59" ht="13" x14ac:dyDescent="0.1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row>
    <row r="656" spans="1:59" ht="13" x14ac:dyDescent="0.15">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row>
    <row r="657" spans="1:59" ht="13" x14ac:dyDescent="0.15">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row>
    <row r="658" spans="1:59" ht="13" x14ac:dyDescent="0.15">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row>
    <row r="659" spans="1:59" ht="13" x14ac:dyDescent="0.15">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row>
    <row r="660" spans="1:59" ht="13" x14ac:dyDescent="0.15">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row>
    <row r="661" spans="1:59" ht="13" x14ac:dyDescent="0.15">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row>
    <row r="662" spans="1:59" ht="13" x14ac:dyDescent="0.15">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row>
    <row r="663" spans="1:59" ht="13" x14ac:dyDescent="0.15">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row>
    <row r="664" spans="1:59" ht="13" x14ac:dyDescent="0.15">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row>
    <row r="665" spans="1:59" ht="13" x14ac:dyDescent="0.1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row>
    <row r="666" spans="1:59" ht="13" x14ac:dyDescent="0.15">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row>
    <row r="667" spans="1:59" ht="13" x14ac:dyDescent="0.15">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row>
    <row r="668" spans="1:59" ht="13" x14ac:dyDescent="0.15">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row>
    <row r="669" spans="1:59" ht="13" x14ac:dyDescent="0.15">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row>
    <row r="670" spans="1:59" ht="13" x14ac:dyDescent="0.15">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row>
    <row r="671" spans="1:59" ht="13" x14ac:dyDescent="0.15">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row>
    <row r="672" spans="1:59" ht="13" x14ac:dyDescent="0.15">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row>
    <row r="673" spans="1:59" ht="13" x14ac:dyDescent="0.15">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row>
    <row r="674" spans="1:59" ht="13" x14ac:dyDescent="0.15">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row>
    <row r="675" spans="1:59" ht="13" x14ac:dyDescent="0.1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row>
    <row r="676" spans="1:59" ht="13" x14ac:dyDescent="0.15">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row>
    <row r="677" spans="1:59" ht="13" x14ac:dyDescent="0.15">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row>
    <row r="678" spans="1:59" ht="13" x14ac:dyDescent="0.15">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row>
    <row r="679" spans="1:59" ht="13" x14ac:dyDescent="0.15">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row>
    <row r="680" spans="1:59" ht="13" x14ac:dyDescent="0.15">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row>
    <row r="681" spans="1:59" ht="13" x14ac:dyDescent="0.15">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row>
    <row r="682" spans="1:59" ht="13" x14ac:dyDescent="0.15">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row>
    <row r="683" spans="1:59" ht="13" x14ac:dyDescent="0.15">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row>
    <row r="684" spans="1:59" ht="13" x14ac:dyDescent="0.15">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row>
    <row r="685" spans="1:59" ht="13" x14ac:dyDescent="0.1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row>
    <row r="686" spans="1:59" ht="13" x14ac:dyDescent="0.15">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row>
    <row r="687" spans="1:59" ht="13" x14ac:dyDescent="0.15">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row>
    <row r="688" spans="1:59" ht="13" x14ac:dyDescent="0.15">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row>
    <row r="689" spans="1:59" ht="13" x14ac:dyDescent="0.15">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row>
    <row r="690" spans="1:59" ht="13" x14ac:dyDescent="0.15">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row>
    <row r="691" spans="1:59" ht="13" x14ac:dyDescent="0.15">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row>
    <row r="692" spans="1:59" ht="13" x14ac:dyDescent="0.15">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row>
    <row r="693" spans="1:59" ht="13" x14ac:dyDescent="0.15">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row>
    <row r="694" spans="1:59" ht="13" x14ac:dyDescent="0.15">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row>
    <row r="695" spans="1:59" ht="13" x14ac:dyDescent="0.1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row>
    <row r="696" spans="1:59" ht="13" x14ac:dyDescent="0.15">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row>
    <row r="697" spans="1:59" ht="13" x14ac:dyDescent="0.15">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row>
    <row r="698" spans="1:59" ht="13" x14ac:dyDescent="0.15">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row>
    <row r="699" spans="1:59" ht="13" x14ac:dyDescent="0.15">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row>
    <row r="700" spans="1:59" ht="13" x14ac:dyDescent="0.15">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row>
    <row r="701" spans="1:59" ht="13" x14ac:dyDescent="0.15">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row>
    <row r="702" spans="1:59" ht="13" x14ac:dyDescent="0.15">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row>
    <row r="703" spans="1:59" ht="13" x14ac:dyDescent="0.15">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row>
    <row r="704" spans="1:59" ht="13" x14ac:dyDescent="0.15">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row>
    <row r="705" spans="1:59" ht="13" x14ac:dyDescent="0.1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row>
    <row r="706" spans="1:59" ht="13" x14ac:dyDescent="0.15">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row>
    <row r="707" spans="1:59" ht="13" x14ac:dyDescent="0.15">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row>
    <row r="708" spans="1:59" ht="13" x14ac:dyDescent="0.15">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row>
    <row r="709" spans="1:59" ht="13" x14ac:dyDescent="0.15">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row>
    <row r="710" spans="1:59" ht="13" x14ac:dyDescent="0.15">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row>
    <row r="711" spans="1:59" ht="13" x14ac:dyDescent="0.15">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row>
    <row r="712" spans="1:59" ht="13" x14ac:dyDescent="0.15">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row>
    <row r="713" spans="1:59" ht="13" x14ac:dyDescent="0.15">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row>
    <row r="714" spans="1:59" ht="13" x14ac:dyDescent="0.15">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row>
    <row r="715" spans="1:59" ht="13" x14ac:dyDescent="0.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row>
    <row r="716" spans="1:59" ht="13" x14ac:dyDescent="0.15">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row>
    <row r="717" spans="1:59" ht="13" x14ac:dyDescent="0.15">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row>
    <row r="718" spans="1:59" ht="13" x14ac:dyDescent="0.15">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row>
    <row r="719" spans="1:59" ht="13" x14ac:dyDescent="0.15">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row>
    <row r="720" spans="1:59" ht="13" x14ac:dyDescent="0.15">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row>
    <row r="721" spans="1:59" ht="13" x14ac:dyDescent="0.15">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row>
    <row r="722" spans="1:59" ht="13" x14ac:dyDescent="0.15">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row>
    <row r="723" spans="1:59" ht="13" x14ac:dyDescent="0.15">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row>
    <row r="724" spans="1:59" ht="13" x14ac:dyDescent="0.15">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row>
    <row r="725" spans="1:59" ht="13" x14ac:dyDescent="0.1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row>
    <row r="726" spans="1:59" ht="13" x14ac:dyDescent="0.15">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row>
    <row r="727" spans="1:59" ht="13" x14ac:dyDescent="0.15">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row>
    <row r="728" spans="1:59" ht="13" x14ac:dyDescent="0.15">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row>
    <row r="729" spans="1:59" ht="13" x14ac:dyDescent="0.15">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row>
    <row r="730" spans="1:59" ht="13" x14ac:dyDescent="0.15">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row>
    <row r="731" spans="1:59" ht="13" x14ac:dyDescent="0.15">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row>
    <row r="732" spans="1:59" ht="13" x14ac:dyDescent="0.15">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row>
    <row r="733" spans="1:59" ht="13" x14ac:dyDescent="0.15">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row>
    <row r="734" spans="1:59" ht="13" x14ac:dyDescent="0.15">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row>
    <row r="735" spans="1:59" ht="13" x14ac:dyDescent="0.1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row>
    <row r="736" spans="1:59" ht="13" x14ac:dyDescent="0.15">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row>
    <row r="737" spans="1:59" ht="13" x14ac:dyDescent="0.15">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row>
    <row r="738" spans="1:59" ht="13" x14ac:dyDescent="0.15">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row>
    <row r="739" spans="1:59" ht="13" x14ac:dyDescent="0.15">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row>
    <row r="740" spans="1:59" ht="13" x14ac:dyDescent="0.15">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row>
    <row r="741" spans="1:59" ht="13" x14ac:dyDescent="0.15">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row>
    <row r="742" spans="1:59" ht="13" x14ac:dyDescent="0.15">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row>
    <row r="743" spans="1:59" ht="13" x14ac:dyDescent="0.15">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row>
    <row r="744" spans="1:59" ht="13" x14ac:dyDescent="0.15">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row>
    <row r="745" spans="1:59" ht="13" x14ac:dyDescent="0.1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row>
    <row r="746" spans="1:59" ht="13" x14ac:dyDescent="0.15">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row>
    <row r="747" spans="1:59" ht="13" x14ac:dyDescent="0.15">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row>
    <row r="748" spans="1:59" ht="13" x14ac:dyDescent="0.15">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row>
    <row r="749" spans="1:59" ht="13" x14ac:dyDescent="0.15">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row>
    <row r="750" spans="1:59" ht="13" x14ac:dyDescent="0.15">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row>
    <row r="751" spans="1:59" ht="13" x14ac:dyDescent="0.15">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row>
    <row r="752" spans="1:59" ht="13" x14ac:dyDescent="0.15">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row>
    <row r="753" spans="1:59" ht="13" x14ac:dyDescent="0.15">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row>
    <row r="754" spans="1:59" ht="13" x14ac:dyDescent="0.15">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row>
    <row r="755" spans="1:59" ht="13" x14ac:dyDescent="0.1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row>
    <row r="756" spans="1:59" ht="13" x14ac:dyDescent="0.15">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row>
    <row r="757" spans="1:59" ht="13" x14ac:dyDescent="0.15">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row>
    <row r="758" spans="1:59" ht="13" x14ac:dyDescent="0.15">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row>
    <row r="759" spans="1:59" ht="13" x14ac:dyDescent="0.15">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row>
    <row r="760" spans="1:59" ht="13" x14ac:dyDescent="0.15">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row>
    <row r="761" spans="1:59" ht="13" x14ac:dyDescent="0.15">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row>
    <row r="762" spans="1:59" ht="13" x14ac:dyDescent="0.15">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row>
    <row r="763" spans="1:59" ht="13" x14ac:dyDescent="0.15">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row>
    <row r="764" spans="1:59" ht="13" x14ac:dyDescent="0.15">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row>
    <row r="765" spans="1:59" ht="13" x14ac:dyDescent="0.1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row>
    <row r="766" spans="1:59" ht="13" x14ac:dyDescent="0.15">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row>
    <row r="767" spans="1:59" ht="13" x14ac:dyDescent="0.15">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row>
    <row r="768" spans="1:59" ht="13" x14ac:dyDescent="0.15">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row>
    <row r="769" spans="1:59" ht="13" x14ac:dyDescent="0.15">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row>
    <row r="770" spans="1:59" ht="13" x14ac:dyDescent="0.15">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row>
    <row r="771" spans="1:59" ht="13" x14ac:dyDescent="0.15">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row>
    <row r="772" spans="1:59" ht="13" x14ac:dyDescent="0.15">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row>
    <row r="773" spans="1:59" ht="13" x14ac:dyDescent="0.15">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row>
    <row r="774" spans="1:59" ht="13" x14ac:dyDescent="0.15">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row>
    <row r="775" spans="1:59" ht="13" x14ac:dyDescent="0.1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row>
    <row r="776" spans="1:59" ht="13" x14ac:dyDescent="0.15">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row>
    <row r="777" spans="1:59" ht="13" x14ac:dyDescent="0.15">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row>
    <row r="778" spans="1:59" ht="13" x14ac:dyDescent="0.15">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row>
    <row r="779" spans="1:59" ht="13" x14ac:dyDescent="0.15">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row>
    <row r="780" spans="1:59" ht="13" x14ac:dyDescent="0.15">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row>
    <row r="781" spans="1:59" ht="13" x14ac:dyDescent="0.15">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row>
    <row r="782" spans="1:59" ht="13" x14ac:dyDescent="0.15">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row>
    <row r="783" spans="1:59" ht="13" x14ac:dyDescent="0.15">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row>
    <row r="784" spans="1:59" ht="13" x14ac:dyDescent="0.15">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row>
    <row r="785" spans="1:59" ht="13" x14ac:dyDescent="0.1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row>
    <row r="786" spans="1:59" ht="13" x14ac:dyDescent="0.15">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row>
    <row r="787" spans="1:59" ht="13" x14ac:dyDescent="0.15">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row>
    <row r="788" spans="1:59" ht="13" x14ac:dyDescent="0.15">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row>
    <row r="789" spans="1:59" ht="13" x14ac:dyDescent="0.15">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row>
    <row r="790" spans="1:59" ht="13" x14ac:dyDescent="0.15">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row>
    <row r="791" spans="1:59" ht="13" x14ac:dyDescent="0.15">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row>
    <row r="792" spans="1:59" ht="13" x14ac:dyDescent="0.15">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row>
    <row r="793" spans="1:59" ht="13" x14ac:dyDescent="0.15">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row>
    <row r="794" spans="1:59" ht="13" x14ac:dyDescent="0.15">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row>
    <row r="795" spans="1:59" ht="13" x14ac:dyDescent="0.1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row>
    <row r="796" spans="1:59" ht="13" x14ac:dyDescent="0.15">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row>
    <row r="797" spans="1:59" ht="13" x14ac:dyDescent="0.15">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row>
    <row r="798" spans="1:59" ht="13" x14ac:dyDescent="0.15">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row>
    <row r="799" spans="1:59" ht="13" x14ac:dyDescent="0.15">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row>
    <row r="800" spans="1:59" ht="13" x14ac:dyDescent="0.15">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row>
    <row r="801" spans="1:59" ht="13" x14ac:dyDescent="0.15">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row>
    <row r="802" spans="1:59" ht="13" x14ac:dyDescent="0.15">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row>
    <row r="803" spans="1:59" ht="13" x14ac:dyDescent="0.15">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row>
    <row r="804" spans="1:59" ht="13" x14ac:dyDescent="0.15">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row>
    <row r="805" spans="1:59" ht="13" x14ac:dyDescent="0.1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row>
    <row r="806" spans="1:59" ht="13" x14ac:dyDescent="0.15">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row>
    <row r="807" spans="1:59" ht="13" x14ac:dyDescent="0.15">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row>
    <row r="808" spans="1:59" ht="13" x14ac:dyDescent="0.15">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row>
    <row r="809" spans="1:59" ht="13" x14ac:dyDescent="0.15">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row>
    <row r="810" spans="1:59" ht="13" x14ac:dyDescent="0.15">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row>
    <row r="811" spans="1:59" ht="13" x14ac:dyDescent="0.15">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row>
    <row r="812" spans="1:59" ht="13" x14ac:dyDescent="0.15">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row>
    <row r="813" spans="1:59" ht="13" x14ac:dyDescent="0.15">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row>
    <row r="814" spans="1:59" ht="13" x14ac:dyDescent="0.15">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row>
    <row r="815" spans="1:59" ht="13" x14ac:dyDescent="0.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row>
    <row r="816" spans="1:59" ht="13" x14ac:dyDescent="0.15">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row>
    <row r="817" spans="1:59" ht="13" x14ac:dyDescent="0.15">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row>
    <row r="818" spans="1:59" ht="13" x14ac:dyDescent="0.15">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row>
    <row r="819" spans="1:59" ht="13" x14ac:dyDescent="0.15">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row>
    <row r="820" spans="1:59" ht="13" x14ac:dyDescent="0.15">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row>
    <row r="821" spans="1:59" ht="13" x14ac:dyDescent="0.15">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row>
    <row r="822" spans="1:59" ht="13" x14ac:dyDescent="0.15">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row>
    <row r="823" spans="1:59" ht="13" x14ac:dyDescent="0.15">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row>
    <row r="824" spans="1:59" ht="13" x14ac:dyDescent="0.15">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row>
    <row r="825" spans="1:59" ht="13" x14ac:dyDescent="0.1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row>
    <row r="826" spans="1:59" ht="13" x14ac:dyDescent="0.15">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row>
    <row r="827" spans="1:59" ht="13" x14ac:dyDescent="0.15">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row>
    <row r="828" spans="1:59" ht="13" x14ac:dyDescent="0.15">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row>
    <row r="829" spans="1:59" ht="13" x14ac:dyDescent="0.15">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row>
    <row r="830" spans="1:59" ht="13" x14ac:dyDescent="0.15">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row>
    <row r="831" spans="1:59" ht="13" x14ac:dyDescent="0.15">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row>
    <row r="832" spans="1:59" ht="13" x14ac:dyDescent="0.15">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row>
    <row r="833" spans="1:59" ht="13" x14ac:dyDescent="0.15">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row>
    <row r="834" spans="1:59" ht="13" x14ac:dyDescent="0.15">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row>
    <row r="835" spans="1:59" ht="13" x14ac:dyDescent="0.1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row>
    <row r="836" spans="1:59" ht="13" x14ac:dyDescent="0.15">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row>
    <row r="837" spans="1:59" ht="13" x14ac:dyDescent="0.15">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row>
    <row r="838" spans="1:59" ht="13" x14ac:dyDescent="0.15">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row>
    <row r="839" spans="1:59" ht="13" x14ac:dyDescent="0.15">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row>
    <row r="840" spans="1:59" ht="13" x14ac:dyDescent="0.15">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row>
    <row r="841" spans="1:59" ht="13" x14ac:dyDescent="0.15">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row>
    <row r="842" spans="1:59" ht="13" x14ac:dyDescent="0.15">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row>
    <row r="843" spans="1:59" ht="13" x14ac:dyDescent="0.15">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row>
    <row r="844" spans="1:59" ht="13" x14ac:dyDescent="0.15">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row>
    <row r="845" spans="1:59" ht="13" x14ac:dyDescent="0.1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row>
    <row r="846" spans="1:59" ht="13" x14ac:dyDescent="0.15">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row>
    <row r="847" spans="1:59" ht="13" x14ac:dyDescent="0.15">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row>
    <row r="848" spans="1:59" ht="13" x14ac:dyDescent="0.15">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row>
    <row r="849" spans="1:59" ht="13" x14ac:dyDescent="0.15">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row>
    <row r="850" spans="1:59" ht="13" x14ac:dyDescent="0.15">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row>
    <row r="851" spans="1:59" ht="13" x14ac:dyDescent="0.15">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row>
    <row r="852" spans="1:59" ht="13" x14ac:dyDescent="0.15">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row>
    <row r="853" spans="1:59" ht="13" x14ac:dyDescent="0.15">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row>
    <row r="854" spans="1:59" ht="13" x14ac:dyDescent="0.15">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row>
    <row r="855" spans="1:59" ht="13" x14ac:dyDescent="0.1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row>
    <row r="856" spans="1:59" ht="13" x14ac:dyDescent="0.15">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row>
    <row r="857" spans="1:59" ht="13" x14ac:dyDescent="0.15">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row>
    <row r="858" spans="1:59" ht="13" x14ac:dyDescent="0.15">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row>
    <row r="859" spans="1:59" ht="13" x14ac:dyDescent="0.15">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row>
    <row r="860" spans="1:59" ht="13" x14ac:dyDescent="0.15">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row>
    <row r="861" spans="1:59" ht="13" x14ac:dyDescent="0.15">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row>
    <row r="862" spans="1:59" ht="13" x14ac:dyDescent="0.15">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row>
    <row r="863" spans="1:59" ht="13" x14ac:dyDescent="0.15">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row>
    <row r="864" spans="1:59" ht="13" x14ac:dyDescent="0.15">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row>
    <row r="865" spans="1:59" ht="13" x14ac:dyDescent="0.1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row>
    <row r="866" spans="1:59" ht="13" x14ac:dyDescent="0.15">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row>
    <row r="867" spans="1:59" ht="13" x14ac:dyDescent="0.15">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row>
    <row r="868" spans="1:59" ht="13" x14ac:dyDescent="0.15">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row>
    <row r="869" spans="1:59" ht="13" x14ac:dyDescent="0.15">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row>
    <row r="870" spans="1:59" ht="13" x14ac:dyDescent="0.15">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row>
    <row r="871" spans="1:59" ht="13" x14ac:dyDescent="0.15">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row>
    <row r="872" spans="1:59" ht="13" x14ac:dyDescent="0.15">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row>
    <row r="873" spans="1:59" ht="13" x14ac:dyDescent="0.15">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row>
    <row r="874" spans="1:59" ht="13" x14ac:dyDescent="0.15">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row>
    <row r="875" spans="1:59" ht="13" x14ac:dyDescent="0.1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row>
    <row r="876" spans="1:59" ht="13" x14ac:dyDescent="0.15">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row>
    <row r="877" spans="1:59" ht="13" x14ac:dyDescent="0.15">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row>
    <row r="878" spans="1:59" ht="13" x14ac:dyDescent="0.15">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row>
    <row r="879" spans="1:59" ht="13" x14ac:dyDescent="0.15">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row>
    <row r="880" spans="1:59" ht="13" x14ac:dyDescent="0.15">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row>
    <row r="881" spans="1:59" ht="13" x14ac:dyDescent="0.15">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row>
    <row r="882" spans="1:59" ht="13" x14ac:dyDescent="0.15">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row>
    <row r="883" spans="1:59" ht="13" x14ac:dyDescent="0.15">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row>
    <row r="884" spans="1:59" ht="13" x14ac:dyDescent="0.15">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row>
    <row r="885" spans="1:59" ht="13" x14ac:dyDescent="0.1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row>
    <row r="886" spans="1:59" ht="13" x14ac:dyDescent="0.15">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row>
    <row r="887" spans="1:59" ht="13" x14ac:dyDescent="0.15">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row>
    <row r="888" spans="1:59" ht="13" x14ac:dyDescent="0.15">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row>
    <row r="889" spans="1:59" ht="13" x14ac:dyDescent="0.15">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row>
    <row r="890" spans="1:59" ht="13" x14ac:dyDescent="0.15">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row>
    <row r="891" spans="1:59" ht="13" x14ac:dyDescent="0.15">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row>
    <row r="892" spans="1:59" ht="13" x14ac:dyDescent="0.15">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row>
    <row r="893" spans="1:59" ht="13" x14ac:dyDescent="0.15">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row>
    <row r="894" spans="1:59" ht="13" x14ac:dyDescent="0.15">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row>
    <row r="895" spans="1:59" ht="13" x14ac:dyDescent="0.1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row>
    <row r="896" spans="1:59" ht="13" x14ac:dyDescent="0.15">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row>
    <row r="897" spans="1:59" ht="13" x14ac:dyDescent="0.15">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row>
    <row r="898" spans="1:59" ht="13" x14ac:dyDescent="0.15">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row>
    <row r="899" spans="1:59" ht="13" x14ac:dyDescent="0.15">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row>
    <row r="900" spans="1:59" ht="13" x14ac:dyDescent="0.15">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row>
    <row r="901" spans="1:59" ht="13" x14ac:dyDescent="0.15">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row>
    <row r="902" spans="1:59" ht="13" x14ac:dyDescent="0.15">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row>
    <row r="903" spans="1:59" ht="13" x14ac:dyDescent="0.15">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row>
    <row r="904" spans="1:59" ht="13" x14ac:dyDescent="0.15">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row>
    <row r="905" spans="1:59" ht="13" x14ac:dyDescent="0.1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row>
    <row r="906" spans="1:59" ht="13" x14ac:dyDescent="0.15">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row>
    <row r="907" spans="1:59" ht="13" x14ac:dyDescent="0.15">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row>
    <row r="908" spans="1:59" ht="13" x14ac:dyDescent="0.15">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row>
    <row r="909" spans="1:59" ht="13" x14ac:dyDescent="0.15">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row>
    <row r="910" spans="1:59" ht="13" x14ac:dyDescent="0.15">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row>
    <row r="911" spans="1:59" ht="13" x14ac:dyDescent="0.15">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row>
    <row r="912" spans="1:59" ht="13" x14ac:dyDescent="0.15">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row>
    <row r="913" spans="1:59" ht="13" x14ac:dyDescent="0.15">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row>
    <row r="914" spans="1:59" ht="13" x14ac:dyDescent="0.15">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row>
    <row r="915" spans="1:59" ht="13" x14ac:dyDescent="0.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row>
    <row r="916" spans="1:59" ht="13" x14ac:dyDescent="0.15">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row>
    <row r="917" spans="1:59" ht="13" x14ac:dyDescent="0.15">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row>
    <row r="918" spans="1:59" ht="13" x14ac:dyDescent="0.15">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row>
    <row r="919" spans="1:59" ht="13" x14ac:dyDescent="0.15">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row>
    <row r="920" spans="1:59" ht="13" x14ac:dyDescent="0.15">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row>
    <row r="921" spans="1:59" ht="13" x14ac:dyDescent="0.15">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row>
    <row r="922" spans="1:59" ht="13" x14ac:dyDescent="0.15">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row>
    <row r="923" spans="1:59" ht="13" x14ac:dyDescent="0.15">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row>
    <row r="924" spans="1:59" ht="13" x14ac:dyDescent="0.15">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row>
    <row r="925" spans="1:59" ht="13" x14ac:dyDescent="0.1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row>
    <row r="926" spans="1:59" ht="13" x14ac:dyDescent="0.15">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row>
    <row r="927" spans="1:59" ht="13" x14ac:dyDescent="0.15">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row>
    <row r="928" spans="1:59" ht="13" x14ac:dyDescent="0.15">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row>
    <row r="929" spans="1:59" ht="13" x14ac:dyDescent="0.15">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row>
    <row r="930" spans="1:59" ht="13" x14ac:dyDescent="0.15">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row>
    <row r="931" spans="1:59" ht="13" x14ac:dyDescent="0.15">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row>
    <row r="932" spans="1:59" ht="13" x14ac:dyDescent="0.15">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row>
    <row r="933" spans="1:59" ht="13" x14ac:dyDescent="0.15">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row>
    <row r="934" spans="1:59" ht="13" x14ac:dyDescent="0.15">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row>
    <row r="935" spans="1:59" ht="13" x14ac:dyDescent="0.1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row>
    <row r="936" spans="1:59" ht="13" x14ac:dyDescent="0.15">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row>
    <row r="937" spans="1:59" ht="13" x14ac:dyDescent="0.15">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row>
    <row r="938" spans="1:59" ht="13" x14ac:dyDescent="0.15">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row>
    <row r="939" spans="1:59" ht="13" x14ac:dyDescent="0.15">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row>
    <row r="940" spans="1:59" ht="13" x14ac:dyDescent="0.15">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row>
    <row r="941" spans="1:59" ht="13" x14ac:dyDescent="0.15">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row>
    <row r="942" spans="1:59" ht="13" x14ac:dyDescent="0.15">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row>
    <row r="943" spans="1:59" ht="13" x14ac:dyDescent="0.15">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row>
    <row r="944" spans="1:59" ht="13" x14ac:dyDescent="0.15">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row>
    <row r="945" spans="1:59" ht="13" x14ac:dyDescent="0.1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row>
    <row r="946" spans="1:59" ht="13" x14ac:dyDescent="0.15">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row>
    <row r="947" spans="1:59" ht="13" x14ac:dyDescent="0.15">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row>
    <row r="948" spans="1:59" ht="13" x14ac:dyDescent="0.15">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row>
    <row r="949" spans="1:59" ht="13" x14ac:dyDescent="0.15">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row>
    <row r="950" spans="1:59" ht="13" x14ac:dyDescent="0.15">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row>
    <row r="951" spans="1:59" ht="13" x14ac:dyDescent="0.15">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row>
    <row r="952" spans="1:59" ht="13" x14ac:dyDescent="0.15">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row>
    <row r="953" spans="1:59" ht="13" x14ac:dyDescent="0.15">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row>
    <row r="954" spans="1:59" ht="13" x14ac:dyDescent="0.15">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row>
    <row r="955" spans="1:59" ht="13" x14ac:dyDescent="0.1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row>
    <row r="956" spans="1:59" ht="13" x14ac:dyDescent="0.15">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row>
    <row r="957" spans="1:59" ht="13" x14ac:dyDescent="0.15">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row>
    <row r="958" spans="1:59" ht="13" x14ac:dyDescent="0.15">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row>
    <row r="959" spans="1:59" ht="13" x14ac:dyDescent="0.15">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row>
    <row r="960" spans="1:59" ht="13" x14ac:dyDescent="0.15">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row>
    <row r="961" spans="1:59" ht="13" x14ac:dyDescent="0.15">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row>
    <row r="962" spans="1:59" ht="13" x14ac:dyDescent="0.15">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row>
    <row r="963" spans="1:59" ht="13" x14ac:dyDescent="0.15">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row>
    <row r="964" spans="1:59" ht="13" x14ac:dyDescent="0.15">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row>
    <row r="965" spans="1:59" ht="13" x14ac:dyDescent="0.1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row>
    <row r="966" spans="1:59" ht="13" x14ac:dyDescent="0.15">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row>
    <row r="967" spans="1:59" ht="13" x14ac:dyDescent="0.15">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row>
    <row r="968" spans="1:59" ht="13" x14ac:dyDescent="0.15">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row>
    <row r="969" spans="1:59" ht="13" x14ac:dyDescent="0.15">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row>
    <row r="970" spans="1:59" ht="13" x14ac:dyDescent="0.15">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row>
    <row r="971" spans="1:59" ht="13" x14ac:dyDescent="0.15">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row>
    <row r="972" spans="1:59" ht="13" x14ac:dyDescent="0.15">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row>
    <row r="973" spans="1:59" ht="13" x14ac:dyDescent="0.15">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row>
    <row r="974" spans="1:59" ht="13" x14ac:dyDescent="0.15">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row>
    <row r="975" spans="1:59" ht="13" x14ac:dyDescent="0.1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row>
    <row r="976" spans="1:59" ht="13" x14ac:dyDescent="0.15">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row>
    <row r="977" spans="1:59" ht="13" x14ac:dyDescent="0.15">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row>
    <row r="978" spans="1:59" ht="13" x14ac:dyDescent="0.15">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row>
  </sheetData>
  <mergeCells count="5">
    <mergeCell ref="A1:R1"/>
    <mergeCell ref="S1:AJ1"/>
    <mergeCell ref="AK1:BB1"/>
    <mergeCell ref="BC1:BC2"/>
    <mergeCell ref="BD1:B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53"/>
  <sheetViews>
    <sheetView workbookViewId="0"/>
  </sheetViews>
  <sheetFormatPr baseColWidth="10" defaultColWidth="12.6640625" defaultRowHeight="15.75" customHeight="1" x14ac:dyDescent="0.15"/>
  <cols>
    <col min="1" max="1" width="7.1640625" customWidth="1"/>
    <col min="2" max="2" width="46.1640625" customWidth="1"/>
  </cols>
  <sheetData>
    <row r="1" spans="1:29" ht="15.75" customHeight="1" x14ac:dyDescent="0.1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5.75" customHeight="1" x14ac:dyDescent="0.15">
      <c r="A2" s="19"/>
      <c r="B2" s="57" t="s">
        <v>880</v>
      </c>
      <c r="C2" s="51"/>
      <c r="D2" s="51"/>
      <c r="E2" s="51"/>
      <c r="F2" s="51"/>
      <c r="G2" s="51"/>
      <c r="H2" s="4"/>
      <c r="I2" s="4"/>
      <c r="J2" s="4"/>
      <c r="K2" s="4"/>
      <c r="L2" s="4"/>
      <c r="M2" s="4"/>
      <c r="N2" s="4"/>
      <c r="O2" s="4"/>
      <c r="P2" s="4"/>
      <c r="Q2" s="4"/>
      <c r="R2" s="4"/>
      <c r="S2" s="4"/>
      <c r="T2" s="1"/>
      <c r="U2" s="1"/>
      <c r="V2" s="1"/>
      <c r="W2" s="1"/>
      <c r="X2" s="1"/>
      <c r="Y2" s="1"/>
      <c r="Z2" s="1"/>
      <c r="AA2" s="1"/>
      <c r="AB2" s="1"/>
      <c r="AC2" s="1"/>
    </row>
    <row r="3" spans="1:29" ht="15.75" customHeight="1" x14ac:dyDescent="0.15">
      <c r="A3" s="14"/>
      <c r="B3" s="14"/>
      <c r="C3" s="14" t="s">
        <v>348</v>
      </c>
      <c r="D3" s="14" t="s">
        <v>349</v>
      </c>
      <c r="E3" s="14" t="s">
        <v>377</v>
      </c>
      <c r="F3" s="14" t="s">
        <v>362</v>
      </c>
      <c r="G3" s="14" t="s">
        <v>363</v>
      </c>
      <c r="H3" s="1"/>
      <c r="I3" s="1"/>
      <c r="J3" s="1"/>
      <c r="K3" s="1"/>
      <c r="L3" s="1"/>
      <c r="M3" s="1"/>
      <c r="N3" s="1"/>
      <c r="O3" s="1"/>
      <c r="P3" s="1"/>
      <c r="Q3" s="1"/>
      <c r="R3" s="1"/>
      <c r="S3" s="1"/>
      <c r="T3" s="1"/>
      <c r="U3" s="1"/>
      <c r="V3" s="1"/>
      <c r="W3" s="1"/>
      <c r="X3" s="1"/>
      <c r="Y3" s="1"/>
      <c r="Z3" s="1"/>
      <c r="AA3" s="1"/>
      <c r="AB3" s="1"/>
      <c r="AC3" s="1"/>
    </row>
    <row r="4" spans="1:29" ht="15.75" customHeight="1" x14ac:dyDescent="0.15">
      <c r="A4" s="1" t="s">
        <v>881</v>
      </c>
      <c r="B4" s="1" t="s">
        <v>328</v>
      </c>
      <c r="C4" s="1">
        <f>COUNTIF('Guidelines - Data'!A$3:A$105,C3)</f>
        <v>29</v>
      </c>
      <c r="D4" s="1">
        <f>COUNTIF('Guidelines - Data'!A$3:A$105,D3)</f>
        <v>51</v>
      </c>
      <c r="E4" s="1">
        <f>COUNTIF('Guidelines - Data'!A$3:A$105,E3)</f>
        <v>4</v>
      </c>
      <c r="F4" s="1">
        <f>COUNTIF('Guidelines - Data'!A$3:A$105,F3)</f>
        <v>14</v>
      </c>
      <c r="G4" s="1">
        <f>COUNTIF('Guidelines - Data'!A$3:A$105,G3)</f>
        <v>5</v>
      </c>
      <c r="H4" s="1"/>
      <c r="I4" s="1"/>
      <c r="J4" s="1"/>
      <c r="K4" s="1"/>
      <c r="L4" s="1"/>
      <c r="M4" s="1"/>
      <c r="N4" s="1"/>
      <c r="O4" s="1"/>
      <c r="P4" s="1"/>
      <c r="Q4" s="1"/>
      <c r="R4" s="1"/>
      <c r="S4" s="1"/>
      <c r="T4" s="1"/>
      <c r="U4" s="1"/>
      <c r="V4" s="1"/>
      <c r="W4" s="1"/>
      <c r="X4" s="1"/>
      <c r="Y4" s="1"/>
      <c r="Z4" s="1"/>
      <c r="AA4" s="1"/>
      <c r="AB4" s="1"/>
      <c r="AC4" s="1"/>
    </row>
    <row r="5" spans="1:29" ht="15.75" customHeight="1" x14ac:dyDescent="0.15">
      <c r="A5" s="1" t="s">
        <v>882</v>
      </c>
      <c r="B5" s="1" t="s">
        <v>329</v>
      </c>
      <c r="C5" s="1">
        <f>COUNTIF('Guidelines - Data'!B3:B105,C3)</f>
        <v>34</v>
      </c>
      <c r="D5" s="1">
        <f>COUNTIF('Guidelines - Data'!B3:B105,D3)</f>
        <v>45</v>
      </c>
      <c r="E5" s="1">
        <f>COUNTIF('Guidelines - Data'!B3:B105,E3)</f>
        <v>6</v>
      </c>
      <c r="F5" s="1">
        <f>COUNTIF('Guidelines - Data'!B3:B105,F3)</f>
        <v>11</v>
      </c>
      <c r="G5" s="1">
        <f>COUNTIF('Guidelines - Data'!B3:B105,G3)</f>
        <v>7</v>
      </c>
      <c r="H5" s="1"/>
      <c r="I5" s="1"/>
      <c r="J5" s="1"/>
      <c r="K5" s="1"/>
      <c r="L5" s="1"/>
      <c r="M5" s="1"/>
      <c r="N5" s="1"/>
      <c r="O5" s="1"/>
      <c r="P5" s="1"/>
      <c r="Q5" s="1"/>
      <c r="R5" s="1"/>
      <c r="S5" s="1"/>
      <c r="T5" s="1"/>
      <c r="U5" s="1"/>
      <c r="V5" s="1"/>
      <c r="W5" s="1"/>
      <c r="X5" s="1"/>
      <c r="Y5" s="1"/>
      <c r="Z5" s="1"/>
      <c r="AA5" s="1"/>
      <c r="AB5" s="1"/>
      <c r="AC5" s="1"/>
    </row>
    <row r="6" spans="1:29" ht="15.75" customHeight="1" x14ac:dyDescent="0.15">
      <c r="A6" s="1" t="s">
        <v>883</v>
      </c>
      <c r="B6" s="1" t="s">
        <v>330</v>
      </c>
      <c r="C6" s="1">
        <f>COUNTIF('Guidelines - Data'!C3:C105,C3)</f>
        <v>25</v>
      </c>
      <c r="D6" s="1">
        <f>COUNTIF('Guidelines - Data'!C3:C105,D3)</f>
        <v>42</v>
      </c>
      <c r="E6" s="1">
        <f>COUNTIF('Guidelines - Data'!C3:C105,E3)</f>
        <v>9</v>
      </c>
      <c r="F6" s="1">
        <f>COUNTIF('Guidelines - Data'!C3:C105,F3)</f>
        <v>18</v>
      </c>
      <c r="G6" s="1">
        <f>COUNTIF('Guidelines - Data'!C3:C105,G3)</f>
        <v>9</v>
      </c>
      <c r="H6" s="1"/>
      <c r="I6" s="1"/>
      <c r="J6" s="1"/>
      <c r="K6" s="1"/>
      <c r="L6" s="1"/>
      <c r="M6" s="1"/>
      <c r="N6" s="1"/>
      <c r="O6" s="1"/>
      <c r="P6" s="1"/>
      <c r="Q6" s="1"/>
      <c r="R6" s="1"/>
      <c r="S6" s="1"/>
      <c r="T6" s="1"/>
      <c r="U6" s="1"/>
      <c r="V6" s="1"/>
      <c r="W6" s="1"/>
      <c r="X6" s="1"/>
      <c r="Y6" s="1"/>
      <c r="Z6" s="1"/>
      <c r="AA6" s="1"/>
      <c r="AB6" s="1"/>
      <c r="AC6" s="1"/>
    </row>
    <row r="7" spans="1:29" ht="15.75" customHeight="1" x14ac:dyDescent="0.15">
      <c r="A7" s="1" t="s">
        <v>884</v>
      </c>
      <c r="B7" s="1" t="s">
        <v>331</v>
      </c>
      <c r="C7" s="1">
        <f>COUNTIF('Guidelines - Data'!D3:D105,C3)</f>
        <v>39</v>
      </c>
      <c r="D7" s="1">
        <f>COUNTIF('Guidelines - Data'!D3:D105,D3)</f>
        <v>35</v>
      </c>
      <c r="E7" s="1">
        <f>COUNTIF('Guidelines - Data'!D3:D105,E3)</f>
        <v>7</v>
      </c>
      <c r="F7" s="1">
        <f>COUNTIF('Guidelines - Data'!D3:D105,F3)</f>
        <v>12</v>
      </c>
      <c r="G7" s="1">
        <f>COUNTIF('Guidelines - Data'!D3:D105,G3)</f>
        <v>10</v>
      </c>
      <c r="H7" s="1"/>
      <c r="I7" s="1"/>
      <c r="J7" s="1"/>
      <c r="K7" s="1"/>
      <c r="L7" s="1"/>
      <c r="M7" s="1"/>
      <c r="N7" s="1"/>
      <c r="O7" s="1"/>
      <c r="P7" s="1"/>
      <c r="Q7" s="1"/>
      <c r="R7" s="1"/>
      <c r="S7" s="1"/>
      <c r="T7" s="1"/>
      <c r="U7" s="1"/>
      <c r="V7" s="1"/>
      <c r="W7" s="1"/>
      <c r="X7" s="1"/>
      <c r="Y7" s="1"/>
      <c r="Z7" s="1"/>
      <c r="AA7" s="1"/>
      <c r="AB7" s="1"/>
      <c r="AC7" s="1"/>
    </row>
    <row r="8" spans="1:29" ht="15.75" customHeight="1" x14ac:dyDescent="0.15">
      <c r="A8" s="1" t="s">
        <v>885</v>
      </c>
      <c r="B8" s="1" t="s">
        <v>332</v>
      </c>
      <c r="C8" s="1">
        <f>COUNTIF('Guidelines - Data'!E3:E105,C3)</f>
        <v>37</v>
      </c>
      <c r="D8" s="1">
        <f>COUNTIF('Guidelines - Data'!E3:E105,D3)</f>
        <v>37</v>
      </c>
      <c r="E8" s="1">
        <f>COUNTIF('Guidelines - Data'!E3:E105,E3)</f>
        <v>7</v>
      </c>
      <c r="F8" s="1">
        <f>COUNTIF('Guidelines - Data'!E3:E105,F3)</f>
        <v>17</v>
      </c>
      <c r="G8" s="1">
        <f>COUNTIF('Guidelines - Data'!E3:E105,G3)</f>
        <v>5</v>
      </c>
      <c r="H8" s="1"/>
      <c r="I8" s="1"/>
      <c r="J8" s="1"/>
      <c r="K8" s="1"/>
      <c r="L8" s="1"/>
      <c r="M8" s="1"/>
      <c r="N8" s="1"/>
      <c r="O8" s="1"/>
      <c r="P8" s="1"/>
      <c r="Q8" s="1"/>
      <c r="R8" s="1"/>
      <c r="S8" s="1"/>
      <c r="T8" s="1"/>
      <c r="U8" s="1"/>
      <c r="V8" s="1"/>
      <c r="W8" s="1"/>
      <c r="X8" s="1"/>
      <c r="Y8" s="1"/>
      <c r="Z8" s="1"/>
      <c r="AA8" s="1"/>
      <c r="AB8" s="1"/>
      <c r="AC8" s="1"/>
    </row>
    <row r="9" spans="1:29" ht="15.75" customHeight="1" x14ac:dyDescent="0.15">
      <c r="A9" s="1" t="s">
        <v>886</v>
      </c>
      <c r="B9" s="1" t="s">
        <v>333</v>
      </c>
      <c r="C9" s="1">
        <f>COUNTIF('Guidelines - Data'!$F$3:$F$105,C3)</f>
        <v>10</v>
      </c>
      <c r="D9" s="1">
        <f>COUNTIF('Guidelines - Data'!$F$3:$F$105,D3)</f>
        <v>47</v>
      </c>
      <c r="E9" s="1">
        <f>COUNTIF('Guidelines - Data'!$F$3:$F$105,E3)</f>
        <v>13</v>
      </c>
      <c r="F9" s="1">
        <f>COUNTIF('Guidelines - Data'!$F$3:$F$105,F3)</f>
        <v>24</v>
      </c>
      <c r="G9" s="1">
        <f>COUNTIF('Guidelines - Data'!$F$3:$F$105,G3)</f>
        <v>9</v>
      </c>
      <c r="H9" s="1"/>
      <c r="I9" s="1"/>
      <c r="J9" s="1"/>
      <c r="K9" s="1"/>
      <c r="L9" s="1"/>
      <c r="M9" s="1"/>
      <c r="N9" s="1"/>
      <c r="O9" s="1"/>
      <c r="P9" s="1"/>
      <c r="Q9" s="1"/>
      <c r="R9" s="1"/>
      <c r="S9" s="1"/>
      <c r="T9" s="1"/>
      <c r="U9" s="1"/>
      <c r="V9" s="1"/>
      <c r="W9" s="1"/>
      <c r="X9" s="1"/>
      <c r="Y9" s="1"/>
      <c r="Z9" s="1"/>
      <c r="AA9" s="1"/>
      <c r="AB9" s="1"/>
      <c r="AC9" s="1"/>
    </row>
    <row r="10" spans="1:29" ht="15.75" customHeight="1" x14ac:dyDescent="0.15">
      <c r="A10" s="1" t="s">
        <v>887</v>
      </c>
      <c r="B10" s="1" t="s">
        <v>334</v>
      </c>
      <c r="C10" s="1">
        <f>COUNTIF('Guidelines - Data'!$G$3:$G$105,C3)</f>
        <v>41</v>
      </c>
      <c r="D10" s="1">
        <f>COUNTIF('Guidelines - Data'!$G$3:$G$105,D3)</f>
        <v>34</v>
      </c>
      <c r="E10" s="1">
        <f>COUNTIF('Guidelines - Data'!$G$3:$G$105,E3)</f>
        <v>5</v>
      </c>
      <c r="F10" s="1">
        <f>COUNTIF('Guidelines - Data'!$G$3:$G$105,F3)</f>
        <v>13</v>
      </c>
      <c r="G10" s="1">
        <f>COUNTIF('Guidelines - Data'!$G$3:$G$105,G3)</f>
        <v>10</v>
      </c>
      <c r="H10" s="1"/>
      <c r="I10" s="1"/>
      <c r="J10" s="1"/>
      <c r="K10" s="1"/>
      <c r="L10" s="1"/>
      <c r="M10" s="1"/>
      <c r="N10" s="1"/>
      <c r="O10" s="1"/>
      <c r="P10" s="1"/>
      <c r="Q10" s="1"/>
      <c r="R10" s="1"/>
      <c r="S10" s="1"/>
      <c r="T10" s="1"/>
      <c r="U10" s="1"/>
      <c r="V10" s="1"/>
      <c r="W10" s="1"/>
      <c r="X10" s="1"/>
      <c r="Y10" s="1"/>
      <c r="Z10" s="1"/>
      <c r="AA10" s="1"/>
      <c r="AB10" s="1"/>
      <c r="AC10" s="1"/>
    </row>
    <row r="11" spans="1:29" ht="15.75" customHeight="1" x14ac:dyDescent="0.15">
      <c r="A11" s="1" t="s">
        <v>888</v>
      </c>
      <c r="B11" s="1" t="s">
        <v>335</v>
      </c>
      <c r="C11" s="1">
        <f>COUNTIF('Guidelines - Data'!$H$3:$H$105,C3)</f>
        <v>13</v>
      </c>
      <c r="D11" s="1">
        <f>COUNTIF('Guidelines - Data'!$H$3:$H$105,D3)</f>
        <v>36</v>
      </c>
      <c r="E11" s="1">
        <f>COUNTIF('Guidelines - Data'!$H$3:$H$105,E3)</f>
        <v>19</v>
      </c>
      <c r="F11" s="1">
        <f>COUNTIF('Guidelines - Data'!$H$3:$H$105,F3)</f>
        <v>27</v>
      </c>
      <c r="G11" s="1">
        <f>COUNTIF('Guidelines - Data'!$H$3:$H$105,G3)</f>
        <v>8</v>
      </c>
      <c r="H11" s="1"/>
      <c r="I11" s="1"/>
      <c r="J11" s="1"/>
      <c r="K11" s="1"/>
      <c r="L11" s="1"/>
      <c r="M11" s="1"/>
      <c r="N11" s="1"/>
      <c r="O11" s="1"/>
      <c r="P11" s="1"/>
      <c r="Q11" s="1"/>
      <c r="R11" s="1"/>
      <c r="S11" s="1"/>
      <c r="T11" s="1"/>
      <c r="U11" s="1"/>
      <c r="V11" s="1"/>
      <c r="W11" s="1"/>
      <c r="X11" s="1"/>
      <c r="Y11" s="1"/>
      <c r="Z11" s="1"/>
      <c r="AA11" s="1"/>
      <c r="AB11" s="1"/>
      <c r="AC11" s="1"/>
    </row>
    <row r="12" spans="1:29" ht="15.75" customHeight="1" x14ac:dyDescent="0.15">
      <c r="A12" s="1" t="s">
        <v>889</v>
      </c>
      <c r="B12" s="1" t="s">
        <v>336</v>
      </c>
      <c r="C12" s="1">
        <f>COUNTIF('Guidelines - Data'!$I$3:$I$105,C3)</f>
        <v>28</v>
      </c>
      <c r="D12" s="1">
        <f>COUNTIF('Guidelines - Data'!$I$3:$I$105,D3)</f>
        <v>41</v>
      </c>
      <c r="E12" s="1">
        <f>COUNTIF('Guidelines - Data'!$I$3:$I$105,E3)</f>
        <v>6</v>
      </c>
      <c r="F12" s="1">
        <f>COUNTIF('Guidelines - Data'!$I$3:$I$105,F3)</f>
        <v>15</v>
      </c>
      <c r="G12" s="1">
        <f>COUNTIF('Guidelines - Data'!$I$3:$I$105,G3)</f>
        <v>13</v>
      </c>
      <c r="H12" s="1"/>
      <c r="I12" s="1"/>
      <c r="J12" s="1"/>
      <c r="K12" s="1"/>
      <c r="L12" s="1"/>
      <c r="M12" s="1"/>
      <c r="N12" s="1"/>
      <c r="O12" s="1"/>
      <c r="P12" s="1"/>
      <c r="Q12" s="1"/>
      <c r="R12" s="1"/>
      <c r="S12" s="1"/>
      <c r="T12" s="1"/>
      <c r="U12" s="1"/>
      <c r="V12" s="1"/>
      <c r="W12" s="1"/>
      <c r="X12" s="1"/>
      <c r="Y12" s="1"/>
      <c r="Z12" s="1"/>
      <c r="AA12" s="1"/>
      <c r="AB12" s="1"/>
      <c r="AC12" s="1"/>
    </row>
    <row r="13" spans="1:29" ht="15.75" customHeight="1" x14ac:dyDescent="0.15">
      <c r="A13" s="1" t="s">
        <v>890</v>
      </c>
      <c r="B13" s="1" t="s">
        <v>337</v>
      </c>
      <c r="C13" s="1">
        <f>COUNTIF('Guidelines - Data'!$J$3:$J$105,C3)</f>
        <v>43</v>
      </c>
      <c r="D13" s="1">
        <f>COUNTIF('Guidelines - Data'!$J$3:$J$105,D3)</f>
        <v>29</v>
      </c>
      <c r="E13" s="1">
        <f>COUNTIF('Guidelines - Data'!$J$3:$J$105,E3)</f>
        <v>4</v>
      </c>
      <c r="F13" s="1">
        <f>COUNTIF('Guidelines - Data'!$J$3:$J$105,F3)</f>
        <v>15</v>
      </c>
      <c r="G13" s="1">
        <f>COUNTIF('Guidelines - Data'!$J$3:$J$105,G3)</f>
        <v>12</v>
      </c>
      <c r="H13" s="1"/>
      <c r="I13" s="1"/>
      <c r="J13" s="1"/>
      <c r="K13" s="1"/>
      <c r="L13" s="1"/>
      <c r="M13" s="1"/>
      <c r="N13" s="1"/>
      <c r="O13" s="1"/>
      <c r="P13" s="1"/>
      <c r="Q13" s="1"/>
      <c r="R13" s="1"/>
      <c r="S13" s="1"/>
      <c r="T13" s="1"/>
      <c r="U13" s="1"/>
      <c r="V13" s="1"/>
      <c r="W13" s="1"/>
      <c r="X13" s="1"/>
      <c r="Y13" s="1"/>
      <c r="Z13" s="1"/>
      <c r="AA13" s="1"/>
      <c r="AB13" s="1"/>
      <c r="AC13" s="1"/>
    </row>
    <row r="14" spans="1:29" ht="15.75" customHeight="1" x14ac:dyDescent="0.15">
      <c r="A14" s="1" t="s">
        <v>891</v>
      </c>
      <c r="B14" s="1" t="s">
        <v>338</v>
      </c>
      <c r="C14" s="1">
        <f>COUNTIF('Guidelines - Data'!$K$3:$K$105,C3)</f>
        <v>42</v>
      </c>
      <c r="D14" s="1">
        <f>COUNTIF('Guidelines - Data'!$K$3:$K$105,D3)</f>
        <v>32</v>
      </c>
      <c r="E14" s="1">
        <f>COUNTIF('Guidelines - Data'!$K$3:$K$105,E3)</f>
        <v>9</v>
      </c>
      <c r="F14" s="1">
        <f>COUNTIF('Guidelines - Data'!$K$3:$K$105,F3)</f>
        <v>9</v>
      </c>
      <c r="G14" s="1">
        <f>COUNTIF('Guidelines - Data'!$K$3:$K$105,G3)</f>
        <v>11</v>
      </c>
      <c r="H14" s="1"/>
      <c r="I14" s="1"/>
      <c r="J14" s="1"/>
      <c r="K14" s="1"/>
      <c r="L14" s="1"/>
      <c r="M14" s="1"/>
      <c r="N14" s="1"/>
      <c r="O14" s="1"/>
      <c r="P14" s="1"/>
      <c r="Q14" s="1"/>
      <c r="R14" s="1"/>
      <c r="S14" s="1"/>
      <c r="T14" s="1"/>
      <c r="U14" s="1"/>
      <c r="V14" s="1"/>
      <c r="W14" s="1"/>
      <c r="X14" s="1"/>
      <c r="Y14" s="1"/>
      <c r="Z14" s="1"/>
      <c r="AA14" s="1"/>
      <c r="AB14" s="1"/>
      <c r="AC14" s="1"/>
    </row>
    <row r="15" spans="1:29" ht="15.75" customHeight="1" x14ac:dyDescent="0.15">
      <c r="A15" s="1" t="s">
        <v>892</v>
      </c>
      <c r="B15" s="1" t="s">
        <v>339</v>
      </c>
      <c r="C15" s="1">
        <f>COUNTIF('Guidelines - Data'!$L$3:$L$105,C3)</f>
        <v>27</v>
      </c>
      <c r="D15" s="1">
        <f>COUNTIF('Guidelines - Data'!$L$3:$L$105,D3)</f>
        <v>43</v>
      </c>
      <c r="E15" s="1">
        <f>COUNTIF('Guidelines - Data'!$L$3:$L$105,E3)</f>
        <v>7</v>
      </c>
      <c r="F15" s="1">
        <f>COUNTIF('Guidelines - Data'!$L$3:$L$105,F3)</f>
        <v>14</v>
      </c>
      <c r="G15" s="1">
        <f>COUNTIF('Guidelines - Data'!$L$3:$L$105,G3)</f>
        <v>12</v>
      </c>
      <c r="H15" s="1"/>
      <c r="I15" s="1"/>
      <c r="J15" s="1"/>
      <c r="K15" s="1"/>
      <c r="L15" s="1"/>
      <c r="M15" s="1"/>
      <c r="N15" s="1"/>
      <c r="O15" s="1"/>
      <c r="P15" s="1"/>
      <c r="Q15" s="1"/>
      <c r="R15" s="1"/>
      <c r="S15" s="1"/>
      <c r="T15" s="1"/>
      <c r="U15" s="1"/>
      <c r="V15" s="1"/>
      <c r="W15" s="1"/>
      <c r="X15" s="1"/>
      <c r="Y15" s="1"/>
      <c r="Z15" s="1"/>
      <c r="AA15" s="1"/>
      <c r="AB15" s="1"/>
      <c r="AC15" s="1"/>
    </row>
    <row r="16" spans="1:29" ht="15.75" customHeight="1" x14ac:dyDescent="0.15">
      <c r="A16" s="1" t="s">
        <v>893</v>
      </c>
      <c r="B16" s="1" t="s">
        <v>340</v>
      </c>
      <c r="C16" s="1">
        <f>COUNTIF('Guidelines - Data'!$M$3:$M$105,C3)</f>
        <v>20</v>
      </c>
      <c r="D16" s="1">
        <f>COUNTIF('Guidelines - Data'!$M$3:$M$105,D3)</f>
        <v>36</v>
      </c>
      <c r="E16" s="1">
        <f>COUNTIF('Guidelines - Data'!$M$3:$M$105,E3)</f>
        <v>9</v>
      </c>
      <c r="F16" s="1">
        <f>COUNTIF('Guidelines - Data'!$M$3:$M$105,F3)</f>
        <v>24</v>
      </c>
      <c r="G16" s="1">
        <f>COUNTIF('Guidelines - Data'!$M$3:$M$105,G3)</f>
        <v>14</v>
      </c>
      <c r="H16" s="1"/>
      <c r="I16" s="1"/>
      <c r="J16" s="1"/>
      <c r="K16" s="1"/>
      <c r="L16" s="1"/>
      <c r="M16" s="1"/>
      <c r="N16" s="1"/>
      <c r="O16" s="1"/>
      <c r="P16" s="1"/>
      <c r="Q16" s="1"/>
      <c r="R16" s="1"/>
      <c r="S16" s="1"/>
      <c r="T16" s="1"/>
      <c r="U16" s="1"/>
      <c r="V16" s="1"/>
      <c r="W16" s="1"/>
      <c r="X16" s="1"/>
      <c r="Y16" s="1"/>
      <c r="Z16" s="1"/>
      <c r="AA16" s="1"/>
      <c r="AB16" s="1"/>
      <c r="AC16" s="1"/>
    </row>
    <row r="17" spans="1:29" ht="15.75" customHeight="1" x14ac:dyDescent="0.15">
      <c r="A17" s="1" t="s">
        <v>894</v>
      </c>
      <c r="B17" s="1" t="s">
        <v>341</v>
      </c>
      <c r="C17" s="1">
        <f>COUNTIF('Guidelines - Data'!$N$3:$N$105,C3)</f>
        <v>32</v>
      </c>
      <c r="D17" s="1">
        <f>COUNTIF('Guidelines - Data'!$N$3:$N$105,D3)</f>
        <v>34</v>
      </c>
      <c r="E17" s="1">
        <f>COUNTIF('Guidelines - Data'!$N$3:$N$105,E3)</f>
        <v>9</v>
      </c>
      <c r="F17" s="1">
        <f>COUNTIF('Guidelines - Data'!$N$3:$N$105,F3)</f>
        <v>17</v>
      </c>
      <c r="G17" s="1">
        <f>COUNTIF('Guidelines - Data'!$N$3:$N$105,G3)</f>
        <v>11</v>
      </c>
      <c r="H17" s="1"/>
      <c r="I17" s="1"/>
      <c r="J17" s="1"/>
      <c r="K17" s="1"/>
      <c r="L17" s="1"/>
      <c r="M17" s="1"/>
      <c r="N17" s="1"/>
      <c r="O17" s="1"/>
      <c r="P17" s="1"/>
      <c r="Q17" s="1"/>
      <c r="R17" s="1"/>
      <c r="S17" s="1"/>
      <c r="T17" s="1"/>
      <c r="U17" s="1"/>
      <c r="V17" s="1"/>
      <c r="W17" s="1"/>
      <c r="X17" s="1"/>
      <c r="Y17" s="1"/>
      <c r="Z17" s="1"/>
      <c r="AA17" s="1"/>
      <c r="AB17" s="1"/>
      <c r="AC17" s="1"/>
    </row>
    <row r="18" spans="1:29" ht="15.75" customHeight="1" x14ac:dyDescent="0.15">
      <c r="A18" s="1" t="s">
        <v>895</v>
      </c>
      <c r="B18" s="1" t="s">
        <v>342</v>
      </c>
      <c r="C18" s="1">
        <f>COUNTIF('Guidelines - Data'!$O$3:$O$105,C3)</f>
        <v>21</v>
      </c>
      <c r="D18" s="1">
        <f>COUNTIF('Guidelines - Data'!$O$3:$O$105,D3)</f>
        <v>36</v>
      </c>
      <c r="E18" s="1">
        <f>COUNTIF('Guidelines - Data'!$O$3:$O$105,E3)</f>
        <v>11</v>
      </c>
      <c r="F18" s="1">
        <f>COUNTIF('Guidelines - Data'!$O$3:$O$105,F3)</f>
        <v>22</v>
      </c>
      <c r="G18" s="1">
        <f>COUNTIF('Guidelines - Data'!$O$3:$O$105,G3)</f>
        <v>13</v>
      </c>
      <c r="H18" s="14"/>
      <c r="I18" s="14"/>
      <c r="J18" s="14"/>
      <c r="K18" s="14"/>
      <c r="L18" s="14"/>
      <c r="M18" s="14"/>
      <c r="N18" s="14"/>
      <c r="O18" s="14"/>
      <c r="P18" s="14"/>
      <c r="Q18" s="14"/>
      <c r="R18" s="14"/>
      <c r="S18" s="14"/>
      <c r="T18" s="14"/>
      <c r="U18" s="14"/>
      <c r="V18" s="14"/>
      <c r="W18" s="14"/>
      <c r="X18" s="14"/>
      <c r="Y18" s="1"/>
      <c r="Z18" s="1"/>
      <c r="AA18" s="1"/>
      <c r="AB18" s="1"/>
      <c r="AC18" s="1"/>
    </row>
    <row r="19" spans="1:29" ht="15.75" customHeight="1" x14ac:dyDescent="0.15">
      <c r="A19" s="1" t="s">
        <v>896</v>
      </c>
      <c r="B19" s="1" t="s">
        <v>343</v>
      </c>
      <c r="C19" s="1">
        <f>COUNTIF('Guidelines - Data'!$P$3:$P$105,C3)</f>
        <v>21</v>
      </c>
      <c r="D19" s="1">
        <f>COUNTIF('Guidelines - Data'!$P$3:$P$105,D3)</f>
        <v>28</v>
      </c>
      <c r="E19" s="1">
        <f>COUNTIF('Guidelines - Data'!$P$3:$P$105,E3)</f>
        <v>20</v>
      </c>
      <c r="F19" s="1">
        <f>COUNTIF('Guidelines - Data'!$P$3:$P$105,F3)</f>
        <v>18</v>
      </c>
      <c r="G19" s="1">
        <f>COUNTIF('Guidelines - Data'!$P$3:$P$105,G3)</f>
        <v>16</v>
      </c>
      <c r="H19" s="1"/>
      <c r="I19" s="1"/>
      <c r="J19" s="1"/>
      <c r="K19" s="1"/>
      <c r="L19" s="1"/>
      <c r="M19" s="1"/>
      <c r="N19" s="1"/>
      <c r="O19" s="1"/>
      <c r="P19" s="1"/>
      <c r="Q19" s="1"/>
      <c r="R19" s="1"/>
      <c r="S19" s="1"/>
      <c r="T19" s="1"/>
      <c r="U19" s="1"/>
      <c r="V19" s="1"/>
      <c r="W19" s="1"/>
      <c r="X19" s="1"/>
      <c r="Y19" s="1"/>
      <c r="Z19" s="1"/>
      <c r="AA19" s="1"/>
      <c r="AB19" s="1"/>
      <c r="AC19" s="1"/>
    </row>
    <row r="20" spans="1:29" ht="15.75" customHeight="1" x14ac:dyDescent="0.15">
      <c r="A20" s="1" t="s">
        <v>897</v>
      </c>
      <c r="B20" s="1" t="s">
        <v>344</v>
      </c>
      <c r="C20" s="1">
        <f>COUNTIF('Guidelines - Data'!$Q$3:$Q$105,C3)</f>
        <v>22</v>
      </c>
      <c r="D20" s="1">
        <f>COUNTIF('Guidelines - Data'!$Q$3:$Q$105,D3)</f>
        <v>34</v>
      </c>
      <c r="E20" s="1">
        <f>COUNTIF('Guidelines - Data'!$Q$3:$Q$105,E3)</f>
        <v>7</v>
      </c>
      <c r="F20" s="1">
        <f>COUNTIF('Guidelines - Data'!$Q$3:$Q$105,F3)</f>
        <v>30</v>
      </c>
      <c r="G20" s="1">
        <f>COUNTIF('Guidelines - Data'!$Q$3:$Q$105,G3)</f>
        <v>10</v>
      </c>
      <c r="H20" s="1"/>
      <c r="I20" s="1"/>
      <c r="J20" s="1"/>
      <c r="K20" s="1"/>
      <c r="L20" s="1"/>
      <c r="M20" s="1"/>
      <c r="N20" s="1"/>
      <c r="O20" s="1"/>
      <c r="P20" s="1"/>
      <c r="Q20" s="1"/>
      <c r="R20" s="1"/>
      <c r="S20" s="1"/>
      <c r="T20" s="1"/>
      <c r="U20" s="1"/>
      <c r="V20" s="1"/>
      <c r="W20" s="1"/>
      <c r="X20" s="1"/>
      <c r="Y20" s="1"/>
      <c r="Z20" s="1"/>
      <c r="AA20" s="1"/>
      <c r="AB20" s="1"/>
      <c r="AC20" s="1"/>
    </row>
    <row r="21" spans="1:29" ht="15.75" customHeight="1" x14ac:dyDescent="0.1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x14ac:dyDescent="0.1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x14ac:dyDescent="0.15">
      <c r="A25" s="20"/>
      <c r="B25" s="58" t="s">
        <v>898</v>
      </c>
      <c r="C25" s="51"/>
      <c r="D25" s="51"/>
      <c r="E25" s="51"/>
      <c r="F25" s="51"/>
      <c r="G25" s="51"/>
      <c r="H25" s="51"/>
      <c r="I25" s="1"/>
      <c r="J25" s="1"/>
      <c r="K25" s="1"/>
      <c r="L25" s="1"/>
      <c r="M25" s="1"/>
      <c r="N25" s="1"/>
      <c r="O25" s="1"/>
      <c r="P25" s="1"/>
      <c r="Q25" s="1"/>
      <c r="R25" s="1"/>
      <c r="S25" s="1"/>
      <c r="T25" s="1"/>
      <c r="U25" s="1"/>
      <c r="V25" s="1"/>
      <c r="W25" s="1"/>
      <c r="X25" s="1"/>
      <c r="Y25" s="1"/>
      <c r="Z25" s="1"/>
      <c r="AA25" s="1"/>
      <c r="AB25" s="1"/>
      <c r="AC25" s="1"/>
    </row>
    <row r="26" spans="1:29" ht="15.75" customHeight="1" x14ac:dyDescent="0.15">
      <c r="A26" s="18"/>
      <c r="B26" s="18"/>
      <c r="C26" s="21" t="s">
        <v>354</v>
      </c>
      <c r="D26" s="21" t="s">
        <v>353</v>
      </c>
      <c r="E26" s="21" t="s">
        <v>372</v>
      </c>
      <c r="F26" s="21" t="s">
        <v>351</v>
      </c>
      <c r="G26" s="21" t="s">
        <v>352</v>
      </c>
      <c r="H26" s="21" t="s">
        <v>399</v>
      </c>
      <c r="I26" s="1"/>
      <c r="J26" s="1"/>
      <c r="K26" s="1"/>
      <c r="L26" s="1"/>
      <c r="M26" s="1"/>
      <c r="N26" s="1"/>
      <c r="O26" s="1"/>
      <c r="P26" s="1"/>
      <c r="Q26" s="1"/>
      <c r="R26" s="1"/>
      <c r="S26" s="1"/>
      <c r="T26" s="1"/>
      <c r="U26" s="1"/>
      <c r="V26" s="1"/>
      <c r="W26" s="1"/>
      <c r="X26" s="1"/>
      <c r="Y26" s="1"/>
      <c r="Z26" s="1"/>
      <c r="AA26" s="1"/>
    </row>
    <row r="27" spans="1:29" ht="15.75" customHeight="1" x14ac:dyDescent="0.15">
      <c r="A27" s="1" t="s">
        <v>881</v>
      </c>
      <c r="B27" s="1" t="s">
        <v>328</v>
      </c>
      <c r="C27" s="1">
        <f>COUNTIF('Guidelines - Data'!$S$3:$S$105,C26)</f>
        <v>7</v>
      </c>
      <c r="D27" s="1">
        <f>COUNTIF('Guidelines - Data'!$S$3:$S$105,D26)</f>
        <v>31</v>
      </c>
      <c r="E27" s="1">
        <f>COUNTIF('Guidelines - Data'!$S$3:$S$105,E26)</f>
        <v>11</v>
      </c>
      <c r="F27" s="1">
        <f>COUNTIF('Guidelines - Data'!$S$3:$S$105,F26)</f>
        <v>37</v>
      </c>
      <c r="G27" s="1">
        <f>COUNTIF('Guidelines - Data'!$S$3:$S$105,G26)</f>
        <v>17</v>
      </c>
      <c r="H27" s="1">
        <f>COUNTIF('Guidelines - Data'!$S$3:$S$105,H26)</f>
        <v>0</v>
      </c>
      <c r="I27" s="1"/>
      <c r="J27" s="1"/>
      <c r="K27" s="1"/>
      <c r="L27" s="1"/>
      <c r="M27" s="1"/>
      <c r="N27" s="1"/>
      <c r="O27" s="1"/>
      <c r="P27" s="1"/>
      <c r="Q27" s="1"/>
      <c r="R27" s="1"/>
      <c r="S27" s="1"/>
      <c r="T27" s="1"/>
      <c r="U27" s="1"/>
      <c r="V27" s="1"/>
      <c r="W27" s="1"/>
      <c r="X27" s="1"/>
      <c r="Y27" s="1"/>
      <c r="Z27" s="1"/>
      <c r="AA27" s="1"/>
    </row>
    <row r="28" spans="1:29" ht="15.75" customHeight="1" x14ac:dyDescent="0.15">
      <c r="A28" s="1" t="s">
        <v>882</v>
      </c>
      <c r="B28" s="1" t="s">
        <v>329</v>
      </c>
      <c r="C28" s="1">
        <f>COUNTIF('Guidelines - Data'!$T$3:$T$105,C26)</f>
        <v>6</v>
      </c>
      <c r="D28" s="1">
        <f>COUNTIF('Guidelines - Data'!$T$3:$T$105,D26)</f>
        <v>29</v>
      </c>
      <c r="E28" s="1">
        <f>COUNTIF('Guidelines - Data'!$T$3:$T$105,E26)</f>
        <v>19</v>
      </c>
      <c r="F28" s="1">
        <f>COUNTIF('Guidelines - Data'!$T$3:$T$105,F26)</f>
        <v>29</v>
      </c>
      <c r="G28" s="1">
        <f>COUNTIF('Guidelines - Data'!$T$3:$T$105,G26)</f>
        <v>20</v>
      </c>
      <c r="H28" s="1">
        <f>COUNTIF('Guidelines - Data'!$T$3:$T$105,H26)</f>
        <v>0</v>
      </c>
      <c r="I28" s="1"/>
      <c r="J28" s="1"/>
      <c r="K28" s="1"/>
      <c r="L28" s="1"/>
      <c r="M28" s="1"/>
      <c r="N28" s="1"/>
      <c r="O28" s="1"/>
      <c r="P28" s="1"/>
      <c r="Q28" s="1"/>
      <c r="R28" s="1"/>
      <c r="S28" s="1"/>
      <c r="T28" s="1"/>
      <c r="U28" s="1"/>
      <c r="V28" s="1"/>
      <c r="W28" s="1"/>
      <c r="X28" s="1"/>
      <c r="Y28" s="1"/>
      <c r="Z28" s="1"/>
      <c r="AA28" s="1"/>
    </row>
    <row r="29" spans="1:29" ht="15.75" customHeight="1" x14ac:dyDescent="0.15">
      <c r="A29" s="1" t="s">
        <v>883</v>
      </c>
      <c r="B29" s="1" t="s">
        <v>330</v>
      </c>
      <c r="C29" s="1">
        <f>COUNTIF('Guidelines - Data'!$U$3:$U$105,C26)</f>
        <v>4</v>
      </c>
      <c r="D29" s="1">
        <f>COUNTIF('Guidelines - Data'!$U$3:$U$105,D26)</f>
        <v>22</v>
      </c>
      <c r="E29" s="1">
        <f>COUNTIF('Guidelines - Data'!$U$3:$U$105,E26)</f>
        <v>19</v>
      </c>
      <c r="F29" s="1">
        <f>COUNTIF('Guidelines - Data'!$U$3:$U$105,F26)</f>
        <v>38</v>
      </c>
      <c r="G29" s="1">
        <f>COUNTIF('Guidelines - Data'!$U$3:$U$105,G26)</f>
        <v>20</v>
      </c>
      <c r="H29" s="1">
        <f>COUNTIF('Guidelines - Data'!$U$3:$U$105,H26)</f>
        <v>0</v>
      </c>
      <c r="I29" s="1"/>
      <c r="J29" s="1"/>
      <c r="K29" s="1"/>
      <c r="L29" s="1"/>
      <c r="M29" s="1"/>
      <c r="N29" s="1"/>
      <c r="O29" s="1"/>
      <c r="P29" s="1"/>
      <c r="Q29" s="1"/>
      <c r="R29" s="1"/>
      <c r="S29" s="1"/>
      <c r="T29" s="1"/>
      <c r="U29" s="1"/>
      <c r="V29" s="1"/>
      <c r="W29" s="1"/>
      <c r="X29" s="1"/>
      <c r="Y29" s="1"/>
      <c r="Z29" s="1"/>
      <c r="AA29" s="1"/>
    </row>
    <row r="30" spans="1:29" ht="15.75" customHeight="1" x14ac:dyDescent="0.15">
      <c r="A30" s="1" t="s">
        <v>884</v>
      </c>
      <c r="B30" s="1" t="s">
        <v>331</v>
      </c>
      <c r="C30" s="1">
        <f>COUNTIF('Guidelines - Data'!$V$3:$V$105,C26)</f>
        <v>6</v>
      </c>
      <c r="D30" s="1">
        <f>COUNTIF('Guidelines - Data'!$V$3:$V$105,D26)</f>
        <v>47</v>
      </c>
      <c r="E30" s="1">
        <f>COUNTIF('Guidelines - Data'!$V$3:$V$105,E26)</f>
        <v>16</v>
      </c>
      <c r="F30" s="1">
        <f>COUNTIF('Guidelines - Data'!$V$3:$V$105,F26)</f>
        <v>26</v>
      </c>
      <c r="G30" s="1">
        <f>COUNTIF('Guidelines - Data'!$V$3:$V$105,G26)</f>
        <v>8</v>
      </c>
      <c r="H30" s="1">
        <f>COUNTIF('Guidelines - Data'!$V$3:$V$105,H26)</f>
        <v>0</v>
      </c>
      <c r="I30" s="1"/>
      <c r="J30" s="1"/>
      <c r="K30" s="1"/>
      <c r="L30" s="1"/>
      <c r="M30" s="1"/>
      <c r="N30" s="1"/>
      <c r="O30" s="1"/>
      <c r="P30" s="1"/>
      <c r="Q30" s="1"/>
      <c r="R30" s="1"/>
      <c r="S30" s="1"/>
      <c r="T30" s="1"/>
      <c r="U30" s="1"/>
      <c r="V30" s="1"/>
      <c r="W30" s="1"/>
      <c r="X30" s="1"/>
      <c r="Y30" s="1"/>
      <c r="Z30" s="1"/>
      <c r="AA30" s="1"/>
    </row>
    <row r="31" spans="1:29" ht="15.75" customHeight="1" x14ac:dyDescent="0.15">
      <c r="A31" s="1" t="s">
        <v>885</v>
      </c>
      <c r="B31" s="1" t="s">
        <v>332</v>
      </c>
      <c r="C31" s="1">
        <f>COUNTIF('Guidelines - Data'!$W$3:$W$105,C26)</f>
        <v>12</v>
      </c>
      <c r="D31" s="1">
        <f>COUNTIF('Guidelines - Data'!$W$3:$W$105,D26)</f>
        <v>49</v>
      </c>
      <c r="E31" s="1">
        <f>COUNTIF('Guidelines - Data'!$W$3:$W$105,E26)</f>
        <v>9</v>
      </c>
      <c r="F31" s="1">
        <f>COUNTIF('Guidelines - Data'!$W$3:$W$105,F26)</f>
        <v>18</v>
      </c>
      <c r="G31" s="1">
        <f>COUNTIF('Guidelines - Data'!$W$3:$W$105,G26)</f>
        <v>15</v>
      </c>
      <c r="H31" s="1">
        <f>COUNTIF('Guidelines - Data'!$W$3:$W$105,H26)</f>
        <v>0</v>
      </c>
      <c r="I31" s="1"/>
      <c r="J31" s="1"/>
      <c r="K31" s="1"/>
      <c r="L31" s="1"/>
      <c r="M31" s="1"/>
      <c r="N31" s="1"/>
      <c r="O31" s="1"/>
      <c r="P31" s="1"/>
      <c r="Q31" s="1"/>
      <c r="R31" s="1"/>
      <c r="S31" s="1"/>
      <c r="T31" s="1"/>
      <c r="U31" s="1"/>
      <c r="V31" s="1"/>
      <c r="W31" s="1"/>
      <c r="X31" s="1"/>
      <c r="Y31" s="1"/>
      <c r="Z31" s="1"/>
      <c r="AA31" s="1"/>
    </row>
    <row r="32" spans="1:29" ht="15.75" customHeight="1" x14ac:dyDescent="0.15">
      <c r="A32" s="1" t="s">
        <v>886</v>
      </c>
      <c r="B32" s="1" t="s">
        <v>333</v>
      </c>
      <c r="C32" s="1">
        <f>COUNTIF('Guidelines - Data'!$X$3:$X$105,C26)</f>
        <v>8</v>
      </c>
      <c r="D32" s="1">
        <f>COUNTIF('Guidelines - Data'!$X$3:$X$105,D26)</f>
        <v>40</v>
      </c>
      <c r="E32" s="1">
        <f>COUNTIF('Guidelines - Data'!$X$3:$X$105,E26)</f>
        <v>18</v>
      </c>
      <c r="F32" s="1">
        <f>COUNTIF('Guidelines - Data'!$X$3:$X$105,F26)</f>
        <v>30</v>
      </c>
      <c r="G32" s="1">
        <f>COUNTIF('Guidelines - Data'!$X$3:$X$105,G26)</f>
        <v>7</v>
      </c>
      <c r="H32" s="1">
        <f>COUNTIF('Guidelines - Data'!$X$3:$X$105,H26)</f>
        <v>0</v>
      </c>
      <c r="I32" s="1"/>
      <c r="J32" s="1"/>
      <c r="K32" s="1"/>
      <c r="L32" s="1"/>
      <c r="M32" s="1"/>
      <c r="N32" s="1"/>
      <c r="O32" s="1"/>
      <c r="P32" s="1"/>
      <c r="Q32" s="1"/>
      <c r="R32" s="1"/>
      <c r="S32" s="1"/>
      <c r="T32" s="1"/>
      <c r="U32" s="1"/>
      <c r="V32" s="1"/>
      <c r="W32" s="1"/>
      <c r="X32" s="1"/>
      <c r="Y32" s="1"/>
      <c r="Z32" s="1"/>
      <c r="AA32" s="1"/>
    </row>
    <row r="33" spans="1:29" ht="15.75" customHeight="1" x14ac:dyDescent="0.15">
      <c r="A33" s="1" t="s">
        <v>887</v>
      </c>
      <c r="B33" s="1" t="s">
        <v>334</v>
      </c>
      <c r="C33" s="1">
        <f>COUNTIF('Guidelines - Data'!$Y$3:$Y$105,C26)</f>
        <v>12</v>
      </c>
      <c r="D33" s="1">
        <f>COUNTIF('Guidelines - Data'!$Y$3:$Y$105,D26)</f>
        <v>37</v>
      </c>
      <c r="E33" s="1">
        <f>COUNTIF('Guidelines - Data'!$Y$3:$Y$105,E26)</f>
        <v>12</v>
      </c>
      <c r="F33" s="1">
        <f>COUNTIF('Guidelines - Data'!$Y$3:$Y$105,F26)</f>
        <v>28</v>
      </c>
      <c r="G33" s="1">
        <f>COUNTIF('Guidelines - Data'!$Y$3:$Y$105,G26)</f>
        <v>14</v>
      </c>
      <c r="H33" s="1">
        <f>COUNTIF('Guidelines - Data'!$Y$3:$Y$105,H26)</f>
        <v>0</v>
      </c>
      <c r="I33" s="1"/>
      <c r="J33" s="1"/>
      <c r="K33" s="1"/>
      <c r="L33" s="1"/>
      <c r="M33" s="1"/>
      <c r="N33" s="1"/>
      <c r="O33" s="1"/>
      <c r="P33" s="1"/>
      <c r="Q33" s="1"/>
      <c r="R33" s="1"/>
      <c r="S33" s="1"/>
      <c r="T33" s="1"/>
      <c r="U33" s="1"/>
      <c r="V33" s="1"/>
      <c r="W33" s="1"/>
      <c r="X33" s="1"/>
      <c r="Y33" s="1"/>
      <c r="Z33" s="1"/>
      <c r="AA33" s="1"/>
    </row>
    <row r="34" spans="1:29" ht="15.75" customHeight="1" x14ac:dyDescent="0.15">
      <c r="A34" s="1" t="s">
        <v>888</v>
      </c>
      <c r="B34" s="1" t="s">
        <v>335</v>
      </c>
      <c r="C34" s="1">
        <f>COUNTIF('Guidelines - Data'!$Z$3:$Z$105,C26)</f>
        <v>11</v>
      </c>
      <c r="D34" s="1">
        <f>COUNTIF('Guidelines - Data'!$Z$3:$Z$105,D26)</f>
        <v>40</v>
      </c>
      <c r="E34" s="1">
        <f>COUNTIF('Guidelines - Data'!$Z$3:$Z$105,E26)</f>
        <v>19</v>
      </c>
      <c r="F34" s="1">
        <f>COUNTIF('Guidelines - Data'!$Z$3:$Z$105,F26)</f>
        <v>27</v>
      </c>
      <c r="G34" s="1">
        <f>COUNTIF('Guidelines - Data'!$Z$3:$Z$105,G26)</f>
        <v>6</v>
      </c>
      <c r="H34" s="1">
        <f>COUNTIF('Guidelines - Data'!$Z$3:$Z$105,H26)</f>
        <v>0</v>
      </c>
      <c r="I34" s="1"/>
      <c r="J34" s="1"/>
      <c r="K34" s="1"/>
      <c r="L34" s="1"/>
      <c r="M34" s="1"/>
      <c r="N34" s="1"/>
      <c r="O34" s="1"/>
      <c r="P34" s="1"/>
      <c r="Q34" s="1"/>
      <c r="R34" s="1"/>
      <c r="S34" s="1"/>
      <c r="T34" s="1"/>
      <c r="U34" s="1"/>
      <c r="V34" s="1"/>
      <c r="W34" s="1"/>
      <c r="X34" s="1"/>
      <c r="Y34" s="1"/>
      <c r="Z34" s="1"/>
      <c r="AA34" s="1"/>
    </row>
    <row r="35" spans="1:29" ht="15.75" customHeight="1" x14ac:dyDescent="0.15">
      <c r="A35" s="1" t="s">
        <v>889</v>
      </c>
      <c r="B35" s="1" t="s">
        <v>336</v>
      </c>
      <c r="C35" s="1">
        <f>COUNTIF('Guidelines - Data'!$AA$3:$AA$105,C26)</f>
        <v>11</v>
      </c>
      <c r="D35" s="1">
        <f>COUNTIF('Guidelines - Data'!$AA$3:$AA$105,D26)</f>
        <v>48</v>
      </c>
      <c r="E35" s="1">
        <f>COUNTIF('Guidelines - Data'!$AA$3:$AA$105,E26)</f>
        <v>16</v>
      </c>
      <c r="F35" s="1">
        <f>COUNTIF('Guidelines - Data'!$AA$3:$AA$105,F26)</f>
        <v>19</v>
      </c>
      <c r="G35" s="1">
        <f>COUNTIF('Guidelines - Data'!$AA$3:$AA$105,G26)</f>
        <v>8</v>
      </c>
      <c r="H35" s="1">
        <f>COUNTIF('Guidelines - Data'!$AA$3:$AA$105,H26)</f>
        <v>1</v>
      </c>
      <c r="I35" s="1"/>
      <c r="J35" s="1"/>
      <c r="K35" s="1"/>
      <c r="L35" s="1"/>
      <c r="M35" s="1"/>
      <c r="N35" s="1"/>
      <c r="O35" s="1"/>
      <c r="P35" s="1"/>
      <c r="Q35" s="1"/>
      <c r="R35" s="1"/>
      <c r="S35" s="1"/>
      <c r="T35" s="1"/>
      <c r="U35" s="1"/>
      <c r="V35" s="1"/>
      <c r="W35" s="1"/>
      <c r="X35" s="1"/>
      <c r="Y35" s="1"/>
      <c r="Z35" s="1"/>
      <c r="AA35" s="1"/>
    </row>
    <row r="36" spans="1:29" ht="15.75" customHeight="1" x14ac:dyDescent="0.15">
      <c r="A36" s="1" t="s">
        <v>890</v>
      </c>
      <c r="B36" s="1" t="s">
        <v>337</v>
      </c>
      <c r="C36" s="1">
        <f>COUNTIF('Guidelines - Data'!$AB$3:$AB$105,C26)</f>
        <v>17</v>
      </c>
      <c r="D36" s="1">
        <f>COUNTIF('Guidelines - Data'!$AB$3:$AB$105,D26)</f>
        <v>48</v>
      </c>
      <c r="E36" s="1">
        <f>COUNTIF('Guidelines - Data'!$AB$3:$AB$105,E26)</f>
        <v>9</v>
      </c>
      <c r="F36" s="1">
        <f>COUNTIF('Guidelines - Data'!$AB$3:$AB$105,F26)</f>
        <v>20</v>
      </c>
      <c r="G36" s="1">
        <f>COUNTIF('Guidelines - Data'!$AB$3:$AB$105,G26)</f>
        <v>8</v>
      </c>
      <c r="H36" s="1">
        <f>COUNTIF('Guidelines - Data'!$AB$3:$AB$105,H26)</f>
        <v>1</v>
      </c>
      <c r="I36" s="1"/>
      <c r="J36" s="1"/>
      <c r="K36" s="1"/>
      <c r="L36" s="1"/>
      <c r="M36" s="1"/>
      <c r="N36" s="1"/>
      <c r="O36" s="1"/>
      <c r="P36" s="1"/>
      <c r="Q36" s="1"/>
      <c r="R36" s="1"/>
      <c r="S36" s="1"/>
      <c r="T36" s="1"/>
      <c r="U36" s="1"/>
      <c r="V36" s="1"/>
      <c r="W36" s="1"/>
      <c r="X36" s="1"/>
      <c r="Y36" s="1"/>
      <c r="Z36" s="1"/>
      <c r="AA36" s="1"/>
    </row>
    <row r="37" spans="1:29" ht="15.75" customHeight="1" x14ac:dyDescent="0.15">
      <c r="A37" s="1" t="s">
        <v>891</v>
      </c>
      <c r="B37" s="1" t="s">
        <v>338</v>
      </c>
      <c r="C37" s="1">
        <f>COUNTIF('Guidelines - Data'!$AC$3:$AC$105,C26)</f>
        <v>11</v>
      </c>
      <c r="D37" s="1">
        <f>COUNTIF('Guidelines - Data'!$AC$3:$AC$105,D26)</f>
        <v>23</v>
      </c>
      <c r="E37" s="1">
        <f>COUNTIF('Guidelines - Data'!$AC$3:$AC$105,E26)</f>
        <v>17</v>
      </c>
      <c r="F37" s="1">
        <f>COUNTIF('Guidelines - Data'!$AC$3:$AC$105,F26)</f>
        <v>23</v>
      </c>
      <c r="G37" s="1">
        <f>COUNTIF('Guidelines - Data'!$AC$3:$AC$105,G26)</f>
        <v>29</v>
      </c>
      <c r="H37" s="1">
        <f>COUNTIF('Guidelines - Data'!$AC$3:$AC$105,H26)</f>
        <v>0</v>
      </c>
      <c r="I37" s="1"/>
      <c r="J37" s="1"/>
      <c r="K37" s="1"/>
      <c r="L37" s="1"/>
      <c r="M37" s="1"/>
      <c r="N37" s="1"/>
      <c r="O37" s="1"/>
      <c r="P37" s="1"/>
      <c r="Q37" s="1"/>
      <c r="R37" s="1"/>
      <c r="S37" s="1"/>
      <c r="T37" s="1"/>
      <c r="U37" s="1"/>
      <c r="V37" s="1"/>
      <c r="W37" s="1"/>
      <c r="X37" s="1"/>
      <c r="Y37" s="1"/>
      <c r="Z37" s="1"/>
      <c r="AA37" s="1"/>
    </row>
    <row r="38" spans="1:29" ht="15.75" customHeight="1" x14ac:dyDescent="0.15">
      <c r="A38" s="1" t="s">
        <v>892</v>
      </c>
      <c r="B38" s="1" t="s">
        <v>339</v>
      </c>
      <c r="C38" s="1">
        <f>COUNTIF('Guidelines - Data'!$AD$3:$AD$105,C26)</f>
        <v>10</v>
      </c>
      <c r="D38" s="1">
        <f>COUNTIF('Guidelines - Data'!$AD$3:$AD$105,D26)</f>
        <v>37</v>
      </c>
      <c r="E38" s="1">
        <f>COUNTIF('Guidelines - Data'!$AD$3:$AD$105,E26)</f>
        <v>10</v>
      </c>
      <c r="F38" s="1">
        <f>COUNTIF('Guidelines - Data'!$AD$3:$AD$105,F26)</f>
        <v>31</v>
      </c>
      <c r="G38" s="1">
        <f>COUNTIF('Guidelines - Data'!$AD$3:$AD$105,G26)</f>
        <v>15</v>
      </c>
      <c r="H38" s="1">
        <f>COUNTIF('Guidelines - Data'!$AD$3:$AD$105,H26)</f>
        <v>0</v>
      </c>
      <c r="I38" s="1"/>
      <c r="J38" s="1"/>
      <c r="K38" s="1"/>
      <c r="L38" s="1"/>
      <c r="M38" s="1"/>
      <c r="N38" s="1"/>
      <c r="O38" s="1"/>
      <c r="P38" s="1"/>
      <c r="Q38" s="1"/>
      <c r="R38" s="1"/>
      <c r="S38" s="1"/>
      <c r="T38" s="1"/>
      <c r="U38" s="1"/>
      <c r="V38" s="1"/>
      <c r="W38" s="1"/>
      <c r="X38" s="1"/>
      <c r="Y38" s="1"/>
      <c r="Z38" s="1"/>
      <c r="AA38" s="1"/>
    </row>
    <row r="39" spans="1:29" ht="15.75" customHeight="1" x14ac:dyDescent="0.15">
      <c r="A39" s="1" t="s">
        <v>893</v>
      </c>
      <c r="B39" s="1" t="s">
        <v>340</v>
      </c>
      <c r="C39" s="1">
        <f>COUNTIF('Guidelines - Data'!$AE$3:$AE$105,C26)</f>
        <v>8</v>
      </c>
      <c r="D39" s="1">
        <f>COUNTIF('Guidelines - Data'!$AE$3:$AE$105,D26)</f>
        <v>37</v>
      </c>
      <c r="E39" s="1">
        <f>COUNTIF('Guidelines - Data'!$AE$3:$AE$105,E26)</f>
        <v>21</v>
      </c>
      <c r="F39" s="1">
        <f>COUNTIF('Guidelines - Data'!$AE$3:$AE$105,F26)</f>
        <v>24</v>
      </c>
      <c r="G39" s="1">
        <f>COUNTIF('Guidelines - Data'!$AE$3:$AE$105,G26)</f>
        <v>12</v>
      </c>
      <c r="H39" s="1">
        <f>COUNTIF('Guidelines - Data'!$AE$3:$AE$105,H26)</f>
        <v>1</v>
      </c>
      <c r="I39" s="1"/>
      <c r="J39" s="1"/>
      <c r="K39" s="1"/>
      <c r="L39" s="1"/>
      <c r="M39" s="1"/>
      <c r="N39" s="1"/>
      <c r="O39" s="1"/>
      <c r="P39" s="1"/>
      <c r="Q39" s="1"/>
      <c r="R39" s="1"/>
      <c r="S39" s="1"/>
      <c r="T39" s="1"/>
      <c r="U39" s="1"/>
      <c r="V39" s="1"/>
      <c r="W39" s="1"/>
      <c r="X39" s="1"/>
      <c r="Y39" s="1"/>
      <c r="Z39" s="1"/>
      <c r="AA39" s="1"/>
    </row>
    <row r="40" spans="1:29" ht="15.75" customHeight="1" x14ac:dyDescent="0.15">
      <c r="A40" s="1" t="s">
        <v>894</v>
      </c>
      <c r="B40" s="1" t="s">
        <v>341</v>
      </c>
      <c r="C40" s="1">
        <f>COUNTIF('Guidelines - Data'!$AF$3:$AF$105,C26)</f>
        <v>3</v>
      </c>
      <c r="D40" s="1">
        <f>COUNTIF('Guidelines - Data'!$AF$3:$AF$105,D26)</f>
        <v>27</v>
      </c>
      <c r="E40" s="1">
        <f>COUNTIF('Guidelines - Data'!$AF$3:$AF$105,E26)</f>
        <v>21</v>
      </c>
      <c r="F40" s="1">
        <f>COUNTIF('Guidelines - Data'!$AF$3:$AF$105,F26)</f>
        <v>35</v>
      </c>
      <c r="G40" s="1">
        <f>COUNTIF('Guidelines - Data'!$AF$3:$AF$105,G26)</f>
        <v>16</v>
      </c>
      <c r="H40" s="1">
        <f>COUNTIF('Guidelines - Data'!$AF$3:$AF$105,H26)</f>
        <v>1</v>
      </c>
      <c r="I40" s="1"/>
      <c r="J40" s="1"/>
      <c r="K40" s="1"/>
      <c r="L40" s="1"/>
      <c r="M40" s="1"/>
      <c r="N40" s="1"/>
      <c r="O40" s="1"/>
      <c r="P40" s="1"/>
      <c r="Q40" s="1"/>
      <c r="R40" s="1"/>
      <c r="S40" s="1"/>
      <c r="T40" s="1"/>
      <c r="U40" s="1"/>
      <c r="V40" s="1"/>
      <c r="W40" s="1"/>
      <c r="X40" s="1"/>
      <c r="Y40" s="1"/>
      <c r="Z40" s="1"/>
      <c r="AA40" s="1"/>
    </row>
    <row r="41" spans="1:29" ht="15.75" customHeight="1" x14ac:dyDescent="0.15">
      <c r="A41" s="1" t="s">
        <v>895</v>
      </c>
      <c r="B41" s="1" t="s">
        <v>342</v>
      </c>
      <c r="C41" s="1">
        <f>COUNTIF('Guidelines - Data'!$AG$3:$AG$105,C26)</f>
        <v>8</v>
      </c>
      <c r="D41" s="1">
        <f>COUNTIF('Guidelines - Data'!$AG$3:$AG$105,D26)</f>
        <v>42</v>
      </c>
      <c r="E41" s="1">
        <f>COUNTIF('Guidelines - Data'!$AG$3:$AG$105,E26)</f>
        <v>17</v>
      </c>
      <c r="F41" s="1">
        <f>COUNTIF('Guidelines - Data'!$AG$3:$AG$105,F26)</f>
        <v>24</v>
      </c>
      <c r="G41" s="1">
        <f>COUNTIF('Guidelines - Data'!$AG$3:$AG$105,G26)</f>
        <v>10</v>
      </c>
      <c r="H41" s="1">
        <f>COUNTIF('Guidelines - Data'!$AG$3:$AG$105,H26)</f>
        <v>2</v>
      </c>
      <c r="I41" s="1"/>
      <c r="J41" s="1"/>
      <c r="K41" s="1"/>
      <c r="L41" s="1"/>
      <c r="M41" s="1"/>
      <c r="N41" s="1"/>
      <c r="O41" s="1"/>
      <c r="P41" s="1"/>
      <c r="Q41" s="1"/>
      <c r="R41" s="1"/>
      <c r="S41" s="1"/>
      <c r="T41" s="1"/>
      <c r="U41" s="1"/>
      <c r="V41" s="1"/>
      <c r="W41" s="1"/>
      <c r="X41" s="1"/>
      <c r="Y41" s="1"/>
      <c r="Z41" s="1"/>
      <c r="AA41" s="1"/>
    </row>
    <row r="42" spans="1:29" ht="15.75" customHeight="1" x14ac:dyDescent="0.15">
      <c r="A42" s="1" t="s">
        <v>896</v>
      </c>
      <c r="B42" s="1" t="s">
        <v>343</v>
      </c>
      <c r="C42" s="1">
        <f>COUNTIF('Guidelines - Data'!$AH$3:$AH$105,C26)</f>
        <v>9</v>
      </c>
      <c r="D42" s="1">
        <f>COUNTIF('Guidelines - Data'!$AH$3:$AH$105,D26)</f>
        <v>35</v>
      </c>
      <c r="E42" s="1">
        <f>COUNTIF('Guidelines - Data'!$AH$3:$AH$105,E26)</f>
        <v>18</v>
      </c>
      <c r="F42" s="1">
        <f>COUNTIF('Guidelines - Data'!$AH$3:$AH$105,F26)</f>
        <v>23</v>
      </c>
      <c r="G42" s="1">
        <f>COUNTIF('Guidelines - Data'!$AH$3:$AH$105,G26)</f>
        <v>15</v>
      </c>
      <c r="H42" s="1">
        <f>COUNTIF('Guidelines - Data'!$AH$3:$AH$105,H26)</f>
        <v>3</v>
      </c>
      <c r="I42" s="1"/>
      <c r="J42" s="1"/>
      <c r="K42" s="1"/>
      <c r="L42" s="1"/>
      <c r="M42" s="1"/>
      <c r="N42" s="1"/>
      <c r="O42" s="1"/>
      <c r="P42" s="1"/>
      <c r="Q42" s="1"/>
      <c r="R42" s="1"/>
      <c r="S42" s="1"/>
      <c r="T42" s="1"/>
      <c r="U42" s="1"/>
      <c r="V42" s="1"/>
      <c r="W42" s="1"/>
      <c r="X42" s="1"/>
      <c r="Y42" s="1"/>
      <c r="Z42" s="1"/>
      <c r="AA42" s="1"/>
    </row>
    <row r="43" spans="1:29" ht="15.75" customHeight="1" x14ac:dyDescent="0.15">
      <c r="A43" s="1" t="s">
        <v>897</v>
      </c>
      <c r="B43" s="1" t="s">
        <v>344</v>
      </c>
      <c r="C43" s="1">
        <f>COUNTIF('Guidelines - Data'!$AI$3:$AI$105,C26)</f>
        <v>6</v>
      </c>
      <c r="D43" s="1">
        <f>COUNTIF('Guidelines - Data'!$AI$3:$AI$105,D26)</f>
        <v>20</v>
      </c>
      <c r="E43" s="1">
        <f>COUNTIF('Guidelines - Data'!$AI$3:$AI$105,E26)</f>
        <v>16</v>
      </c>
      <c r="F43" s="1">
        <f>COUNTIF('Guidelines - Data'!$AI$3:$AI$105,F26)</f>
        <v>45</v>
      </c>
      <c r="G43" s="1">
        <f>COUNTIF('Guidelines - Data'!$AI$3:$AI$105,G26)</f>
        <v>13</v>
      </c>
      <c r="H43" s="1">
        <f>COUNTIF('Guidelines - Data'!$AI$3:$AI$105,H26)</f>
        <v>3</v>
      </c>
      <c r="I43" s="1"/>
      <c r="J43" s="1"/>
      <c r="K43" s="1"/>
      <c r="L43" s="1"/>
      <c r="M43" s="1"/>
      <c r="N43" s="1"/>
      <c r="O43" s="1"/>
      <c r="P43" s="1"/>
      <c r="Q43" s="1"/>
      <c r="R43" s="1"/>
      <c r="S43" s="1"/>
      <c r="T43" s="1"/>
      <c r="U43" s="1"/>
      <c r="V43" s="1"/>
      <c r="W43" s="1"/>
      <c r="X43" s="1"/>
      <c r="Y43" s="1"/>
      <c r="Z43" s="1"/>
      <c r="AA43" s="1"/>
    </row>
    <row r="44" spans="1:29" ht="15.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15">
      <c r="A49" s="20"/>
      <c r="B49" s="58" t="s">
        <v>898</v>
      </c>
      <c r="C49" s="51"/>
      <c r="D49" s="51"/>
      <c r="E49" s="51"/>
      <c r="F49" s="51"/>
      <c r="G49" s="51"/>
      <c r="H49" s="51"/>
      <c r="I49" s="1"/>
      <c r="J49" s="1"/>
      <c r="K49" s="1"/>
      <c r="L49" s="1"/>
      <c r="M49" s="1"/>
      <c r="N49" s="1"/>
      <c r="O49" s="1"/>
      <c r="P49" s="1"/>
      <c r="Q49" s="1"/>
      <c r="R49" s="1"/>
      <c r="S49" s="1"/>
      <c r="T49" s="1"/>
      <c r="U49" s="1"/>
      <c r="V49" s="1"/>
      <c r="W49" s="1"/>
      <c r="X49" s="1"/>
      <c r="Y49" s="1"/>
      <c r="Z49" s="1"/>
      <c r="AA49" s="1"/>
      <c r="AB49" s="1"/>
      <c r="AC49" s="1"/>
    </row>
    <row r="50" spans="1:29" ht="15.75" customHeight="1" x14ac:dyDescent="0.15">
      <c r="A50" s="18"/>
      <c r="B50" s="18"/>
      <c r="C50" s="21" t="s">
        <v>354</v>
      </c>
      <c r="D50" s="21" t="s">
        <v>353</v>
      </c>
      <c r="E50" s="22" t="s">
        <v>899</v>
      </c>
      <c r="F50" s="21" t="s">
        <v>372</v>
      </c>
      <c r="G50" s="21" t="s">
        <v>351</v>
      </c>
      <c r="H50" s="21" t="s">
        <v>352</v>
      </c>
      <c r="I50" s="22" t="s">
        <v>900</v>
      </c>
      <c r="J50" s="21" t="s">
        <v>399</v>
      </c>
      <c r="K50" s="21"/>
      <c r="L50" s="21"/>
      <c r="M50" s="21"/>
      <c r="N50" s="21"/>
      <c r="O50" s="21"/>
      <c r="P50" s="21"/>
      <c r="Q50" s="21"/>
      <c r="R50" s="21"/>
      <c r="S50" s="21"/>
      <c r="T50" s="21"/>
      <c r="U50" s="21"/>
      <c r="V50" s="21"/>
      <c r="W50" s="21"/>
      <c r="X50" s="21"/>
      <c r="Y50" s="21"/>
      <c r="Z50" s="21"/>
      <c r="AA50" s="21"/>
      <c r="AB50" s="21"/>
      <c r="AC50" s="21"/>
    </row>
    <row r="51" spans="1:29" ht="14" x14ac:dyDescent="0.15">
      <c r="A51" s="1" t="s">
        <v>881</v>
      </c>
      <c r="B51" s="1" t="s">
        <v>328</v>
      </c>
      <c r="C51" s="1">
        <f>COUNTIF('Guidelines - Data'!$S$3:$S$105,C50)</f>
        <v>7</v>
      </c>
      <c r="D51" s="1">
        <f>COUNTIF('Guidelines - Data'!$S$3:$S$105,D50)</f>
        <v>31</v>
      </c>
      <c r="E51" s="23">
        <f t="shared" ref="E51:E67" si="0">SUM(C51:D51)</f>
        <v>38</v>
      </c>
      <c r="F51" s="1">
        <f>COUNTIF('Guidelines - Data'!$S$3:$S$105,F50)</f>
        <v>11</v>
      </c>
      <c r="G51" s="1">
        <f>COUNTIF('Guidelines - Data'!$S$3:$S$105,G50)</f>
        <v>37</v>
      </c>
      <c r="H51" s="1">
        <f>COUNTIF('Guidelines - Data'!$S$3:$S$105,H50)</f>
        <v>17</v>
      </c>
      <c r="I51" s="24">
        <f t="shared" ref="I51:I67" si="1">SUM(G51:H51)</f>
        <v>54</v>
      </c>
      <c r="J51" s="1">
        <f>COUNTIF('Guidelines - Data'!$S$3:$S$105,J50)</f>
        <v>0</v>
      </c>
      <c r="K51" s="1"/>
      <c r="L51" s="1"/>
      <c r="M51" s="1"/>
      <c r="N51" s="1"/>
      <c r="O51" s="1"/>
      <c r="P51" s="1"/>
      <c r="Q51" s="1"/>
      <c r="R51" s="1"/>
      <c r="S51" s="1"/>
      <c r="T51" s="1"/>
      <c r="U51" s="1"/>
      <c r="V51" s="1"/>
      <c r="W51" s="1"/>
      <c r="X51" s="1"/>
      <c r="Y51" s="1"/>
      <c r="Z51" s="1"/>
      <c r="AA51" s="1"/>
      <c r="AB51" s="1"/>
      <c r="AC51" s="1"/>
    </row>
    <row r="52" spans="1:29" ht="14" x14ac:dyDescent="0.15">
      <c r="A52" s="1" t="s">
        <v>882</v>
      </c>
      <c r="B52" s="1" t="s">
        <v>329</v>
      </c>
      <c r="C52" s="1">
        <f>COUNTIF('Guidelines - Data'!$T$3:$T$105,C50)</f>
        <v>6</v>
      </c>
      <c r="D52" s="1">
        <f>COUNTIF('Guidelines - Data'!$T$3:$T$105,D50)</f>
        <v>29</v>
      </c>
      <c r="E52" s="23">
        <f t="shared" si="0"/>
        <v>35</v>
      </c>
      <c r="F52" s="1">
        <f>COUNTIF('Guidelines - Data'!$T$3:$T$105,F50)</f>
        <v>19</v>
      </c>
      <c r="G52" s="1">
        <f>COUNTIF('Guidelines - Data'!$T$3:$T$105,G50)</f>
        <v>29</v>
      </c>
      <c r="H52" s="1">
        <f>COUNTIF('Guidelines - Data'!$T$3:$T$105,H50)</f>
        <v>20</v>
      </c>
      <c r="I52" s="24">
        <f t="shared" si="1"/>
        <v>49</v>
      </c>
      <c r="J52" s="1">
        <f>COUNTIF('Guidelines - Data'!$T$3:$T$105,J50)</f>
        <v>0</v>
      </c>
      <c r="K52" s="1"/>
      <c r="L52" s="1"/>
      <c r="M52" s="1"/>
      <c r="N52" s="1"/>
      <c r="O52" s="1"/>
      <c r="P52" s="1"/>
      <c r="Q52" s="1"/>
      <c r="R52" s="1"/>
      <c r="S52" s="1"/>
      <c r="T52" s="1"/>
      <c r="U52" s="1"/>
      <c r="V52" s="1"/>
      <c r="W52" s="1"/>
      <c r="X52" s="1"/>
      <c r="Y52" s="1"/>
      <c r="Z52" s="1"/>
      <c r="AA52" s="1"/>
      <c r="AB52" s="1"/>
      <c r="AC52" s="1"/>
    </row>
    <row r="53" spans="1:29" ht="14" x14ac:dyDescent="0.15">
      <c r="A53" s="1" t="s">
        <v>883</v>
      </c>
      <c r="B53" s="1" t="s">
        <v>330</v>
      </c>
      <c r="C53" s="1">
        <f>COUNTIF('Guidelines - Data'!$U$3:$U$105,C50)</f>
        <v>4</v>
      </c>
      <c r="D53" s="1">
        <f>COUNTIF('Guidelines - Data'!$U$3:$U$105,D50)</f>
        <v>22</v>
      </c>
      <c r="E53" s="23">
        <f t="shared" si="0"/>
        <v>26</v>
      </c>
      <c r="F53" s="1">
        <f>COUNTIF('Guidelines - Data'!$U$3:$U$105,F50)</f>
        <v>19</v>
      </c>
      <c r="G53" s="1">
        <f>COUNTIF('Guidelines - Data'!$U$3:$U$105,G50)</f>
        <v>38</v>
      </c>
      <c r="H53" s="1">
        <f>COUNTIF('Guidelines - Data'!$U$3:$U$105,H50)</f>
        <v>20</v>
      </c>
      <c r="I53" s="24">
        <f t="shared" si="1"/>
        <v>58</v>
      </c>
      <c r="J53" s="1">
        <f>COUNTIF('Guidelines - Data'!$U$3:$U$105,J50)</f>
        <v>0</v>
      </c>
      <c r="K53" s="1"/>
      <c r="L53" s="1"/>
      <c r="M53" s="1"/>
      <c r="N53" s="1"/>
      <c r="O53" s="1"/>
      <c r="P53" s="1"/>
      <c r="Q53" s="1"/>
      <c r="R53" s="1"/>
      <c r="S53" s="1"/>
      <c r="T53" s="1"/>
      <c r="U53" s="1"/>
      <c r="V53" s="1"/>
      <c r="W53" s="1"/>
      <c r="X53" s="1"/>
      <c r="Y53" s="1"/>
      <c r="Z53" s="1"/>
      <c r="AA53" s="1"/>
      <c r="AB53" s="1"/>
      <c r="AC53" s="1"/>
    </row>
    <row r="54" spans="1:29" ht="14" x14ac:dyDescent="0.15">
      <c r="A54" s="1" t="s">
        <v>884</v>
      </c>
      <c r="B54" s="1" t="s">
        <v>331</v>
      </c>
      <c r="C54" s="1">
        <f>COUNTIF('Guidelines - Data'!$V$3:$V$105,C50)</f>
        <v>6</v>
      </c>
      <c r="D54" s="1">
        <f>COUNTIF('Guidelines - Data'!$V$3:$V$105,D50)</f>
        <v>47</v>
      </c>
      <c r="E54" s="25">
        <f t="shared" si="0"/>
        <v>53</v>
      </c>
      <c r="F54" s="1">
        <f>COUNTIF('Guidelines - Data'!$V$3:$V$105,F50)</f>
        <v>16</v>
      </c>
      <c r="G54" s="1">
        <f>COUNTIF('Guidelines - Data'!$V$3:$V$105,G50)</f>
        <v>26</v>
      </c>
      <c r="H54" s="1">
        <f>COUNTIF('Guidelines - Data'!$V$3:$V$105,H50)</f>
        <v>8</v>
      </c>
      <c r="I54" s="23">
        <f t="shared" si="1"/>
        <v>34</v>
      </c>
      <c r="J54" s="1">
        <f>COUNTIF('Guidelines - Data'!$V$3:$V$105,J50)</f>
        <v>0</v>
      </c>
      <c r="K54" s="1"/>
      <c r="L54" s="1"/>
      <c r="M54" s="1"/>
      <c r="N54" s="1"/>
      <c r="O54" s="1"/>
      <c r="P54" s="1"/>
      <c r="Q54" s="1"/>
      <c r="R54" s="1"/>
      <c r="S54" s="1"/>
      <c r="T54" s="1"/>
      <c r="U54" s="1"/>
      <c r="V54" s="1"/>
      <c r="W54" s="1"/>
      <c r="X54" s="1"/>
      <c r="Y54" s="1"/>
      <c r="Z54" s="1"/>
      <c r="AA54" s="1"/>
      <c r="AB54" s="1"/>
      <c r="AC54" s="1"/>
    </row>
    <row r="55" spans="1:29" ht="14" x14ac:dyDescent="0.15">
      <c r="A55" s="1" t="s">
        <v>885</v>
      </c>
      <c r="B55" s="1" t="s">
        <v>332</v>
      </c>
      <c r="C55" s="1">
        <f>COUNTIF('Guidelines - Data'!$W$3:$W$105,C50)</f>
        <v>12</v>
      </c>
      <c r="D55" s="1">
        <f>COUNTIF('Guidelines - Data'!$W$3:$W$105,D50)</f>
        <v>49</v>
      </c>
      <c r="E55" s="25">
        <f t="shared" si="0"/>
        <v>61</v>
      </c>
      <c r="F55" s="1">
        <f>COUNTIF('Guidelines - Data'!$W$3:$W$105,F50)</f>
        <v>9</v>
      </c>
      <c r="G55" s="1">
        <f>COUNTIF('Guidelines - Data'!$W$3:$W$105,G50)</f>
        <v>18</v>
      </c>
      <c r="H55" s="1">
        <f>COUNTIF('Guidelines - Data'!$W$3:$W$105,H50)</f>
        <v>15</v>
      </c>
      <c r="I55" s="23">
        <f t="shared" si="1"/>
        <v>33</v>
      </c>
      <c r="J55" s="1">
        <f>COUNTIF('Guidelines - Data'!$W$3:$W$105,J50)</f>
        <v>0</v>
      </c>
      <c r="K55" s="1"/>
      <c r="L55" s="1"/>
      <c r="M55" s="1"/>
      <c r="N55" s="1"/>
      <c r="O55" s="1"/>
      <c r="P55" s="1"/>
      <c r="Q55" s="1"/>
      <c r="R55" s="1"/>
      <c r="S55" s="1"/>
      <c r="T55" s="1"/>
      <c r="U55" s="1"/>
      <c r="V55" s="1"/>
      <c r="W55" s="1"/>
      <c r="X55" s="1"/>
      <c r="Y55" s="1"/>
      <c r="Z55" s="1"/>
      <c r="AA55" s="1"/>
      <c r="AB55" s="1"/>
      <c r="AC55" s="1"/>
    </row>
    <row r="56" spans="1:29" ht="14" x14ac:dyDescent="0.15">
      <c r="A56" s="1" t="s">
        <v>886</v>
      </c>
      <c r="B56" s="1" t="s">
        <v>333</v>
      </c>
      <c r="C56" s="1">
        <f>COUNTIF('Guidelines - Data'!$X$3:$X$105,C50)</f>
        <v>8</v>
      </c>
      <c r="D56" s="1">
        <f>COUNTIF('Guidelines - Data'!$X$3:$X$105,D50)</f>
        <v>40</v>
      </c>
      <c r="E56" s="25">
        <f t="shared" si="0"/>
        <v>48</v>
      </c>
      <c r="F56" s="1">
        <f>COUNTIF('Guidelines - Data'!$X$3:$X$105,F50)</f>
        <v>18</v>
      </c>
      <c r="G56" s="1">
        <f>COUNTIF('Guidelines - Data'!$X$3:$X$105,G50)</f>
        <v>30</v>
      </c>
      <c r="H56" s="1">
        <f>COUNTIF('Guidelines - Data'!$X$3:$X$105,H50)</f>
        <v>7</v>
      </c>
      <c r="I56" s="23">
        <f t="shared" si="1"/>
        <v>37</v>
      </c>
      <c r="J56" s="1">
        <f>COUNTIF('Guidelines - Data'!$X$3:$X$105,J50)</f>
        <v>0</v>
      </c>
      <c r="K56" s="1"/>
      <c r="L56" s="1"/>
      <c r="M56" s="1"/>
      <c r="N56" s="1"/>
      <c r="O56" s="1"/>
      <c r="P56" s="1"/>
      <c r="Q56" s="1"/>
      <c r="R56" s="1"/>
      <c r="S56" s="1"/>
      <c r="T56" s="1"/>
      <c r="U56" s="1"/>
      <c r="V56" s="1"/>
      <c r="W56" s="1"/>
      <c r="X56" s="1"/>
      <c r="Y56" s="1"/>
      <c r="Z56" s="1"/>
      <c r="AA56" s="1"/>
      <c r="AB56" s="1"/>
      <c r="AC56" s="1"/>
    </row>
    <row r="57" spans="1:29" ht="14" x14ac:dyDescent="0.15">
      <c r="A57" s="1" t="s">
        <v>887</v>
      </c>
      <c r="B57" s="1" t="s">
        <v>334</v>
      </c>
      <c r="C57" s="1">
        <f>COUNTIF('Guidelines - Data'!$Y$3:$Y$105,C50)</f>
        <v>12</v>
      </c>
      <c r="D57" s="1">
        <f>COUNTIF('Guidelines - Data'!$Y$3:$Y$105,D50)</f>
        <v>37</v>
      </c>
      <c r="E57" s="25">
        <f t="shared" si="0"/>
        <v>49</v>
      </c>
      <c r="F57" s="1">
        <f>COUNTIF('Guidelines - Data'!$Y$3:$Y$105,F50)</f>
        <v>12</v>
      </c>
      <c r="G57" s="1">
        <f>COUNTIF('Guidelines - Data'!$Y$3:$Y$105,G50)</f>
        <v>28</v>
      </c>
      <c r="H57" s="1">
        <f>COUNTIF('Guidelines - Data'!$Y$3:$Y$105,H50)</f>
        <v>14</v>
      </c>
      <c r="I57" s="23">
        <f t="shared" si="1"/>
        <v>42</v>
      </c>
      <c r="J57" s="1">
        <f>COUNTIF('Guidelines - Data'!$Y$3:$Y$105,J50)</f>
        <v>0</v>
      </c>
      <c r="K57" s="1"/>
      <c r="L57" s="1"/>
      <c r="M57" s="1"/>
      <c r="N57" s="1"/>
      <c r="O57" s="1"/>
      <c r="P57" s="1"/>
      <c r="Q57" s="1"/>
      <c r="R57" s="1"/>
      <c r="S57" s="1"/>
      <c r="T57" s="1"/>
      <c r="U57" s="1"/>
      <c r="V57" s="1"/>
      <c r="W57" s="1"/>
      <c r="X57" s="1"/>
      <c r="Y57" s="1"/>
      <c r="Z57" s="1"/>
      <c r="AA57" s="1"/>
      <c r="AB57" s="1"/>
      <c r="AC57" s="1"/>
    </row>
    <row r="58" spans="1:29" ht="14" x14ac:dyDescent="0.15">
      <c r="A58" s="1" t="s">
        <v>888</v>
      </c>
      <c r="B58" s="1" t="s">
        <v>335</v>
      </c>
      <c r="C58" s="1">
        <f>COUNTIF('Guidelines - Data'!$Z$3:$Z$105,C50)</f>
        <v>11</v>
      </c>
      <c r="D58" s="1">
        <f>COUNTIF('Guidelines - Data'!$Z$3:$Z$105,D50)</f>
        <v>40</v>
      </c>
      <c r="E58" s="25">
        <f t="shared" si="0"/>
        <v>51</v>
      </c>
      <c r="F58" s="1">
        <f>COUNTIF('Guidelines - Data'!$Z$3:$Z$105,F50)</f>
        <v>19</v>
      </c>
      <c r="G58" s="1">
        <f>COUNTIF('Guidelines - Data'!$Z$3:$Z$105,G50)</f>
        <v>27</v>
      </c>
      <c r="H58" s="1">
        <f>COUNTIF('Guidelines - Data'!$Z$3:$Z$105,H50)</f>
        <v>6</v>
      </c>
      <c r="I58" s="23">
        <f t="shared" si="1"/>
        <v>33</v>
      </c>
      <c r="J58" s="1">
        <f>COUNTIF('Guidelines - Data'!$Z$3:$Z$105,J50)</f>
        <v>0</v>
      </c>
      <c r="K58" s="1"/>
      <c r="L58" s="1"/>
      <c r="M58" s="1"/>
      <c r="N58" s="1"/>
      <c r="O58" s="1"/>
      <c r="P58" s="1"/>
      <c r="Q58" s="1"/>
      <c r="R58" s="1"/>
      <c r="S58" s="1"/>
      <c r="T58" s="1"/>
      <c r="U58" s="1"/>
      <c r="V58" s="1"/>
      <c r="W58" s="1"/>
      <c r="X58" s="1"/>
      <c r="Y58" s="1"/>
      <c r="Z58" s="1"/>
      <c r="AA58" s="1"/>
      <c r="AB58" s="1"/>
      <c r="AC58" s="1"/>
    </row>
    <row r="59" spans="1:29" ht="14" x14ac:dyDescent="0.15">
      <c r="A59" s="1" t="s">
        <v>889</v>
      </c>
      <c r="B59" s="1" t="s">
        <v>336</v>
      </c>
      <c r="C59" s="1">
        <f>COUNTIF('Guidelines - Data'!$AA$3:$AA$105,C50)</f>
        <v>11</v>
      </c>
      <c r="D59" s="1">
        <f>COUNTIF('Guidelines - Data'!$AA$3:$AA$105,D50)</f>
        <v>48</v>
      </c>
      <c r="E59" s="25">
        <f t="shared" si="0"/>
        <v>59</v>
      </c>
      <c r="F59" s="1">
        <f>COUNTIF('Guidelines - Data'!$AA$3:$AA$105,F50)</f>
        <v>16</v>
      </c>
      <c r="G59" s="1">
        <f>COUNTIF('Guidelines - Data'!$AA$3:$AA$105,G50)</f>
        <v>19</v>
      </c>
      <c r="H59" s="1">
        <f>COUNTIF('Guidelines - Data'!$AA$3:$AA$105,H50)</f>
        <v>8</v>
      </c>
      <c r="I59" s="23">
        <f t="shared" si="1"/>
        <v>27</v>
      </c>
      <c r="J59" s="1">
        <f>COUNTIF('Guidelines - Data'!$AA$3:$AA$105,J50)</f>
        <v>1</v>
      </c>
      <c r="K59" s="1"/>
      <c r="L59" s="1"/>
      <c r="M59" s="1"/>
      <c r="N59" s="1"/>
      <c r="O59" s="1"/>
      <c r="P59" s="1"/>
      <c r="Q59" s="1"/>
      <c r="R59" s="1"/>
      <c r="S59" s="1"/>
      <c r="T59" s="1"/>
      <c r="U59" s="1"/>
      <c r="V59" s="1"/>
      <c r="W59" s="1"/>
      <c r="X59" s="1"/>
      <c r="Y59" s="1"/>
      <c r="Z59" s="1"/>
      <c r="AA59" s="1"/>
      <c r="AB59" s="1"/>
      <c r="AC59" s="1"/>
    </row>
    <row r="60" spans="1:29" ht="14" x14ac:dyDescent="0.15">
      <c r="A60" s="1" t="s">
        <v>890</v>
      </c>
      <c r="B60" s="1" t="s">
        <v>337</v>
      </c>
      <c r="C60" s="1">
        <f>COUNTIF('Guidelines - Data'!$AB$3:$AB$105,C50)</f>
        <v>17</v>
      </c>
      <c r="D60" s="1">
        <f>COUNTIF('Guidelines - Data'!$AB$3:$AB$105,D50)</f>
        <v>48</v>
      </c>
      <c r="E60" s="25">
        <f t="shared" si="0"/>
        <v>65</v>
      </c>
      <c r="F60" s="1">
        <f>COUNTIF('Guidelines - Data'!$AB$3:$AB$105,F50)</f>
        <v>9</v>
      </c>
      <c r="G60" s="1">
        <f>COUNTIF('Guidelines - Data'!$AB$3:$AB$105,G50)</f>
        <v>20</v>
      </c>
      <c r="H60" s="1">
        <f>COUNTIF('Guidelines - Data'!$AB$3:$AB$105,H50)</f>
        <v>8</v>
      </c>
      <c r="I60" s="23">
        <f t="shared" si="1"/>
        <v>28</v>
      </c>
      <c r="J60" s="1">
        <f>COUNTIF('Guidelines - Data'!$AB$3:$AB$105,J50)</f>
        <v>1</v>
      </c>
      <c r="K60" s="1"/>
      <c r="L60" s="1"/>
      <c r="M60" s="1"/>
      <c r="N60" s="1"/>
      <c r="O60" s="1"/>
      <c r="P60" s="1"/>
      <c r="Q60" s="1"/>
      <c r="R60" s="1"/>
      <c r="S60" s="1"/>
      <c r="T60" s="1"/>
      <c r="U60" s="1"/>
      <c r="V60" s="1"/>
      <c r="W60" s="1"/>
      <c r="X60" s="1"/>
      <c r="Y60" s="1"/>
      <c r="Z60" s="1"/>
      <c r="AA60" s="1"/>
      <c r="AB60" s="1"/>
      <c r="AC60" s="1"/>
    </row>
    <row r="61" spans="1:29" ht="14" x14ac:dyDescent="0.15">
      <c r="A61" s="1" t="s">
        <v>891</v>
      </c>
      <c r="B61" s="1" t="s">
        <v>338</v>
      </c>
      <c r="C61" s="1">
        <f>COUNTIF('Guidelines - Data'!$AC$3:$AC$105,C50)</f>
        <v>11</v>
      </c>
      <c r="D61" s="1">
        <f>COUNTIF('Guidelines - Data'!$AC$3:$AC$105,D50)</f>
        <v>23</v>
      </c>
      <c r="E61" s="23">
        <f t="shared" si="0"/>
        <v>34</v>
      </c>
      <c r="F61" s="1">
        <f>COUNTIF('Guidelines - Data'!$AC$3:$AC$105,F50)</f>
        <v>17</v>
      </c>
      <c r="G61" s="1">
        <f>COUNTIF('Guidelines - Data'!$AC$3:$AC$105,G50)</f>
        <v>23</v>
      </c>
      <c r="H61" s="1">
        <f>COUNTIF('Guidelines - Data'!$AC$3:$AC$105,H50)</f>
        <v>29</v>
      </c>
      <c r="I61" s="24">
        <f t="shared" si="1"/>
        <v>52</v>
      </c>
      <c r="J61" s="1">
        <f>COUNTIF('Guidelines - Data'!$AC$3:$AC$105,J50)</f>
        <v>0</v>
      </c>
      <c r="K61" s="1"/>
      <c r="L61" s="1"/>
      <c r="M61" s="1"/>
      <c r="N61" s="1"/>
      <c r="O61" s="1"/>
      <c r="P61" s="1"/>
      <c r="Q61" s="1"/>
      <c r="R61" s="1"/>
      <c r="S61" s="1"/>
      <c r="T61" s="1"/>
      <c r="U61" s="1"/>
      <c r="V61" s="1"/>
      <c r="W61" s="1"/>
      <c r="X61" s="1"/>
      <c r="Y61" s="1"/>
      <c r="Z61" s="1"/>
      <c r="AA61" s="1"/>
      <c r="AB61" s="1"/>
      <c r="AC61" s="1"/>
    </row>
    <row r="62" spans="1:29" ht="14" x14ac:dyDescent="0.15">
      <c r="A62" s="1" t="s">
        <v>892</v>
      </c>
      <c r="B62" s="1" t="s">
        <v>339</v>
      </c>
      <c r="C62" s="1">
        <f>COUNTIF('Guidelines - Data'!$AD$3:$AD$105,C50)</f>
        <v>10</v>
      </c>
      <c r="D62" s="1">
        <f>COUNTIF('Guidelines - Data'!$AD$3:$AD$105,D50)</f>
        <v>37</v>
      </c>
      <c r="E62" s="25">
        <f t="shared" si="0"/>
        <v>47</v>
      </c>
      <c r="F62" s="1">
        <f>COUNTIF('Guidelines - Data'!$AD$3:$AD$105,F50)</f>
        <v>10</v>
      </c>
      <c r="G62" s="1">
        <f>COUNTIF('Guidelines - Data'!$AD$3:$AD$105,G50)</f>
        <v>31</v>
      </c>
      <c r="H62" s="1">
        <f>COUNTIF('Guidelines - Data'!$AD$3:$AD$105,H50)</f>
        <v>15</v>
      </c>
      <c r="I62" s="23">
        <f t="shared" si="1"/>
        <v>46</v>
      </c>
      <c r="J62" s="1">
        <f>COUNTIF('Guidelines - Data'!$AD$3:$AD$105,J50)</f>
        <v>0</v>
      </c>
      <c r="K62" s="1"/>
      <c r="L62" s="1"/>
      <c r="M62" s="1"/>
      <c r="N62" s="1"/>
      <c r="O62" s="1"/>
      <c r="P62" s="1"/>
      <c r="Q62" s="1"/>
      <c r="R62" s="1"/>
      <c r="S62" s="1"/>
      <c r="T62" s="1"/>
      <c r="U62" s="1"/>
      <c r="V62" s="1"/>
      <c r="W62" s="1"/>
      <c r="X62" s="1"/>
      <c r="Y62" s="1"/>
      <c r="Z62" s="1"/>
      <c r="AA62" s="1"/>
      <c r="AB62" s="1"/>
      <c r="AC62" s="1"/>
    </row>
    <row r="63" spans="1:29" ht="14" x14ac:dyDescent="0.15">
      <c r="A63" s="1" t="s">
        <v>893</v>
      </c>
      <c r="B63" s="1" t="s">
        <v>340</v>
      </c>
      <c r="C63" s="1">
        <f>COUNTIF('Guidelines - Data'!$AE$3:$AE$105,C50)</f>
        <v>8</v>
      </c>
      <c r="D63" s="1">
        <f>COUNTIF('Guidelines - Data'!$AE$3:$AE$105,D50)</f>
        <v>37</v>
      </c>
      <c r="E63" s="25">
        <f t="shared" si="0"/>
        <v>45</v>
      </c>
      <c r="F63" s="1">
        <f>COUNTIF('Guidelines - Data'!$AE$3:$AE$105,F50)</f>
        <v>21</v>
      </c>
      <c r="G63" s="1">
        <f>COUNTIF('Guidelines - Data'!$AE$3:$AE$105,G50)</f>
        <v>24</v>
      </c>
      <c r="H63" s="1">
        <f>COUNTIF('Guidelines - Data'!$AE$3:$AE$105,H50)</f>
        <v>12</v>
      </c>
      <c r="I63" s="23">
        <f t="shared" si="1"/>
        <v>36</v>
      </c>
      <c r="J63" s="1">
        <f>COUNTIF('Guidelines - Data'!$AE$3:$AE$105,J50)</f>
        <v>1</v>
      </c>
      <c r="K63" s="1"/>
      <c r="L63" s="1"/>
      <c r="M63" s="1"/>
      <c r="N63" s="1"/>
      <c r="O63" s="1"/>
      <c r="P63" s="1"/>
      <c r="Q63" s="1"/>
      <c r="R63" s="1"/>
      <c r="S63" s="1"/>
      <c r="T63" s="1"/>
      <c r="U63" s="1"/>
      <c r="V63" s="1"/>
      <c r="W63" s="1"/>
      <c r="X63" s="1"/>
      <c r="Y63" s="1"/>
      <c r="Z63" s="1"/>
      <c r="AA63" s="1"/>
      <c r="AB63" s="1"/>
      <c r="AC63" s="1"/>
    </row>
    <row r="64" spans="1:29" ht="14" x14ac:dyDescent="0.15">
      <c r="A64" s="1" t="s">
        <v>894</v>
      </c>
      <c r="B64" s="1" t="s">
        <v>341</v>
      </c>
      <c r="C64" s="1">
        <f>COUNTIF('Guidelines - Data'!$AF$3:$AF$105,C50)</f>
        <v>3</v>
      </c>
      <c r="D64" s="1">
        <f>COUNTIF('Guidelines - Data'!$AF$3:$AF$105,D50)</f>
        <v>27</v>
      </c>
      <c r="E64" s="23">
        <f t="shared" si="0"/>
        <v>30</v>
      </c>
      <c r="F64" s="1">
        <f>COUNTIF('Guidelines - Data'!$AF$3:$AF$105,F50)</f>
        <v>21</v>
      </c>
      <c r="G64" s="1">
        <f>COUNTIF('Guidelines - Data'!$AF$3:$AF$105,G50)</f>
        <v>35</v>
      </c>
      <c r="H64" s="1">
        <f>COUNTIF('Guidelines - Data'!$AF$3:$AF$105,H50)</f>
        <v>16</v>
      </c>
      <c r="I64" s="24">
        <f t="shared" si="1"/>
        <v>51</v>
      </c>
      <c r="J64" s="1">
        <f>COUNTIF('Guidelines - Data'!$AF$3:$AF$105,J50)</f>
        <v>1</v>
      </c>
      <c r="K64" s="1"/>
      <c r="L64" s="1"/>
      <c r="M64" s="1"/>
      <c r="N64" s="1"/>
      <c r="O64" s="1"/>
      <c r="P64" s="1"/>
      <c r="Q64" s="1"/>
      <c r="R64" s="1"/>
      <c r="S64" s="1"/>
      <c r="T64" s="1"/>
      <c r="U64" s="1"/>
      <c r="V64" s="1"/>
      <c r="W64" s="1"/>
      <c r="X64" s="1"/>
      <c r="Y64" s="1"/>
      <c r="Z64" s="1"/>
      <c r="AA64" s="1"/>
      <c r="AB64" s="1"/>
      <c r="AC64" s="1"/>
    </row>
    <row r="65" spans="1:29" ht="14" x14ac:dyDescent="0.15">
      <c r="A65" s="1" t="s">
        <v>895</v>
      </c>
      <c r="B65" s="1" t="s">
        <v>342</v>
      </c>
      <c r="C65" s="1">
        <f>COUNTIF('Guidelines - Data'!$AG$3:$AG$105,C50)</f>
        <v>8</v>
      </c>
      <c r="D65" s="1">
        <f>COUNTIF('Guidelines - Data'!$AG$3:$AG$105,D50)</f>
        <v>42</v>
      </c>
      <c r="E65" s="25">
        <f t="shared" si="0"/>
        <v>50</v>
      </c>
      <c r="F65" s="1">
        <f>COUNTIF('Guidelines - Data'!$AG$3:$AG$105,F50)</f>
        <v>17</v>
      </c>
      <c r="G65" s="1">
        <f>COUNTIF('Guidelines - Data'!$AG$3:$AG$105,G50)</f>
        <v>24</v>
      </c>
      <c r="H65" s="1">
        <f>COUNTIF('Guidelines - Data'!$AG$3:$AG$105,H50)</f>
        <v>10</v>
      </c>
      <c r="I65" s="23">
        <f t="shared" si="1"/>
        <v>34</v>
      </c>
      <c r="J65" s="1">
        <f>COUNTIF('Guidelines - Data'!$AG$3:$AG$105,J50)</f>
        <v>2</v>
      </c>
      <c r="K65" s="1"/>
      <c r="L65" s="1"/>
      <c r="M65" s="1"/>
      <c r="N65" s="1"/>
      <c r="O65" s="1"/>
      <c r="P65" s="1"/>
      <c r="Q65" s="1"/>
      <c r="R65" s="1"/>
      <c r="S65" s="1"/>
      <c r="T65" s="1"/>
      <c r="U65" s="1"/>
      <c r="V65" s="1"/>
      <c r="W65" s="1"/>
      <c r="X65" s="1"/>
      <c r="Y65" s="1"/>
      <c r="Z65" s="1"/>
      <c r="AA65" s="1"/>
      <c r="AB65" s="1"/>
      <c r="AC65" s="1"/>
    </row>
    <row r="66" spans="1:29" ht="14" x14ac:dyDescent="0.15">
      <c r="A66" s="1" t="s">
        <v>896</v>
      </c>
      <c r="B66" s="1" t="s">
        <v>343</v>
      </c>
      <c r="C66" s="1">
        <f>COUNTIF('Guidelines - Data'!$AH$3:$AH$105,C50)</f>
        <v>9</v>
      </c>
      <c r="D66" s="1">
        <f>COUNTIF('Guidelines - Data'!$AH$3:$AH$105,D50)</f>
        <v>35</v>
      </c>
      <c r="E66" s="25">
        <f t="shared" si="0"/>
        <v>44</v>
      </c>
      <c r="F66" s="1">
        <f>COUNTIF('Guidelines - Data'!$AH$3:$AH$105,F50)</f>
        <v>18</v>
      </c>
      <c r="G66" s="1">
        <f>COUNTIF('Guidelines - Data'!$AH$3:$AH$105,G50)</f>
        <v>23</v>
      </c>
      <c r="H66" s="1">
        <f>COUNTIF('Guidelines - Data'!$AH$3:$AH$105,H50)</f>
        <v>15</v>
      </c>
      <c r="I66" s="23">
        <f t="shared" si="1"/>
        <v>38</v>
      </c>
      <c r="J66" s="1">
        <f>COUNTIF('Guidelines - Data'!$AH$3:$AH$105,J50)</f>
        <v>3</v>
      </c>
      <c r="K66" s="1"/>
      <c r="L66" s="1"/>
      <c r="M66" s="1"/>
      <c r="N66" s="1"/>
      <c r="O66" s="1"/>
      <c r="P66" s="1"/>
      <c r="Q66" s="1"/>
      <c r="R66" s="1"/>
      <c r="S66" s="1"/>
      <c r="T66" s="1"/>
      <c r="U66" s="1"/>
      <c r="V66" s="1"/>
      <c r="W66" s="1"/>
      <c r="X66" s="1"/>
      <c r="Y66" s="1"/>
      <c r="Z66" s="1"/>
      <c r="AA66" s="1"/>
      <c r="AB66" s="1"/>
      <c r="AC66" s="1"/>
    </row>
    <row r="67" spans="1:29" ht="14" x14ac:dyDescent="0.15">
      <c r="A67" s="1" t="s">
        <v>897</v>
      </c>
      <c r="B67" s="1" t="s">
        <v>344</v>
      </c>
      <c r="C67" s="1">
        <f>COUNTIF('Guidelines - Data'!$AI$3:$AI$105,C50)</f>
        <v>6</v>
      </c>
      <c r="D67" s="1">
        <f>COUNTIF('Guidelines - Data'!$AI$3:$AI$105,D50)</f>
        <v>20</v>
      </c>
      <c r="E67" s="23">
        <f t="shared" si="0"/>
        <v>26</v>
      </c>
      <c r="F67" s="1">
        <f>COUNTIF('Guidelines - Data'!$AI$3:$AI$105,F50)</f>
        <v>16</v>
      </c>
      <c r="G67" s="1">
        <f>COUNTIF('Guidelines - Data'!$AI$3:$AI$105,G50)</f>
        <v>45</v>
      </c>
      <c r="H67" s="1">
        <f>COUNTIF('Guidelines - Data'!$AI$3:$AI$105,H50)</f>
        <v>13</v>
      </c>
      <c r="I67" s="24">
        <f t="shared" si="1"/>
        <v>58</v>
      </c>
      <c r="J67" s="1">
        <f>COUNTIF('Guidelines - Data'!$AI$3:$AI$105,J50)</f>
        <v>3</v>
      </c>
      <c r="K67" s="1"/>
      <c r="L67" s="1"/>
      <c r="M67" s="1"/>
      <c r="N67" s="1"/>
      <c r="O67" s="1"/>
      <c r="P67" s="1"/>
      <c r="Q67" s="1"/>
      <c r="R67" s="1"/>
      <c r="S67" s="1"/>
      <c r="T67" s="1"/>
      <c r="U67" s="1"/>
      <c r="V67" s="1"/>
      <c r="W67" s="1"/>
      <c r="X67" s="1"/>
      <c r="Y67" s="1"/>
      <c r="Z67" s="1"/>
      <c r="AA67" s="1"/>
      <c r="AB67" s="1"/>
      <c r="AC67" s="1"/>
    </row>
    <row r="68" spans="1:29" ht="14" x14ac:dyDescent="0.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4" x14ac:dyDescent="0.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4" x14ac:dyDescent="0.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4" x14ac:dyDescent="0.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4" x14ac:dyDescent="0.15">
      <c r="A72" s="26"/>
      <c r="B72" s="59" t="s">
        <v>901</v>
      </c>
      <c r="C72" s="51"/>
      <c r="D72" s="51"/>
      <c r="E72" s="51"/>
      <c r="F72" s="51"/>
      <c r="G72" s="51"/>
      <c r="H72" s="51"/>
      <c r="I72" s="1"/>
      <c r="J72" s="1"/>
      <c r="K72" s="1"/>
      <c r="L72" s="1"/>
      <c r="M72" s="1"/>
      <c r="N72" s="1"/>
      <c r="O72" s="1"/>
      <c r="P72" s="1"/>
      <c r="Q72" s="1"/>
      <c r="R72" s="1"/>
      <c r="S72" s="1"/>
      <c r="T72" s="1"/>
      <c r="U72" s="1"/>
      <c r="V72" s="1"/>
      <c r="W72" s="1"/>
      <c r="X72" s="1"/>
      <c r="Y72" s="1"/>
      <c r="Z72" s="1"/>
      <c r="AA72" s="1"/>
      <c r="AB72" s="1"/>
      <c r="AC72" s="1"/>
    </row>
    <row r="73" spans="1:29" ht="48" x14ac:dyDescent="0.15">
      <c r="A73" s="1"/>
      <c r="B73" s="1"/>
      <c r="C73" s="14" t="s">
        <v>357</v>
      </c>
      <c r="D73" s="14" t="s">
        <v>358</v>
      </c>
      <c r="E73" s="14" t="s">
        <v>356</v>
      </c>
      <c r="F73" s="14" t="s">
        <v>367</v>
      </c>
      <c r="G73" s="14" t="s">
        <v>366</v>
      </c>
      <c r="H73" s="14" t="s">
        <v>401</v>
      </c>
      <c r="I73" s="1"/>
      <c r="J73" s="1"/>
      <c r="K73" s="1"/>
      <c r="L73" s="1"/>
      <c r="M73" s="1"/>
      <c r="N73" s="1"/>
      <c r="O73" s="1"/>
      <c r="P73" s="1"/>
      <c r="Q73" s="1"/>
      <c r="R73" s="1"/>
      <c r="S73" s="1"/>
      <c r="T73" s="1"/>
      <c r="U73" s="1"/>
      <c r="V73" s="1"/>
      <c r="W73" s="1"/>
      <c r="X73" s="1"/>
      <c r="Y73" s="1"/>
      <c r="Z73" s="1"/>
      <c r="AA73" s="1"/>
      <c r="AB73" s="1"/>
      <c r="AC73" s="1"/>
    </row>
    <row r="74" spans="1:29" ht="14" x14ac:dyDescent="0.15">
      <c r="A74" s="1" t="s">
        <v>881</v>
      </c>
      <c r="B74" s="1" t="s">
        <v>328</v>
      </c>
      <c r="C74" s="1">
        <f>COUNTIF('Guidelines - Data'!$AK$3:$AK$105,C73)</f>
        <v>34</v>
      </c>
      <c r="D74" s="1">
        <f>COUNTIF('Guidelines - Data'!$AK$3:$AK$105,D73)</f>
        <v>28</v>
      </c>
      <c r="E74" s="1">
        <f>COUNTIF('Guidelines - Data'!$AK$3:$AK$105,E73)</f>
        <v>27</v>
      </c>
      <c r="F74" s="1">
        <f>COUNTIF('Guidelines - Data'!$AK$3:$AK$105,F73)</f>
        <v>10</v>
      </c>
      <c r="G74" s="1">
        <f>COUNTIF('Guidelines - Data'!$AK$3:$AK$105,G73)</f>
        <v>3</v>
      </c>
      <c r="H74" s="1">
        <f>COUNTIF('Guidelines - Data'!$AK$3:$AK$105,H73)</f>
        <v>1</v>
      </c>
      <c r="I74" s="1"/>
      <c r="J74" s="1"/>
      <c r="K74" s="1"/>
      <c r="L74" s="1"/>
      <c r="M74" s="1"/>
      <c r="N74" s="1"/>
      <c r="O74" s="1"/>
      <c r="P74" s="1"/>
      <c r="Q74" s="1"/>
      <c r="R74" s="1"/>
      <c r="S74" s="1"/>
      <c r="T74" s="1"/>
      <c r="U74" s="1"/>
      <c r="V74" s="1"/>
      <c r="W74" s="1"/>
      <c r="X74" s="1"/>
      <c r="Y74" s="1"/>
      <c r="Z74" s="1"/>
      <c r="AA74" s="1"/>
      <c r="AB74" s="1"/>
      <c r="AC74" s="1"/>
    </row>
    <row r="75" spans="1:29" ht="14" x14ac:dyDescent="0.15">
      <c r="A75" s="1" t="s">
        <v>882</v>
      </c>
      <c r="B75" s="1" t="s">
        <v>329</v>
      </c>
      <c r="C75" s="1">
        <f>COUNTIF('Guidelines - Data'!$AL$3:$AL$105,C73)</f>
        <v>42</v>
      </c>
      <c r="D75" s="1">
        <f>COUNTIF('Guidelines - Data'!$AL$3:$AL$105,D73)</f>
        <v>27</v>
      </c>
      <c r="E75" s="1">
        <f>COUNTIF('Guidelines - Data'!$AL$3:$AL$105,E73)</f>
        <v>21</v>
      </c>
      <c r="F75" s="1">
        <f>COUNTIF('Guidelines - Data'!$AL$3:$AL$105,F73)</f>
        <v>12</v>
      </c>
      <c r="G75" s="1">
        <f>COUNTIF('Guidelines - Data'!$AL$3:$AL$105,G73)</f>
        <v>1</v>
      </c>
      <c r="H75" s="1">
        <f>COUNTIF('Guidelines - Data'!$AL$3:$AL$105,H73)</f>
        <v>0</v>
      </c>
      <c r="I75" s="1"/>
      <c r="J75" s="1"/>
      <c r="K75" s="1"/>
      <c r="L75" s="1"/>
      <c r="M75" s="1"/>
      <c r="N75" s="1"/>
      <c r="O75" s="1"/>
      <c r="P75" s="1"/>
      <c r="Q75" s="1"/>
      <c r="R75" s="1"/>
      <c r="S75" s="1"/>
      <c r="T75" s="1"/>
      <c r="U75" s="1"/>
      <c r="V75" s="1"/>
      <c r="W75" s="1"/>
      <c r="X75" s="1"/>
      <c r="Y75" s="1"/>
      <c r="Z75" s="1"/>
      <c r="AA75" s="1"/>
      <c r="AB75" s="1"/>
      <c r="AC75" s="1"/>
    </row>
    <row r="76" spans="1:29" ht="14" x14ac:dyDescent="0.15">
      <c r="A76" s="1" t="s">
        <v>883</v>
      </c>
      <c r="B76" s="1" t="s">
        <v>330</v>
      </c>
      <c r="C76" s="1">
        <f>COUNTIF('Guidelines - Data'!$AM$3:$AM$105,C73)</f>
        <v>23</v>
      </c>
      <c r="D76" s="1">
        <f>COUNTIF('Guidelines - Data'!$AM$3:$AM$105,D73)</f>
        <v>34</v>
      </c>
      <c r="E76" s="1">
        <f>COUNTIF('Guidelines - Data'!$AM$3:$AM$105,E73)</f>
        <v>28</v>
      </c>
      <c r="F76" s="1">
        <f>COUNTIF('Guidelines - Data'!$AM$3:$AM$105,F73)</f>
        <v>11</v>
      </c>
      <c r="G76" s="1">
        <f>COUNTIF('Guidelines - Data'!$AM$3:$AM$105,G73)</f>
        <v>5</v>
      </c>
      <c r="H76" s="1">
        <f>COUNTIF('Guidelines - Data'!$AM$3:$AM$105,H73)</f>
        <v>2</v>
      </c>
      <c r="I76" s="1"/>
      <c r="J76" s="1"/>
      <c r="K76" s="1"/>
      <c r="L76" s="1"/>
      <c r="M76" s="1"/>
      <c r="N76" s="1"/>
      <c r="O76" s="1"/>
      <c r="P76" s="1"/>
      <c r="Q76" s="1"/>
      <c r="R76" s="1"/>
      <c r="S76" s="1"/>
      <c r="T76" s="1"/>
      <c r="U76" s="1"/>
      <c r="V76" s="1"/>
      <c r="W76" s="1"/>
      <c r="X76" s="1"/>
      <c r="Y76" s="1"/>
      <c r="Z76" s="1"/>
      <c r="AA76" s="1"/>
      <c r="AB76" s="1"/>
      <c r="AC76" s="1"/>
    </row>
    <row r="77" spans="1:29" ht="14" x14ac:dyDescent="0.15">
      <c r="A77" s="1" t="s">
        <v>884</v>
      </c>
      <c r="B77" s="1" t="s">
        <v>331</v>
      </c>
      <c r="C77" s="1">
        <f>COUNTIF('Guidelines - Data'!$AN$3:$AN$105,C73)</f>
        <v>43</v>
      </c>
      <c r="D77" s="1">
        <f>COUNTIF('Guidelines - Data'!$AN$3:$AN$105,D73)</f>
        <v>28</v>
      </c>
      <c r="E77" s="1">
        <f>COUNTIF('Guidelines - Data'!$AN$3:$AN$105,E73)</f>
        <v>23</v>
      </c>
      <c r="F77" s="1">
        <f>COUNTIF('Guidelines - Data'!$AN$3:$AN$105,F73)</f>
        <v>7</v>
      </c>
      <c r="G77" s="1">
        <f>COUNTIF('Guidelines - Data'!$AN$3:$AN$105,G73)</f>
        <v>2</v>
      </c>
      <c r="H77" s="1">
        <f>COUNTIF('Guidelines - Data'!$AN$3:$AN$105,H73)</f>
        <v>0</v>
      </c>
      <c r="I77" s="1"/>
      <c r="J77" s="1"/>
      <c r="K77" s="1"/>
      <c r="L77" s="1"/>
      <c r="M77" s="1"/>
      <c r="N77" s="1"/>
      <c r="O77" s="1"/>
      <c r="P77" s="1"/>
      <c r="Q77" s="1"/>
      <c r="R77" s="1"/>
      <c r="S77" s="1"/>
      <c r="T77" s="1"/>
      <c r="U77" s="1"/>
      <c r="V77" s="1"/>
      <c r="W77" s="1"/>
      <c r="X77" s="1"/>
      <c r="Y77" s="1"/>
      <c r="Z77" s="1"/>
      <c r="AA77" s="1"/>
      <c r="AB77" s="1"/>
      <c r="AC77" s="1"/>
    </row>
    <row r="78" spans="1:29" ht="14" x14ac:dyDescent="0.15">
      <c r="A78" s="1" t="s">
        <v>885</v>
      </c>
      <c r="B78" s="1" t="s">
        <v>332</v>
      </c>
      <c r="C78" s="1">
        <f>COUNTIF('Guidelines - Data'!$AO$3:$AO$105,C73)</f>
        <v>46</v>
      </c>
      <c r="D78" s="1">
        <f>COUNTIF('Guidelines - Data'!$AO$3:$AO$105,D73)</f>
        <v>29</v>
      </c>
      <c r="E78" s="1">
        <f>COUNTIF('Guidelines - Data'!$AO$3:$AO$105,E73)</f>
        <v>16</v>
      </c>
      <c r="F78" s="1">
        <f>COUNTIF('Guidelines - Data'!$AO$3:$AO$105,F73)</f>
        <v>10</v>
      </c>
      <c r="G78" s="1">
        <f>COUNTIF('Guidelines - Data'!$AO$3:$AO$105,G73)</f>
        <v>1</v>
      </c>
      <c r="H78" s="1">
        <f>COUNTIF('Guidelines - Data'!$AO$3:$AO$105,H73)</f>
        <v>1</v>
      </c>
      <c r="I78" s="1"/>
      <c r="J78" s="1"/>
      <c r="K78" s="1"/>
      <c r="L78" s="1"/>
      <c r="M78" s="1"/>
      <c r="N78" s="1"/>
      <c r="O78" s="1"/>
      <c r="P78" s="1"/>
      <c r="Q78" s="1"/>
      <c r="R78" s="1"/>
      <c r="S78" s="1"/>
      <c r="T78" s="1"/>
      <c r="U78" s="1"/>
      <c r="V78" s="1"/>
      <c r="W78" s="1"/>
      <c r="X78" s="1"/>
      <c r="Y78" s="1"/>
      <c r="Z78" s="1"/>
      <c r="AA78" s="1"/>
      <c r="AB78" s="1"/>
      <c r="AC78" s="1"/>
    </row>
    <row r="79" spans="1:29" ht="14" x14ac:dyDescent="0.15">
      <c r="A79" s="1" t="s">
        <v>886</v>
      </c>
      <c r="B79" s="1" t="s">
        <v>333</v>
      </c>
      <c r="C79" s="1">
        <f>COUNTIF('Guidelines - Data'!$AP$3:$AP$105,C73)</f>
        <v>20</v>
      </c>
      <c r="D79" s="1">
        <f>COUNTIF('Guidelines - Data'!$AP$3:$AP$105,D73)</f>
        <v>38</v>
      </c>
      <c r="E79" s="1">
        <f>COUNTIF('Guidelines - Data'!$AP$3:$AP$105,E73)</f>
        <v>20</v>
      </c>
      <c r="F79" s="1">
        <f>COUNTIF('Guidelines - Data'!$AP$3:$AP$105,F73)</f>
        <v>21</v>
      </c>
      <c r="G79" s="1">
        <f>COUNTIF('Guidelines - Data'!$AP$3:$AP$105,G73)</f>
        <v>2</v>
      </c>
      <c r="H79" s="1">
        <f>COUNTIF('Guidelines - Data'!$AP$3:$AP$105,H73)</f>
        <v>2</v>
      </c>
      <c r="I79" s="1"/>
      <c r="J79" s="1"/>
      <c r="K79" s="1"/>
      <c r="L79" s="1"/>
      <c r="M79" s="1"/>
      <c r="N79" s="1"/>
      <c r="O79" s="1"/>
      <c r="P79" s="1"/>
      <c r="Q79" s="1"/>
      <c r="R79" s="1"/>
      <c r="S79" s="1"/>
      <c r="T79" s="1"/>
      <c r="U79" s="1"/>
      <c r="V79" s="1"/>
      <c r="W79" s="1"/>
      <c r="X79" s="1"/>
      <c r="Y79" s="1"/>
      <c r="Z79" s="1"/>
      <c r="AA79" s="1"/>
      <c r="AB79" s="1"/>
      <c r="AC79" s="1"/>
    </row>
    <row r="80" spans="1:29" ht="14" x14ac:dyDescent="0.15">
      <c r="A80" s="1" t="s">
        <v>887</v>
      </c>
      <c r="B80" s="1" t="s">
        <v>334</v>
      </c>
      <c r="C80" s="1">
        <f>COUNTIF('Guidelines - Data'!$AQ$3:$AQ$105,C73)</f>
        <v>54</v>
      </c>
      <c r="D80" s="1">
        <f>COUNTIF('Guidelines - Data'!$AQ$3:$AQ$105,D73)</f>
        <v>32</v>
      </c>
      <c r="E80" s="1">
        <f>COUNTIF('Guidelines - Data'!$AQ$3:$AQ$105,E73)</f>
        <v>10</v>
      </c>
      <c r="F80" s="1">
        <f>COUNTIF('Guidelines - Data'!$AQ$3:$AQ$105,F73)</f>
        <v>7</v>
      </c>
      <c r="G80" s="1">
        <f>COUNTIF('Guidelines - Data'!$AQ$3:$AQ$105,G73)</f>
        <v>0</v>
      </c>
      <c r="H80" s="1">
        <f>COUNTIF('Guidelines - Data'!$AQ$3:$AQ$105,H73)</f>
        <v>0</v>
      </c>
      <c r="I80" s="1"/>
      <c r="J80" s="1"/>
      <c r="K80" s="1"/>
      <c r="L80" s="1"/>
      <c r="M80" s="1"/>
      <c r="N80" s="1"/>
      <c r="O80" s="1"/>
      <c r="P80" s="1"/>
      <c r="Q80" s="1"/>
      <c r="R80" s="1"/>
      <c r="S80" s="1"/>
      <c r="T80" s="1"/>
      <c r="U80" s="1"/>
      <c r="V80" s="1"/>
      <c r="W80" s="1"/>
      <c r="X80" s="1"/>
      <c r="Y80" s="1"/>
      <c r="Z80" s="1"/>
      <c r="AA80" s="1"/>
      <c r="AB80" s="1"/>
      <c r="AC80" s="1"/>
    </row>
    <row r="81" spans="1:29" ht="14" x14ac:dyDescent="0.15">
      <c r="A81" s="1" t="s">
        <v>888</v>
      </c>
      <c r="B81" s="1" t="s">
        <v>335</v>
      </c>
      <c r="C81" s="1">
        <f>COUNTIF('Guidelines - Data'!$AR$3:$AR$105,C73)</f>
        <v>21</v>
      </c>
      <c r="D81" s="1">
        <f>COUNTIF('Guidelines - Data'!$AR$3:$AR$105,D73)</f>
        <v>29</v>
      </c>
      <c r="E81" s="1">
        <f>COUNTIF('Guidelines - Data'!$AR$3:$AR$105,E73)</f>
        <v>19</v>
      </c>
      <c r="F81" s="1">
        <f>COUNTIF('Guidelines - Data'!$AR$3:$AR$105,F73)</f>
        <v>24</v>
      </c>
      <c r="G81" s="1">
        <f>COUNTIF('Guidelines - Data'!$AR$3:$AR$105,G73)</f>
        <v>9</v>
      </c>
      <c r="H81" s="1">
        <f>COUNTIF('Guidelines - Data'!$AR$3:$AR$105,H73)</f>
        <v>1</v>
      </c>
      <c r="I81" s="1"/>
      <c r="J81" s="1"/>
      <c r="K81" s="1"/>
      <c r="L81" s="1"/>
      <c r="M81" s="1"/>
      <c r="N81" s="1"/>
      <c r="O81" s="1"/>
      <c r="P81" s="1"/>
      <c r="Q81" s="1"/>
      <c r="R81" s="1"/>
      <c r="S81" s="1"/>
      <c r="T81" s="1"/>
      <c r="U81" s="1"/>
      <c r="V81" s="1"/>
      <c r="W81" s="1"/>
      <c r="X81" s="1"/>
      <c r="Y81" s="1"/>
      <c r="Z81" s="1"/>
      <c r="AA81" s="1"/>
      <c r="AB81" s="1"/>
      <c r="AC81" s="1"/>
    </row>
    <row r="82" spans="1:29" ht="14" x14ac:dyDescent="0.15">
      <c r="A82" s="1" t="s">
        <v>889</v>
      </c>
      <c r="B82" s="1" t="s">
        <v>336</v>
      </c>
      <c r="C82" s="1">
        <f>COUNTIF('Guidelines - Data'!$AS$3:$AS$105,C73)</f>
        <v>31</v>
      </c>
      <c r="D82" s="1">
        <f>COUNTIF('Guidelines - Data'!$AS$3:$AS$105,D73)</f>
        <v>31</v>
      </c>
      <c r="E82" s="1">
        <f>COUNTIF('Guidelines - Data'!$AS$3:$AS$105,E73)</f>
        <v>23</v>
      </c>
      <c r="F82" s="1">
        <f>COUNTIF('Guidelines - Data'!$AS$3:$AS$105,F73)</f>
        <v>12</v>
      </c>
      <c r="G82" s="1">
        <f>COUNTIF('Guidelines - Data'!$AS$3:$AS$105,G73)</f>
        <v>5</v>
      </c>
      <c r="H82" s="1">
        <f>COUNTIF('Guidelines - Data'!$AS$3:$AS$105,H73)</f>
        <v>1</v>
      </c>
      <c r="I82" s="1"/>
      <c r="J82" s="1"/>
      <c r="K82" s="1"/>
      <c r="L82" s="1"/>
      <c r="M82" s="1"/>
      <c r="N82" s="1"/>
      <c r="O82" s="1"/>
      <c r="P82" s="1"/>
      <c r="Q82" s="1"/>
      <c r="R82" s="1"/>
      <c r="S82" s="1"/>
      <c r="T82" s="1"/>
      <c r="U82" s="1"/>
      <c r="V82" s="1"/>
      <c r="W82" s="1"/>
      <c r="X82" s="1"/>
      <c r="Y82" s="1"/>
      <c r="Z82" s="1"/>
      <c r="AA82" s="1"/>
      <c r="AB82" s="1"/>
      <c r="AC82" s="1"/>
    </row>
    <row r="83" spans="1:29" ht="14" x14ac:dyDescent="0.15">
      <c r="A83" s="1" t="s">
        <v>890</v>
      </c>
      <c r="B83" s="1" t="s">
        <v>337</v>
      </c>
      <c r="C83" s="1">
        <f>COUNTIF('Guidelines - Data'!$AT$3:$AT$105,C73)</f>
        <v>44</v>
      </c>
      <c r="D83" s="1">
        <f>COUNTIF('Guidelines - Data'!$AT$3:$AT$105,D73)</f>
        <v>35</v>
      </c>
      <c r="E83" s="1">
        <f>COUNTIF('Guidelines - Data'!$AT$3:$AT$105,E73)</f>
        <v>13</v>
      </c>
      <c r="F83" s="1">
        <f>COUNTIF('Guidelines - Data'!$AT$3:$AT$105,F73)</f>
        <v>6</v>
      </c>
      <c r="G83" s="1">
        <f>COUNTIF('Guidelines - Data'!$AT$3:$AT$105,G73)</f>
        <v>4</v>
      </c>
      <c r="H83" s="1">
        <f>COUNTIF('Guidelines - Data'!$AT$3:$AT$105,H73)</f>
        <v>1</v>
      </c>
      <c r="I83" s="1"/>
      <c r="J83" s="1"/>
      <c r="K83" s="1"/>
      <c r="L83" s="1"/>
      <c r="M83" s="1"/>
      <c r="N83" s="1"/>
      <c r="O83" s="1"/>
      <c r="P83" s="1"/>
      <c r="Q83" s="1"/>
      <c r="R83" s="1"/>
      <c r="S83" s="1"/>
      <c r="T83" s="1"/>
      <c r="U83" s="1"/>
      <c r="V83" s="1"/>
      <c r="W83" s="1"/>
      <c r="X83" s="1"/>
      <c r="Y83" s="1"/>
      <c r="Z83" s="1"/>
      <c r="AA83" s="1"/>
      <c r="AB83" s="1"/>
      <c r="AC83" s="1"/>
    </row>
    <row r="84" spans="1:29" ht="14" x14ac:dyDescent="0.15">
      <c r="A84" s="1" t="s">
        <v>891</v>
      </c>
      <c r="B84" s="1" t="s">
        <v>338</v>
      </c>
      <c r="C84" s="1">
        <f>COUNTIF('Guidelines - Data'!$AU$3:$AU$105,C73)</f>
        <v>41</v>
      </c>
      <c r="D84" s="1">
        <f>COUNTIF('Guidelines - Data'!$AU$3:$AU$105,D73)</f>
        <v>39</v>
      </c>
      <c r="E84" s="1">
        <f>COUNTIF('Guidelines - Data'!$AU$3:$AU$105,E73)</f>
        <v>9</v>
      </c>
      <c r="F84" s="1">
        <f>COUNTIF('Guidelines - Data'!$AU$3:$AU$105,F73)</f>
        <v>10</v>
      </c>
      <c r="G84" s="1">
        <f>COUNTIF('Guidelines - Data'!$AU$3:$AU$105,G73)</f>
        <v>4</v>
      </c>
      <c r="H84" s="1">
        <f>COUNTIF('Guidelines - Data'!$AU$3:$AU$105,H73)</f>
        <v>0</v>
      </c>
      <c r="I84" s="1"/>
      <c r="J84" s="1"/>
      <c r="K84" s="1"/>
      <c r="L84" s="1"/>
      <c r="M84" s="1"/>
      <c r="N84" s="1"/>
      <c r="O84" s="1"/>
      <c r="P84" s="1"/>
      <c r="Q84" s="1"/>
      <c r="R84" s="1"/>
      <c r="S84" s="1"/>
      <c r="T84" s="1"/>
      <c r="U84" s="1"/>
      <c r="V84" s="1"/>
      <c r="W84" s="1"/>
      <c r="X84" s="1"/>
      <c r="Y84" s="1"/>
      <c r="Z84" s="1"/>
      <c r="AA84" s="1"/>
      <c r="AB84" s="1"/>
      <c r="AC84" s="1"/>
    </row>
    <row r="85" spans="1:29" ht="14" x14ac:dyDescent="0.15">
      <c r="A85" s="1" t="s">
        <v>892</v>
      </c>
      <c r="B85" s="1" t="s">
        <v>339</v>
      </c>
      <c r="C85" s="1">
        <f>COUNTIF('Guidelines - Data'!$AV$3:$AV$105,C73)</f>
        <v>36</v>
      </c>
      <c r="D85" s="1">
        <f>COUNTIF('Guidelines - Data'!$AV$3:$AV$105,D73)</f>
        <v>31</v>
      </c>
      <c r="E85" s="1">
        <f>COUNTIF('Guidelines - Data'!$AV$3:$AV$105,E73)</f>
        <v>25</v>
      </c>
      <c r="F85" s="1">
        <f>COUNTIF('Guidelines - Data'!$AV$3:$AV$105,F73)</f>
        <v>9</v>
      </c>
      <c r="G85" s="1">
        <f>COUNTIF('Guidelines - Data'!$AV$3:$AV$105,G73)</f>
        <v>2</v>
      </c>
      <c r="H85" s="1">
        <f>COUNTIF('Guidelines - Data'!$AV$3:$AV$105,H73)</f>
        <v>0</v>
      </c>
      <c r="I85" s="1"/>
      <c r="J85" s="1"/>
      <c r="K85" s="1"/>
      <c r="L85" s="1"/>
      <c r="M85" s="1"/>
      <c r="N85" s="1"/>
      <c r="O85" s="1"/>
      <c r="P85" s="1"/>
      <c r="Q85" s="1"/>
      <c r="R85" s="1"/>
      <c r="S85" s="1"/>
      <c r="T85" s="1"/>
      <c r="U85" s="1"/>
      <c r="V85" s="1"/>
      <c r="W85" s="1"/>
      <c r="X85" s="1"/>
      <c r="Y85" s="1"/>
      <c r="Z85" s="1"/>
      <c r="AA85" s="1"/>
      <c r="AB85" s="1"/>
      <c r="AC85" s="1"/>
    </row>
    <row r="86" spans="1:29" ht="14" x14ac:dyDescent="0.15">
      <c r="A86" s="1" t="s">
        <v>893</v>
      </c>
      <c r="B86" s="1" t="s">
        <v>340</v>
      </c>
      <c r="C86" s="1">
        <f>COUNTIF('Guidelines - Data'!$AW$3:$AW$105,C73)</f>
        <v>25</v>
      </c>
      <c r="D86" s="1">
        <f>COUNTIF('Guidelines - Data'!$AW$3:$AW$105,D73)</f>
        <v>46</v>
      </c>
      <c r="E86" s="1">
        <f>COUNTIF('Guidelines - Data'!$AW$3:$AW$105,E73)</f>
        <v>18</v>
      </c>
      <c r="F86" s="1">
        <f>COUNTIF('Guidelines - Data'!$AW$3:$AW$105,F73)</f>
        <v>8</v>
      </c>
      <c r="G86" s="1">
        <f>COUNTIF('Guidelines - Data'!$AW$3:$AW$105,G73)</f>
        <v>5</v>
      </c>
      <c r="H86" s="1">
        <f>COUNTIF('Guidelines - Data'!$AW$3:$AW$105,H73)</f>
        <v>1</v>
      </c>
      <c r="I86" s="1"/>
      <c r="J86" s="1"/>
      <c r="K86" s="1"/>
      <c r="L86" s="1"/>
      <c r="M86" s="1"/>
      <c r="N86" s="1"/>
      <c r="O86" s="1"/>
      <c r="P86" s="1"/>
      <c r="Q86" s="1"/>
      <c r="R86" s="1"/>
      <c r="S86" s="1"/>
      <c r="T86" s="1"/>
      <c r="U86" s="1"/>
      <c r="V86" s="1"/>
      <c r="W86" s="1"/>
      <c r="X86" s="1"/>
      <c r="Y86" s="1"/>
      <c r="Z86" s="1"/>
      <c r="AA86" s="1"/>
      <c r="AB86" s="1"/>
      <c r="AC86" s="1"/>
    </row>
    <row r="87" spans="1:29" ht="14" x14ac:dyDescent="0.15">
      <c r="A87" s="1" t="s">
        <v>894</v>
      </c>
      <c r="B87" s="1" t="s">
        <v>341</v>
      </c>
      <c r="C87" s="1">
        <f>COUNTIF('Guidelines - Data'!$AX$3:$AX$105,C73)</f>
        <v>40</v>
      </c>
      <c r="D87" s="1">
        <f>COUNTIF('Guidelines - Data'!$AX$3:$AX$105,D73)</f>
        <v>34</v>
      </c>
      <c r="E87" s="1">
        <f>COUNTIF('Guidelines - Data'!$AX$3:$AX$105,E73)</f>
        <v>16</v>
      </c>
      <c r="F87" s="1">
        <f>COUNTIF('Guidelines - Data'!$AX$3:$AX$105,F73)</f>
        <v>6</v>
      </c>
      <c r="G87" s="1">
        <f>COUNTIF('Guidelines - Data'!$AX$3:$AX$105,G73)</f>
        <v>6</v>
      </c>
      <c r="H87" s="1">
        <f>COUNTIF('Guidelines - Data'!$AX$3:$AX$105,H73)</f>
        <v>1</v>
      </c>
      <c r="I87" s="1"/>
      <c r="J87" s="1"/>
      <c r="K87" s="1"/>
      <c r="L87" s="1"/>
      <c r="M87" s="1"/>
      <c r="N87" s="1"/>
      <c r="O87" s="1"/>
      <c r="P87" s="1"/>
      <c r="Q87" s="1"/>
      <c r="R87" s="1"/>
      <c r="S87" s="1"/>
      <c r="T87" s="1"/>
      <c r="U87" s="1"/>
      <c r="V87" s="1"/>
      <c r="W87" s="1"/>
      <c r="X87" s="1"/>
      <c r="Y87" s="1"/>
      <c r="Z87" s="1"/>
      <c r="AA87" s="1"/>
      <c r="AB87" s="1"/>
      <c r="AC87" s="1"/>
    </row>
    <row r="88" spans="1:29" ht="14" x14ac:dyDescent="0.15">
      <c r="A88" s="1" t="s">
        <v>895</v>
      </c>
      <c r="B88" s="1" t="s">
        <v>342</v>
      </c>
      <c r="C88" s="1">
        <f>COUNTIF('Guidelines - Data'!$AY$3:$AY$105,C73)</f>
        <v>21</v>
      </c>
      <c r="D88" s="1">
        <f>COUNTIF('Guidelines - Data'!$AY$3:$AY$105,D73)</f>
        <v>32</v>
      </c>
      <c r="E88" s="1">
        <f>COUNTIF('Guidelines - Data'!$AY$3:$AY$105,E73)</f>
        <v>24</v>
      </c>
      <c r="F88" s="1">
        <f>COUNTIF('Guidelines - Data'!$AY$3:$AY$105,F73)</f>
        <v>11</v>
      </c>
      <c r="G88" s="1">
        <f>COUNTIF('Guidelines - Data'!$AY$3:$AY$105,G73)</f>
        <v>14</v>
      </c>
      <c r="H88" s="1">
        <f>COUNTIF('Guidelines - Data'!$AY$3:$AY$105,H73)</f>
        <v>1</v>
      </c>
      <c r="I88" s="1"/>
      <c r="J88" s="1"/>
      <c r="K88" s="1"/>
      <c r="L88" s="1"/>
      <c r="M88" s="1"/>
      <c r="N88" s="1"/>
      <c r="O88" s="1"/>
      <c r="P88" s="1"/>
      <c r="Q88" s="1"/>
      <c r="R88" s="1"/>
      <c r="S88" s="1"/>
      <c r="T88" s="1"/>
      <c r="U88" s="1"/>
      <c r="V88" s="1"/>
      <c r="W88" s="1"/>
      <c r="X88" s="1"/>
      <c r="Y88" s="1"/>
      <c r="Z88" s="1"/>
      <c r="AA88" s="1"/>
      <c r="AB88" s="1"/>
      <c r="AC88" s="1"/>
    </row>
    <row r="89" spans="1:29" ht="14" x14ac:dyDescent="0.15">
      <c r="A89" s="1" t="s">
        <v>896</v>
      </c>
      <c r="B89" s="1" t="s">
        <v>343</v>
      </c>
      <c r="C89" s="1">
        <f>COUNTIF('Guidelines - Data'!$AZ$3:$AZ$105,C73)</f>
        <v>29</v>
      </c>
      <c r="D89" s="1">
        <f>COUNTIF('Guidelines - Data'!$AZ$3:$AZ$105,D73)</f>
        <v>22</v>
      </c>
      <c r="E89" s="1">
        <f>COUNTIF('Guidelines - Data'!$AZ$3:$AZ$105,E73)</f>
        <v>24</v>
      </c>
      <c r="F89" s="1">
        <f>COUNTIF('Guidelines - Data'!$AZ$3:$AZ$105,F73)</f>
        <v>12</v>
      </c>
      <c r="G89" s="1">
        <f>COUNTIF('Guidelines - Data'!$AZ$3:$AZ$105,G73)</f>
        <v>13</v>
      </c>
      <c r="H89" s="1">
        <f>COUNTIF('Guidelines - Data'!$AZ$3:$AZ$105,H73)</f>
        <v>3</v>
      </c>
      <c r="I89" s="1"/>
      <c r="J89" s="1"/>
      <c r="K89" s="1"/>
      <c r="L89" s="1"/>
      <c r="M89" s="1"/>
      <c r="N89" s="1"/>
      <c r="O89" s="1"/>
      <c r="P89" s="1"/>
      <c r="Q89" s="1"/>
      <c r="R89" s="1"/>
      <c r="S89" s="1"/>
      <c r="T89" s="1"/>
      <c r="U89" s="1"/>
      <c r="V89" s="1"/>
      <c r="W89" s="1"/>
      <c r="X89" s="1"/>
      <c r="Y89" s="1"/>
      <c r="Z89" s="1"/>
      <c r="AA89" s="1"/>
      <c r="AB89" s="1"/>
      <c r="AC89" s="1"/>
    </row>
    <row r="90" spans="1:29" ht="14" x14ac:dyDescent="0.15">
      <c r="A90" s="1" t="s">
        <v>897</v>
      </c>
      <c r="B90" s="1" t="s">
        <v>344</v>
      </c>
      <c r="C90" s="1">
        <f>COUNTIF('Guidelines - Data'!$BA$3:$BA$105,C73)</f>
        <v>19</v>
      </c>
      <c r="D90" s="1">
        <f>COUNTIF('Guidelines - Data'!$BA$3:$BA$105,D73)</f>
        <v>36</v>
      </c>
      <c r="E90" s="1">
        <f>COUNTIF('Guidelines - Data'!$BA$3:$BA$105,E73)</f>
        <v>19</v>
      </c>
      <c r="F90" s="1">
        <f>COUNTIF('Guidelines - Data'!$BA$3:$BA$105,F73)</f>
        <v>19</v>
      </c>
      <c r="G90" s="1">
        <f>COUNTIF('Guidelines - Data'!$BA$3:$BA$105,G73)</f>
        <v>8</v>
      </c>
      <c r="H90" s="1">
        <f>COUNTIF('Guidelines - Data'!$BA$3:$BA$105,H73)</f>
        <v>2</v>
      </c>
      <c r="I90" s="1"/>
      <c r="J90" s="1"/>
      <c r="K90" s="1"/>
      <c r="L90" s="1"/>
      <c r="M90" s="1"/>
      <c r="N90" s="1"/>
      <c r="O90" s="1"/>
      <c r="P90" s="1"/>
      <c r="Q90" s="1"/>
      <c r="R90" s="1"/>
      <c r="S90" s="1"/>
      <c r="T90" s="1"/>
      <c r="U90" s="1"/>
      <c r="V90" s="1"/>
      <c r="W90" s="1"/>
      <c r="X90" s="1"/>
      <c r="Y90" s="1"/>
      <c r="Z90" s="1"/>
      <c r="AA90" s="1"/>
      <c r="AB90" s="1"/>
      <c r="AC90" s="1"/>
    </row>
    <row r="91" spans="1:29" ht="14" x14ac:dyDescent="0.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4" x14ac:dyDescent="0.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4" x14ac:dyDescent="0.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4" x14ac:dyDescent="0.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4" x14ac:dyDescent="0.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4" x14ac:dyDescent="0.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4" x14ac:dyDescent="0.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4" x14ac:dyDescent="0.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4" x14ac:dyDescent="0.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4"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4"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4"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4"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4"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4"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4"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4"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4"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4"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4"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4"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4"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4"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4"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4"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4"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4"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4"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4"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4"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4"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4"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4"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4"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4"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4"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4"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4"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4"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4"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4"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4"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4"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4"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4"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4"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4"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4"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4"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4"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4"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4"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4"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4"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4"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4"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4"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4"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4"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4"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4"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4"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4"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4"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4"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4"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4"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4"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4"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4"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4"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4"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4"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4"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4"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4"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4"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4"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4"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4"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4"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4"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4"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4"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4"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4"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4"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4"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4"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4"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4"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4"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4"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4"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4"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4"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4"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4"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4"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4"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4"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4"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4"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4"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4"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4"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4"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4"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4"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4"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4"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4"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4"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4"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4"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4"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4"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4"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4"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4"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4"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4"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4"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4"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4"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4"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4"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4"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4"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4"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4"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4"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4"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4"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4"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4"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4"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4"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4"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4"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4"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4"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4"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4"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4"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4"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4"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4"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4"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4"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4"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4"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4"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4"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4"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4"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4"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4"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4"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4"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4"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4"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4"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4"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4"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4"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4"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4"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4"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4"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4"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4"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4"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4"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4"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4"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4"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4"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4"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4"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4"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4"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4"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4"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4"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4"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4"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4"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4"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4"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4"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4"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4"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4"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4"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4"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4"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4"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4"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4"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4"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4"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4"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4"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4"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4"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4"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4"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4"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4"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4"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4"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4"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4"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4"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4"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4"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4"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4"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4"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4"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4"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4"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4"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4"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4"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4"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4"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4"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4"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4"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4"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4"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4"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4"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4"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4"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4"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4"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4"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4"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4"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4"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4"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4"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4"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4"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4"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4"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4"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4"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4"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4"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4"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4"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4"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4"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4"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4"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4"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4"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4"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4"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4"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4"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4"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4"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4"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4"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4"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4"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4"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4"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4"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4"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4"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4"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4"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4"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4"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4"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4"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4"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4"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4"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4"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4"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4"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4"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4"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4"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4"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4"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4"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4"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4"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4"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4"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4"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4"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4"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4"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4"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4"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4"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4"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4"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4"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4"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4"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4"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4"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4"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4"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4"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4"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4"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4"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4"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4"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4"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4"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4"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4"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4"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4"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4"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4"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4"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4"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4"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4"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4"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4"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4"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4"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4"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4"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4"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4"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4"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4"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4"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4"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4"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4"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4"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4"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4"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4"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4"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4"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4"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4"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4"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4"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4"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4"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4"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4"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4"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4"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4"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4"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4"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4"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4"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4"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4"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4"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4"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4"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4"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4"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4"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4"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4"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4"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4"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4"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4"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4"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4"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4"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4"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4"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4"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4"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4"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4"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4"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4"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4"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4"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4"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4"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4"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4"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4"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4"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4"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4"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4"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4"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4"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4"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4"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4"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4"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4"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4"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4"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4"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4"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4"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4"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4"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4"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4"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4"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4"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4"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4"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4"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4"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4"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4"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4"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4"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4"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4"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4"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4"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4"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4"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4"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4"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4"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4"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4"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4"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4"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4"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4"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4"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4"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4"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4"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4"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4"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4"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4"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4"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4"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4"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4"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4"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4"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4"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4"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4"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4"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4"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4"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4"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4"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4"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4"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4"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4"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4"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4"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4"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4"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4"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4"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4"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4"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4"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4"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4"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4"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4"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4"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4"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4"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4"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4"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4"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4"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4"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4"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4"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4"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4"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4"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4"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4"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4"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4"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4"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4"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4"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4"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4"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4"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4"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4"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4"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4"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4"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4"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4"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4"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4"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4"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4"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4"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4"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4"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4"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4"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4"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4"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4"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4"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4"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4"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4"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4"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4"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4"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4"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4"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4"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4"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4"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4"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4"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4"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4"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4"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4"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4"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4"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4"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4"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4"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4"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4"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4"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4"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4"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4"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4"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4"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4"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4"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4"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4"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4"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4"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4"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4"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4"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4"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4"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4"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4"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4"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4"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4"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4"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4"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4"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4"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4"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4"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4"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4"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4"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4"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4"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4"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4"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4"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4"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4"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4"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4"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4"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4"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4"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4"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4"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4"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4"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4"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4"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4"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4"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4"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4"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4"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4"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4"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4"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4"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4"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4"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4"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4"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4"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4"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4"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4"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4"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4"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4"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4"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4"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4"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4"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4"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4"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4"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4"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4"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4"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4"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4"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4"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4"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4"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4"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4"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4"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4"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4"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4"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4"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4"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4"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4"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4"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4"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4"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4"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4"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4"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4"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4"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4"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4"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4"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4"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4"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4"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4"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4"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4"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4"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4"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4"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4"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4"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4"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4"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4"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4"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4"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4"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4"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4"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4"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4"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4"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4"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4"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4"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4"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4"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4"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4"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4"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4"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4"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4"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4"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4"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4"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4"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4"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4"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4"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4"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4"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4"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4"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4"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4"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4"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4"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4"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4"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4"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4"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4"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4"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4"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4"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4"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4"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4"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4"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4"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4"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4"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4"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4"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4"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4"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4"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4"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4"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4"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4"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4"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4"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4"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4"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4"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4"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4"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4"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4"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4"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4"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4"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4"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4"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4"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4"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4"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4"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4"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4"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4"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4"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4"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4"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4"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4"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4"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4"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4"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4"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4"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4"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4"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4"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4"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4"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4"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4"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4"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4"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4"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4"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4"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4"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4"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4"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4"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4"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4"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4"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4"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4"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4"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4"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4"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4"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4"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4"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4"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4"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4"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4"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4"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4"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4"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4"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4"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4"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4"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4"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4"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4"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4"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4"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4"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4"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4"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4"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4"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4"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4"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4"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4"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4"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4"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4"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4"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4"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4"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4"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4"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4"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4"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4"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4"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4"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4"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4"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4"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4"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4"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4"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4"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4"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4"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4"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4"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4"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4"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4"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4"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4"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4"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4"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4"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4"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4"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4"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4"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4"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4"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4"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4"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4"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4"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4"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4"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4"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4"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4"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4"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4"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4"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4"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4"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4"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4"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4"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4"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4"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4"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4"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4"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4"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4"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4"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4"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4"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4"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4"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4"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4"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4"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4"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4"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4"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4"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4"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4"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4"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4"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4"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4"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4"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4"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4"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4"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4"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4"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4"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4"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4"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4"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4"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4"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4"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4"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4"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4"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4"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4"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4"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4"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4"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14" x14ac:dyDescent="0.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spans="1:29" ht="14" x14ac:dyDescent="0.1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spans="1:29" ht="14" x14ac:dyDescent="0.1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spans="1:29" ht="14" x14ac:dyDescent="0.1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spans="1:29" ht="14" x14ac:dyDescent="0.1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spans="1:29" ht="14" x14ac:dyDescent="0.1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spans="1:29" ht="14" x14ac:dyDescent="0.1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spans="1:29" ht="14" x14ac:dyDescent="0.1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spans="1:29" ht="14" x14ac:dyDescent="0.1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spans="1:29" ht="14" x14ac:dyDescent="0.1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spans="1:29" ht="14" x14ac:dyDescent="0.1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spans="1:29" ht="14" x14ac:dyDescent="0.1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spans="1:29" ht="14" x14ac:dyDescent="0.1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spans="1:29" ht="14" x14ac:dyDescent="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spans="1:29" ht="14" x14ac:dyDescent="0.1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spans="1:29" ht="14" x14ac:dyDescent="0.1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spans="1:29" ht="14" x14ac:dyDescent="0.1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spans="1:29" ht="14" x14ac:dyDescent="0.1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spans="1:29" ht="14" x14ac:dyDescent="0.1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spans="1:29" ht="14" x14ac:dyDescent="0.1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spans="1:29" ht="14" x14ac:dyDescent="0.1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row>
    <row r="1023" spans="1:29" ht="14" x14ac:dyDescent="0.1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row>
    <row r="1024" spans="1:29" ht="14" x14ac:dyDescent="0.1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row>
    <row r="1025" spans="1:29" ht="14" x14ac:dyDescent="0.1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row>
    <row r="1026" spans="1:29" ht="14" x14ac:dyDescent="0.1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row>
    <row r="1027" spans="1:29" ht="14" x14ac:dyDescent="0.1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row>
    <row r="1028" spans="1:29" ht="14" x14ac:dyDescent="0.1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row>
    <row r="1029" spans="1:29" ht="14" x14ac:dyDescent="0.1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row>
    <row r="1030" spans="1:29" ht="14" x14ac:dyDescent="0.1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row>
    <row r="1031" spans="1:29" ht="14" x14ac:dyDescent="0.1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row>
    <row r="1032" spans="1:29" ht="14" x14ac:dyDescent="0.1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row>
    <row r="1033" spans="1:29" ht="14" x14ac:dyDescent="0.1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row>
    <row r="1034" spans="1:29" ht="14" x14ac:dyDescent="0.1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row>
    <row r="1035" spans="1:29" ht="14" x14ac:dyDescent="0.1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row>
    <row r="1036" spans="1:29" ht="14" x14ac:dyDescent="0.1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row>
    <row r="1037" spans="1:29" ht="14" x14ac:dyDescent="0.1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row>
    <row r="1038" spans="1:29" ht="14" x14ac:dyDescent="0.1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row>
    <row r="1039" spans="1:29" ht="14" x14ac:dyDescent="0.1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row>
    <row r="1040" spans="1:29" ht="14" x14ac:dyDescent="0.1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row>
    <row r="1041" spans="1:29" ht="14" x14ac:dyDescent="0.1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row>
    <row r="1042" spans="1:29" ht="14" x14ac:dyDescent="0.1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row>
    <row r="1043" spans="1:29" ht="14" x14ac:dyDescent="0.1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row>
    <row r="1044" spans="1:29" ht="14" x14ac:dyDescent="0.1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row>
    <row r="1045" spans="1:29" ht="14" x14ac:dyDescent="0.1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row>
    <row r="1046" spans="1:29" ht="14" x14ac:dyDescent="0.1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row>
    <row r="1047" spans="1:29" ht="14" x14ac:dyDescent="0.1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row>
    <row r="1048" spans="1:29" ht="14" x14ac:dyDescent="0.1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row>
    <row r="1049" spans="1:29" ht="14" x14ac:dyDescent="0.1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row>
    <row r="1050" spans="1:29" ht="14" x14ac:dyDescent="0.1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row>
    <row r="1051" spans="1:29" ht="14" x14ac:dyDescent="0.1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row>
    <row r="1052" spans="1:29" ht="14" x14ac:dyDescent="0.1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row>
    <row r="1053" spans="1:29" ht="14" x14ac:dyDescent="0.1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row>
  </sheetData>
  <mergeCells count="4">
    <mergeCell ref="B2:G2"/>
    <mergeCell ref="B25:H25"/>
    <mergeCell ref="B49:H49"/>
    <mergeCell ref="B72:H7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O1032"/>
  <sheetViews>
    <sheetView topLeftCell="A161" workbookViewId="0">
      <selection activeCell="I131" sqref="I131"/>
    </sheetView>
  </sheetViews>
  <sheetFormatPr baseColWidth="10" defaultColWidth="12.6640625" defaultRowHeight="15.75" customHeight="1" x14ac:dyDescent="0.15"/>
  <cols>
    <col min="1" max="1" width="7.1640625" customWidth="1"/>
    <col min="2" max="2" width="46.1640625" customWidth="1"/>
    <col min="9" max="9" width="33.6640625" customWidth="1"/>
    <col min="10" max="10" width="16.33203125" customWidth="1"/>
    <col min="27" max="27" width="7.5" customWidth="1"/>
    <col min="29" max="29" width="16.83203125" customWidth="1"/>
    <col min="32" max="32" width="6.83203125" customWidth="1"/>
    <col min="33" max="33" width="17.33203125" customWidth="1"/>
  </cols>
  <sheetData>
    <row r="1" spans="1:41" x14ac:dyDescent="0.2">
      <c r="A1" s="1"/>
      <c r="B1" s="1"/>
      <c r="C1" s="1"/>
      <c r="D1" s="1"/>
      <c r="E1" s="1"/>
      <c r="F1" s="1"/>
      <c r="G1" s="1"/>
      <c r="H1" s="1"/>
      <c r="I1" s="5"/>
      <c r="J1" s="27" t="s">
        <v>902</v>
      </c>
      <c r="K1" s="28"/>
      <c r="L1" s="28"/>
      <c r="M1" s="28"/>
      <c r="N1" s="28"/>
      <c r="O1" s="28"/>
      <c r="P1" s="28"/>
      <c r="Q1" s="28"/>
      <c r="R1" s="28"/>
      <c r="S1" s="28"/>
      <c r="T1" s="28"/>
      <c r="U1" s="28"/>
      <c r="V1" s="28"/>
      <c r="W1" s="28"/>
      <c r="X1" s="28"/>
      <c r="Y1" s="28"/>
      <c r="Z1" s="28"/>
      <c r="AA1" s="28"/>
      <c r="AB1" s="28"/>
      <c r="AC1" s="28"/>
      <c r="AD1" s="28"/>
      <c r="AE1" s="28"/>
      <c r="AF1" s="28"/>
      <c r="AG1" s="28"/>
      <c r="AH1" s="1"/>
      <c r="AI1" s="1"/>
      <c r="AJ1" s="1"/>
      <c r="AK1" s="1"/>
      <c r="AL1" s="1"/>
      <c r="AM1" s="1"/>
      <c r="AN1" s="1"/>
      <c r="AO1" s="1"/>
    </row>
    <row r="2" spans="1:41" ht="15.75" customHeight="1" x14ac:dyDescent="0.15">
      <c r="A2" s="19"/>
      <c r="B2" s="57" t="s">
        <v>880</v>
      </c>
      <c r="C2" s="51"/>
      <c r="D2" s="51"/>
      <c r="E2" s="51"/>
      <c r="F2" s="51"/>
      <c r="G2" s="51"/>
      <c r="H2" s="4"/>
      <c r="I2" s="4"/>
      <c r="J2" s="4"/>
      <c r="K2" s="4"/>
      <c r="L2" s="4"/>
      <c r="M2" s="4"/>
      <c r="N2" s="4"/>
      <c r="O2" s="4"/>
      <c r="P2" s="4"/>
      <c r="Q2" s="4"/>
      <c r="R2" s="4"/>
      <c r="S2" s="1"/>
      <c r="T2" s="1"/>
      <c r="U2" s="1"/>
      <c r="V2" s="1"/>
      <c r="W2" s="1"/>
      <c r="X2" s="1"/>
      <c r="Y2" s="1"/>
      <c r="Z2" s="1"/>
      <c r="AA2" s="1"/>
      <c r="AB2" s="1"/>
      <c r="AC2" s="1"/>
      <c r="AD2" s="1"/>
      <c r="AE2" s="1"/>
      <c r="AF2" s="1"/>
      <c r="AG2" s="1"/>
      <c r="AH2" s="1"/>
      <c r="AI2" s="1"/>
      <c r="AJ2" s="1"/>
      <c r="AK2" s="1"/>
      <c r="AL2" s="1"/>
      <c r="AM2" s="1"/>
      <c r="AN2" s="1"/>
      <c r="AO2" s="1"/>
    </row>
    <row r="3" spans="1:41" ht="15.75" customHeight="1" x14ac:dyDescent="0.15">
      <c r="A3" s="29"/>
      <c r="B3" s="29"/>
      <c r="C3" s="29" t="s">
        <v>348</v>
      </c>
      <c r="D3" s="29" t="s">
        <v>349</v>
      </c>
      <c r="E3" s="29" t="s">
        <v>377</v>
      </c>
      <c r="F3" s="29" t="s">
        <v>362</v>
      </c>
      <c r="G3" s="29" t="s">
        <v>363</v>
      </c>
      <c r="H3" s="30"/>
      <c r="I3" s="30"/>
      <c r="J3" s="29"/>
      <c r="K3" s="29" t="s">
        <v>348</v>
      </c>
      <c r="L3" s="29" t="s">
        <v>349</v>
      </c>
      <c r="M3" s="29" t="s">
        <v>377</v>
      </c>
      <c r="N3" s="29" t="s">
        <v>362</v>
      </c>
      <c r="O3" s="29" t="s">
        <v>363</v>
      </c>
      <c r="P3" s="30"/>
      <c r="Q3" s="30"/>
      <c r="R3" s="30"/>
      <c r="S3" s="29"/>
      <c r="T3" s="29" t="s">
        <v>903</v>
      </c>
      <c r="U3" s="29" t="s">
        <v>904</v>
      </c>
      <c r="V3" s="29" t="s">
        <v>905</v>
      </c>
      <c r="W3" s="29" t="s">
        <v>906</v>
      </c>
      <c r="X3" s="29" t="s">
        <v>907</v>
      </c>
      <c r="Y3" s="30"/>
      <c r="Z3" s="30"/>
      <c r="AA3" s="30"/>
      <c r="AB3" s="29"/>
      <c r="AC3" s="31" t="s">
        <v>908</v>
      </c>
      <c r="AD3" s="29"/>
      <c r="AE3" s="29"/>
      <c r="AF3" s="29"/>
      <c r="AG3" s="31" t="s">
        <v>909</v>
      </c>
      <c r="AH3" s="30"/>
      <c r="AI3" s="30"/>
      <c r="AJ3" s="30"/>
      <c r="AK3" s="30"/>
      <c r="AL3" s="30"/>
      <c r="AM3" s="30"/>
      <c r="AN3" s="30"/>
      <c r="AO3" s="30"/>
    </row>
    <row r="4" spans="1:41" ht="15.75" customHeight="1" x14ac:dyDescent="0.15">
      <c r="A4" s="1" t="s">
        <v>881</v>
      </c>
      <c r="B4" s="1" t="s">
        <v>328</v>
      </c>
      <c r="C4" s="1">
        <f>COUNTIF('Guidelines - Data'!A$3:A$105,C3)</f>
        <v>29</v>
      </c>
      <c r="D4" s="1">
        <f>COUNTIF('Guidelines - Data'!A$3:A$105,D3)</f>
        <v>51</v>
      </c>
      <c r="E4" s="1">
        <f>COUNTIF('Guidelines - Data'!A$3:A$105,E3)</f>
        <v>4</v>
      </c>
      <c r="F4" s="1">
        <f>COUNTIF('Guidelines - Data'!A$3:A$105,F3)</f>
        <v>14</v>
      </c>
      <c r="G4" s="1">
        <f>COUNTIF('Guidelines - Data'!A$3:A$105,G3)</f>
        <v>5</v>
      </c>
      <c r="H4" s="1"/>
      <c r="I4" s="1"/>
      <c r="J4" s="1" t="s">
        <v>881</v>
      </c>
      <c r="K4" s="1">
        <f t="shared" ref="K4:K20" si="0">(C4/(C4+D4+E4+F4+G4))*100</f>
        <v>28.155339805825243</v>
      </c>
      <c r="L4" s="1">
        <f t="shared" ref="L4:L20" si="1">(D4/(C4+D4+E4+F4+G4))*100</f>
        <v>49.514563106796118</v>
      </c>
      <c r="M4" s="1">
        <f t="shared" ref="M4:M20" si="2">(E4/(C4+D4+E4+F4+G4))*100</f>
        <v>3.8834951456310676</v>
      </c>
      <c r="N4" s="1">
        <f t="shared" ref="N4:N20" si="3">(F4/(C4+D4+E4+F4+G4))*100</f>
        <v>13.592233009708737</v>
      </c>
      <c r="O4" s="1">
        <f t="shared" ref="O4:O20" si="4">(G4/(C4+D4+E4+F4+G4))*100</f>
        <v>4.8543689320388346</v>
      </c>
      <c r="P4" s="1"/>
      <c r="Q4" s="1"/>
      <c r="R4" s="1"/>
      <c r="S4" s="1" t="s">
        <v>881</v>
      </c>
      <c r="T4" s="1">
        <f t="shared" ref="T4:X4" si="5">ROUND(K4,2)</f>
        <v>28.16</v>
      </c>
      <c r="U4" s="1">
        <f t="shared" si="5"/>
        <v>49.51</v>
      </c>
      <c r="V4" s="1">
        <f t="shared" si="5"/>
        <v>3.88</v>
      </c>
      <c r="W4" s="1">
        <f t="shared" si="5"/>
        <v>13.59</v>
      </c>
      <c r="X4" s="1">
        <f t="shared" si="5"/>
        <v>4.8499999999999996</v>
      </c>
      <c r="Y4" s="1"/>
      <c r="Z4" s="1"/>
      <c r="AA4" s="1" t="s">
        <v>881</v>
      </c>
      <c r="AB4" s="1">
        <f t="shared" ref="AB4:AB20" si="6">((C4+D4)/(C4+D4+E4+F4+G4))*100</f>
        <v>77.669902912621353</v>
      </c>
      <c r="AC4" s="1">
        <f t="shared" ref="AC4:AC20" si="7">ROUND(AB4,2)</f>
        <v>77.67</v>
      </c>
      <c r="AD4" s="1"/>
      <c r="AE4" s="1"/>
      <c r="AF4" s="1" t="s">
        <v>881</v>
      </c>
      <c r="AG4" s="1">
        <v>77.67</v>
      </c>
      <c r="AH4" s="1"/>
      <c r="AI4" s="1"/>
      <c r="AJ4" s="1"/>
      <c r="AK4" s="1"/>
      <c r="AL4" s="1"/>
      <c r="AM4" s="1"/>
      <c r="AN4" s="1"/>
      <c r="AO4" s="1"/>
    </row>
    <row r="5" spans="1:41" ht="15.75" customHeight="1" x14ac:dyDescent="0.15">
      <c r="A5" s="1" t="s">
        <v>882</v>
      </c>
      <c r="B5" s="1" t="s">
        <v>329</v>
      </c>
      <c r="C5" s="1">
        <f>COUNTIF('Guidelines - Data'!B3:B105,C3)</f>
        <v>34</v>
      </c>
      <c r="D5" s="1">
        <f>COUNTIF('Guidelines - Data'!B3:B105,D3)</f>
        <v>45</v>
      </c>
      <c r="E5" s="1">
        <f>COUNTIF('Guidelines - Data'!B3:B105,E3)</f>
        <v>6</v>
      </c>
      <c r="F5" s="1">
        <f>COUNTIF('Guidelines - Data'!B3:B105,F3)</f>
        <v>11</v>
      </c>
      <c r="G5" s="1">
        <f>COUNTIF('Guidelines - Data'!B3:B105,G3)</f>
        <v>7</v>
      </c>
      <c r="H5" s="1"/>
      <c r="I5" s="1"/>
      <c r="J5" s="1" t="s">
        <v>882</v>
      </c>
      <c r="K5" s="1">
        <f t="shared" si="0"/>
        <v>33.009708737864081</v>
      </c>
      <c r="L5" s="1">
        <f t="shared" si="1"/>
        <v>43.689320388349515</v>
      </c>
      <c r="M5" s="1">
        <f t="shared" si="2"/>
        <v>5.825242718446602</v>
      </c>
      <c r="N5" s="1">
        <f t="shared" si="3"/>
        <v>10.679611650485436</v>
      </c>
      <c r="O5" s="1">
        <f t="shared" si="4"/>
        <v>6.7961165048543686</v>
      </c>
      <c r="P5" s="1"/>
      <c r="Q5" s="1"/>
      <c r="R5" s="1"/>
      <c r="S5" s="1" t="s">
        <v>882</v>
      </c>
      <c r="T5" s="1">
        <f t="shared" ref="T5:X5" si="8">ROUND(K5,2)</f>
        <v>33.01</v>
      </c>
      <c r="U5" s="1">
        <f t="shared" si="8"/>
        <v>43.69</v>
      </c>
      <c r="V5" s="1">
        <f t="shared" si="8"/>
        <v>5.83</v>
      </c>
      <c r="W5" s="1">
        <f t="shared" si="8"/>
        <v>10.68</v>
      </c>
      <c r="X5" s="1">
        <f t="shared" si="8"/>
        <v>6.8</v>
      </c>
      <c r="Y5" s="1"/>
      <c r="Z5" s="1"/>
      <c r="AA5" s="1" t="s">
        <v>882</v>
      </c>
      <c r="AB5" s="1">
        <f t="shared" si="6"/>
        <v>76.699029126213588</v>
      </c>
      <c r="AC5" s="1">
        <f t="shared" si="7"/>
        <v>76.7</v>
      </c>
      <c r="AD5" s="1"/>
      <c r="AE5" s="1"/>
      <c r="AF5" s="1" t="s">
        <v>882</v>
      </c>
      <c r="AG5" s="1">
        <v>76.7</v>
      </c>
      <c r="AH5" s="1"/>
      <c r="AI5" s="1"/>
      <c r="AJ5" s="1"/>
      <c r="AK5" s="1"/>
      <c r="AL5" s="1"/>
      <c r="AM5" s="1"/>
      <c r="AN5" s="1"/>
      <c r="AO5" s="1"/>
    </row>
    <row r="6" spans="1:41" ht="15.75" customHeight="1" x14ac:dyDescent="0.15">
      <c r="A6" s="1" t="s">
        <v>883</v>
      </c>
      <c r="B6" s="1" t="s">
        <v>330</v>
      </c>
      <c r="C6" s="1">
        <f>COUNTIF('Guidelines - Data'!C3:C105,C3)</f>
        <v>25</v>
      </c>
      <c r="D6" s="1">
        <f>COUNTIF('Guidelines - Data'!C3:C105,D3)</f>
        <v>42</v>
      </c>
      <c r="E6" s="1">
        <f>COUNTIF('Guidelines - Data'!C3:C105,E3)</f>
        <v>9</v>
      </c>
      <c r="F6" s="1">
        <f>COUNTIF('Guidelines - Data'!C3:C105,F3)</f>
        <v>18</v>
      </c>
      <c r="G6" s="1">
        <f>COUNTIF('Guidelines - Data'!C3:C105,G3)</f>
        <v>9</v>
      </c>
      <c r="H6" s="1"/>
      <c r="I6" s="1"/>
      <c r="J6" s="1" t="s">
        <v>883</v>
      </c>
      <c r="K6" s="1">
        <f t="shared" si="0"/>
        <v>24.271844660194176</v>
      </c>
      <c r="L6" s="1">
        <f t="shared" si="1"/>
        <v>40.776699029126213</v>
      </c>
      <c r="M6" s="1">
        <f t="shared" si="2"/>
        <v>8.7378640776699026</v>
      </c>
      <c r="N6" s="1">
        <f t="shared" si="3"/>
        <v>17.475728155339805</v>
      </c>
      <c r="O6" s="1">
        <f t="shared" si="4"/>
        <v>8.7378640776699026</v>
      </c>
      <c r="P6" s="1"/>
      <c r="Q6" s="1"/>
      <c r="R6" s="1"/>
      <c r="S6" s="1" t="s">
        <v>883</v>
      </c>
      <c r="T6" s="1">
        <f t="shared" ref="T6:X6" si="9">ROUND(K6,2)</f>
        <v>24.27</v>
      </c>
      <c r="U6" s="1">
        <f t="shared" si="9"/>
        <v>40.78</v>
      </c>
      <c r="V6" s="1">
        <f t="shared" si="9"/>
        <v>8.74</v>
      </c>
      <c r="W6" s="1">
        <f t="shared" si="9"/>
        <v>17.48</v>
      </c>
      <c r="X6" s="1">
        <f t="shared" si="9"/>
        <v>8.74</v>
      </c>
      <c r="Y6" s="1"/>
      <c r="Z6" s="1"/>
      <c r="AA6" s="1" t="s">
        <v>883</v>
      </c>
      <c r="AB6" s="1">
        <f t="shared" si="6"/>
        <v>65.048543689320397</v>
      </c>
      <c r="AC6" s="1">
        <f t="shared" si="7"/>
        <v>65.05</v>
      </c>
      <c r="AD6" s="1"/>
      <c r="AE6" s="1"/>
      <c r="AF6" s="1" t="s">
        <v>890</v>
      </c>
      <c r="AG6" s="1">
        <v>72.819999999999993</v>
      </c>
      <c r="AH6" s="1"/>
      <c r="AI6" s="1"/>
      <c r="AJ6" s="1"/>
      <c r="AK6" s="1"/>
      <c r="AL6" s="1"/>
      <c r="AM6" s="1"/>
      <c r="AN6" s="1"/>
      <c r="AO6" s="1"/>
    </row>
    <row r="7" spans="1:41" ht="15.75" customHeight="1" x14ac:dyDescent="0.15">
      <c r="A7" s="1" t="s">
        <v>884</v>
      </c>
      <c r="B7" s="1" t="s">
        <v>331</v>
      </c>
      <c r="C7" s="1">
        <f>COUNTIF('Guidelines - Data'!D3:D105,C3)</f>
        <v>39</v>
      </c>
      <c r="D7" s="1">
        <f>COUNTIF('Guidelines - Data'!D3:D105,D3)</f>
        <v>35</v>
      </c>
      <c r="E7" s="1">
        <f>COUNTIF('Guidelines - Data'!D3:D105,E3)</f>
        <v>7</v>
      </c>
      <c r="F7" s="1">
        <f>COUNTIF('Guidelines - Data'!D3:D105,F3)</f>
        <v>12</v>
      </c>
      <c r="G7" s="1">
        <f>COUNTIF('Guidelines - Data'!D3:D105,G3)</f>
        <v>10</v>
      </c>
      <c r="H7" s="1"/>
      <c r="I7" s="1"/>
      <c r="J7" s="1" t="s">
        <v>884</v>
      </c>
      <c r="K7" s="1">
        <f t="shared" si="0"/>
        <v>37.864077669902912</v>
      </c>
      <c r="L7" s="1">
        <f t="shared" si="1"/>
        <v>33.980582524271846</v>
      </c>
      <c r="M7" s="1">
        <f t="shared" si="2"/>
        <v>6.7961165048543686</v>
      </c>
      <c r="N7" s="1">
        <f t="shared" si="3"/>
        <v>11.650485436893204</v>
      </c>
      <c r="O7" s="1">
        <f t="shared" si="4"/>
        <v>9.7087378640776691</v>
      </c>
      <c r="P7" s="1"/>
      <c r="Q7" s="1"/>
      <c r="R7" s="1"/>
      <c r="S7" s="1" t="s">
        <v>884</v>
      </c>
      <c r="T7" s="1">
        <f t="shared" ref="T7:X7" si="10">ROUND(K7,2)</f>
        <v>37.86</v>
      </c>
      <c r="U7" s="1">
        <f t="shared" si="10"/>
        <v>33.979999999999997</v>
      </c>
      <c r="V7" s="1">
        <f t="shared" si="10"/>
        <v>6.8</v>
      </c>
      <c r="W7" s="1">
        <f t="shared" si="10"/>
        <v>11.65</v>
      </c>
      <c r="X7" s="1">
        <f t="shared" si="10"/>
        <v>9.7100000000000009</v>
      </c>
      <c r="Y7" s="1"/>
      <c r="Z7" s="1"/>
      <c r="AA7" s="1" t="s">
        <v>884</v>
      </c>
      <c r="AB7" s="1">
        <f t="shared" si="6"/>
        <v>71.844660194174764</v>
      </c>
      <c r="AC7" s="1">
        <f t="shared" si="7"/>
        <v>71.84</v>
      </c>
      <c r="AD7" s="1"/>
      <c r="AE7" s="1"/>
      <c r="AF7" s="1" t="s">
        <v>884</v>
      </c>
      <c r="AG7" s="1">
        <v>71.84</v>
      </c>
      <c r="AH7" s="1"/>
      <c r="AI7" s="1"/>
      <c r="AJ7" s="1"/>
      <c r="AK7" s="1"/>
      <c r="AL7" s="1"/>
      <c r="AM7" s="1"/>
      <c r="AN7" s="1"/>
      <c r="AO7" s="1"/>
    </row>
    <row r="8" spans="1:41" ht="15.75" customHeight="1" x14ac:dyDescent="0.15">
      <c r="A8" s="1" t="s">
        <v>885</v>
      </c>
      <c r="B8" s="1" t="s">
        <v>332</v>
      </c>
      <c r="C8" s="1">
        <f>COUNTIF('Guidelines - Data'!E3:E105,C3)</f>
        <v>37</v>
      </c>
      <c r="D8" s="1">
        <f>COUNTIF('Guidelines - Data'!E3:E105,D3)</f>
        <v>37</v>
      </c>
      <c r="E8" s="1">
        <f>COUNTIF('Guidelines - Data'!E3:E105,E3)</f>
        <v>7</v>
      </c>
      <c r="F8" s="1">
        <f>COUNTIF('Guidelines - Data'!E3:E105,F3)</f>
        <v>17</v>
      </c>
      <c r="G8" s="1">
        <f>COUNTIF('Guidelines - Data'!E3:E105,G3)</f>
        <v>5</v>
      </c>
      <c r="H8" s="1"/>
      <c r="I8" s="1"/>
      <c r="J8" s="1" t="s">
        <v>885</v>
      </c>
      <c r="K8" s="1">
        <f t="shared" si="0"/>
        <v>35.922330097087382</v>
      </c>
      <c r="L8" s="1">
        <f t="shared" si="1"/>
        <v>35.922330097087382</v>
      </c>
      <c r="M8" s="1">
        <f t="shared" si="2"/>
        <v>6.7961165048543686</v>
      </c>
      <c r="N8" s="1">
        <f t="shared" si="3"/>
        <v>16.50485436893204</v>
      </c>
      <c r="O8" s="1">
        <f t="shared" si="4"/>
        <v>4.8543689320388346</v>
      </c>
      <c r="P8" s="1"/>
      <c r="Q8" s="1"/>
      <c r="R8" s="1"/>
      <c r="S8" s="1" t="s">
        <v>885</v>
      </c>
      <c r="T8" s="1">
        <f t="shared" ref="T8:X8" si="11">ROUND(K8,2)</f>
        <v>35.92</v>
      </c>
      <c r="U8" s="1">
        <f t="shared" si="11"/>
        <v>35.92</v>
      </c>
      <c r="V8" s="1">
        <f t="shared" si="11"/>
        <v>6.8</v>
      </c>
      <c r="W8" s="1">
        <f t="shared" si="11"/>
        <v>16.5</v>
      </c>
      <c r="X8" s="1">
        <f t="shared" si="11"/>
        <v>4.8499999999999996</v>
      </c>
      <c r="Y8" s="1"/>
      <c r="Z8" s="1"/>
      <c r="AA8" s="1" t="s">
        <v>885</v>
      </c>
      <c r="AB8" s="1">
        <f t="shared" si="6"/>
        <v>71.844660194174764</v>
      </c>
      <c r="AC8" s="1">
        <f t="shared" si="7"/>
        <v>71.84</v>
      </c>
      <c r="AD8" s="1"/>
      <c r="AE8" s="1"/>
      <c r="AF8" s="1" t="s">
        <v>885</v>
      </c>
      <c r="AG8" s="1">
        <v>71.84</v>
      </c>
      <c r="AH8" s="1"/>
      <c r="AI8" s="1"/>
      <c r="AJ8" s="1"/>
      <c r="AK8" s="1"/>
      <c r="AL8" s="1"/>
      <c r="AM8" s="1"/>
      <c r="AN8" s="1"/>
      <c r="AO8" s="1"/>
    </row>
    <row r="9" spans="1:41" ht="15.75" customHeight="1" x14ac:dyDescent="0.15">
      <c r="A9" s="1" t="s">
        <v>886</v>
      </c>
      <c r="B9" s="1" t="s">
        <v>333</v>
      </c>
      <c r="C9" s="1">
        <f>COUNTIF('Guidelines - Data'!$F$3:$F$105,C3)</f>
        <v>10</v>
      </c>
      <c r="D9" s="1">
        <f>COUNTIF('Guidelines - Data'!$F$3:$F$105,D3)</f>
        <v>47</v>
      </c>
      <c r="E9" s="1">
        <f>COUNTIF('Guidelines - Data'!$F$3:$F$105,E3)</f>
        <v>13</v>
      </c>
      <c r="F9" s="1">
        <f>COUNTIF('Guidelines - Data'!$F$3:$F$105,F3)</f>
        <v>24</v>
      </c>
      <c r="G9" s="1">
        <f>COUNTIF('Guidelines - Data'!$F$3:$F$105,G3)</f>
        <v>9</v>
      </c>
      <c r="H9" s="1"/>
      <c r="I9" s="1"/>
      <c r="J9" s="1" t="s">
        <v>886</v>
      </c>
      <c r="K9" s="1">
        <f t="shared" si="0"/>
        <v>9.7087378640776691</v>
      </c>
      <c r="L9" s="1">
        <f t="shared" si="1"/>
        <v>45.631067961165051</v>
      </c>
      <c r="M9" s="1">
        <f t="shared" si="2"/>
        <v>12.621359223300971</v>
      </c>
      <c r="N9" s="1">
        <f t="shared" si="3"/>
        <v>23.300970873786408</v>
      </c>
      <c r="O9" s="1">
        <f t="shared" si="4"/>
        <v>8.7378640776699026</v>
      </c>
      <c r="P9" s="1"/>
      <c r="Q9" s="1"/>
      <c r="R9" s="1"/>
      <c r="S9" s="1" t="s">
        <v>886</v>
      </c>
      <c r="T9" s="1">
        <f t="shared" ref="T9:X9" si="12">ROUND(K9,2)</f>
        <v>9.7100000000000009</v>
      </c>
      <c r="U9" s="1">
        <f t="shared" si="12"/>
        <v>45.63</v>
      </c>
      <c r="V9" s="1">
        <f t="shared" si="12"/>
        <v>12.62</v>
      </c>
      <c r="W9" s="1">
        <f t="shared" si="12"/>
        <v>23.3</v>
      </c>
      <c r="X9" s="1">
        <f t="shared" si="12"/>
        <v>8.74</v>
      </c>
      <c r="Y9" s="1"/>
      <c r="Z9" s="1"/>
      <c r="AA9" s="1" t="s">
        <v>886</v>
      </c>
      <c r="AB9" s="1">
        <f t="shared" si="6"/>
        <v>55.339805825242713</v>
      </c>
      <c r="AC9" s="1">
        <f t="shared" si="7"/>
        <v>55.34</v>
      </c>
      <c r="AD9" s="1"/>
      <c r="AE9" s="1"/>
      <c r="AF9" s="1" t="s">
        <v>894</v>
      </c>
      <c r="AG9" s="1">
        <v>71.84</v>
      </c>
      <c r="AH9" s="1"/>
      <c r="AI9" s="1"/>
      <c r="AJ9" s="1"/>
      <c r="AK9" s="1"/>
      <c r="AL9" s="1"/>
      <c r="AM9" s="1"/>
      <c r="AN9" s="1"/>
      <c r="AO9" s="1"/>
    </row>
    <row r="10" spans="1:41" ht="15.75" customHeight="1" x14ac:dyDescent="0.15">
      <c r="A10" s="1" t="s">
        <v>887</v>
      </c>
      <c r="B10" s="1" t="s">
        <v>334</v>
      </c>
      <c r="C10" s="1">
        <f>COUNTIF('Guidelines - Data'!$G$3:$G$105,C3)</f>
        <v>41</v>
      </c>
      <c r="D10" s="1">
        <f>COUNTIF('Guidelines - Data'!$G$3:$G$105,D3)</f>
        <v>34</v>
      </c>
      <c r="E10" s="1">
        <f>COUNTIF('Guidelines - Data'!$G$3:$G$105,E3)</f>
        <v>5</v>
      </c>
      <c r="F10" s="1">
        <f>COUNTIF('Guidelines - Data'!$G$3:$G$105,F3)</f>
        <v>13</v>
      </c>
      <c r="G10" s="1">
        <f>COUNTIF('Guidelines - Data'!$G$3:$G$105,G3)</f>
        <v>10</v>
      </c>
      <c r="H10" s="1"/>
      <c r="I10" s="1"/>
      <c r="J10" s="1" t="s">
        <v>887</v>
      </c>
      <c r="K10" s="1">
        <f t="shared" si="0"/>
        <v>39.805825242718448</v>
      </c>
      <c r="L10" s="1">
        <f t="shared" si="1"/>
        <v>33.009708737864081</v>
      </c>
      <c r="M10" s="1">
        <f t="shared" si="2"/>
        <v>4.8543689320388346</v>
      </c>
      <c r="N10" s="1">
        <f t="shared" si="3"/>
        <v>12.621359223300971</v>
      </c>
      <c r="O10" s="1">
        <f t="shared" si="4"/>
        <v>9.7087378640776691</v>
      </c>
      <c r="P10" s="1"/>
      <c r="Q10" s="1"/>
      <c r="R10" s="1"/>
      <c r="S10" s="1" t="s">
        <v>887</v>
      </c>
      <c r="T10" s="1">
        <f t="shared" ref="T10:X10" si="13">ROUND(K10,2)</f>
        <v>39.81</v>
      </c>
      <c r="U10" s="1">
        <f t="shared" si="13"/>
        <v>33.01</v>
      </c>
      <c r="V10" s="1">
        <f t="shared" si="13"/>
        <v>4.8499999999999996</v>
      </c>
      <c r="W10" s="1">
        <f t="shared" si="13"/>
        <v>12.62</v>
      </c>
      <c r="X10" s="1">
        <f t="shared" si="13"/>
        <v>9.7100000000000009</v>
      </c>
      <c r="Y10" s="1"/>
      <c r="Z10" s="1"/>
      <c r="AA10" s="1" t="s">
        <v>887</v>
      </c>
      <c r="AB10" s="1">
        <f t="shared" si="6"/>
        <v>72.815533980582529</v>
      </c>
      <c r="AC10" s="1">
        <f t="shared" si="7"/>
        <v>72.819999999999993</v>
      </c>
      <c r="AD10" s="1"/>
      <c r="AE10" s="1"/>
      <c r="AF10" s="1" t="s">
        <v>883</v>
      </c>
      <c r="AG10" s="1">
        <v>69.900000000000006</v>
      </c>
      <c r="AH10" s="1"/>
      <c r="AI10" s="1"/>
      <c r="AJ10" s="1"/>
      <c r="AK10" s="1"/>
      <c r="AL10" s="1"/>
      <c r="AM10" s="1"/>
      <c r="AN10" s="1"/>
      <c r="AO10" s="1"/>
    </row>
    <row r="11" spans="1:41" ht="15.75" customHeight="1" x14ac:dyDescent="0.15">
      <c r="A11" s="1" t="s">
        <v>888</v>
      </c>
      <c r="B11" s="1" t="s">
        <v>335</v>
      </c>
      <c r="C11" s="1">
        <f>COUNTIF('Guidelines - Data'!$H$3:$H$105,C3)</f>
        <v>13</v>
      </c>
      <c r="D11" s="1">
        <f>COUNTIF('Guidelines - Data'!$H$3:$H$105,D3)</f>
        <v>36</v>
      </c>
      <c r="E11" s="1">
        <f>COUNTIF('Guidelines - Data'!$H$3:$H$105,E3)</f>
        <v>19</v>
      </c>
      <c r="F11" s="1">
        <f>COUNTIF('Guidelines - Data'!$H$3:$H$105,F3)</f>
        <v>27</v>
      </c>
      <c r="G11" s="1">
        <f>COUNTIF('Guidelines - Data'!$H$3:$H$105,G3)</f>
        <v>8</v>
      </c>
      <c r="H11" s="1"/>
      <c r="I11" s="1"/>
      <c r="J11" s="1" t="s">
        <v>888</v>
      </c>
      <c r="K11" s="1">
        <f t="shared" si="0"/>
        <v>12.621359223300971</v>
      </c>
      <c r="L11" s="1">
        <f t="shared" si="1"/>
        <v>34.95145631067961</v>
      </c>
      <c r="M11" s="1">
        <f t="shared" si="2"/>
        <v>18.446601941747574</v>
      </c>
      <c r="N11" s="1">
        <f t="shared" si="3"/>
        <v>26.21359223300971</v>
      </c>
      <c r="O11" s="1">
        <f t="shared" si="4"/>
        <v>7.7669902912621351</v>
      </c>
      <c r="P11" s="1"/>
      <c r="Q11" s="1"/>
      <c r="R11" s="1"/>
      <c r="S11" s="1" t="s">
        <v>888</v>
      </c>
      <c r="T11" s="1">
        <f t="shared" ref="T11:X11" si="14">ROUND(K11,2)</f>
        <v>12.62</v>
      </c>
      <c r="U11" s="1">
        <f t="shared" si="14"/>
        <v>34.950000000000003</v>
      </c>
      <c r="V11" s="1">
        <f t="shared" si="14"/>
        <v>18.45</v>
      </c>
      <c r="W11" s="1">
        <f t="shared" si="14"/>
        <v>26.21</v>
      </c>
      <c r="X11" s="1">
        <f t="shared" si="14"/>
        <v>7.77</v>
      </c>
      <c r="Y11" s="1"/>
      <c r="Z11" s="1"/>
      <c r="AA11" s="1" t="s">
        <v>888</v>
      </c>
      <c r="AB11" s="1">
        <f t="shared" si="6"/>
        <v>47.572815533980581</v>
      </c>
      <c r="AC11" s="1">
        <f t="shared" si="7"/>
        <v>47.57</v>
      </c>
      <c r="AD11" s="1"/>
      <c r="AE11" s="1"/>
      <c r="AF11" s="1" t="s">
        <v>886</v>
      </c>
      <c r="AG11" s="1">
        <v>67.959999999999994</v>
      </c>
      <c r="AH11" s="1"/>
      <c r="AI11" s="1"/>
      <c r="AJ11" s="1"/>
      <c r="AK11" s="1"/>
      <c r="AL11" s="1"/>
      <c r="AM11" s="1"/>
      <c r="AN11" s="1"/>
      <c r="AO11" s="1"/>
    </row>
    <row r="12" spans="1:41" ht="15.75" customHeight="1" x14ac:dyDescent="0.15">
      <c r="A12" s="1" t="s">
        <v>889</v>
      </c>
      <c r="B12" s="1" t="s">
        <v>336</v>
      </c>
      <c r="C12" s="1">
        <f>COUNTIF('Guidelines - Data'!$I$3:$I$105,C3)</f>
        <v>28</v>
      </c>
      <c r="D12" s="1">
        <f>COUNTIF('Guidelines - Data'!$I$3:$I$105,D3)</f>
        <v>41</v>
      </c>
      <c r="E12" s="1">
        <f>COUNTIF('Guidelines - Data'!$I$3:$I$105,E3)</f>
        <v>6</v>
      </c>
      <c r="F12" s="1">
        <f>COUNTIF('Guidelines - Data'!$I$3:$I$105,F3)</f>
        <v>15</v>
      </c>
      <c r="G12" s="1">
        <f>COUNTIF('Guidelines - Data'!$I$3:$I$105,G3)</f>
        <v>13</v>
      </c>
      <c r="H12" s="1"/>
      <c r="I12" s="1"/>
      <c r="J12" s="1" t="s">
        <v>889</v>
      </c>
      <c r="K12" s="1">
        <f t="shared" si="0"/>
        <v>27.184466019417474</v>
      </c>
      <c r="L12" s="1">
        <f t="shared" si="1"/>
        <v>39.805825242718448</v>
      </c>
      <c r="M12" s="1">
        <f t="shared" si="2"/>
        <v>5.825242718446602</v>
      </c>
      <c r="N12" s="1">
        <f t="shared" si="3"/>
        <v>14.563106796116504</v>
      </c>
      <c r="O12" s="1">
        <f t="shared" si="4"/>
        <v>12.621359223300971</v>
      </c>
      <c r="P12" s="1"/>
      <c r="Q12" s="1"/>
      <c r="R12" s="1"/>
      <c r="S12" s="1" t="s">
        <v>889</v>
      </c>
      <c r="T12" s="1">
        <f t="shared" ref="T12:X12" si="15">ROUND(K12,2)</f>
        <v>27.18</v>
      </c>
      <c r="U12" s="1">
        <f t="shared" si="15"/>
        <v>39.81</v>
      </c>
      <c r="V12" s="1">
        <f t="shared" si="15"/>
        <v>5.83</v>
      </c>
      <c r="W12" s="1">
        <f t="shared" si="15"/>
        <v>14.56</v>
      </c>
      <c r="X12" s="1">
        <f t="shared" si="15"/>
        <v>12.62</v>
      </c>
      <c r="Y12" s="1"/>
      <c r="Z12" s="1"/>
      <c r="AA12" s="1" t="s">
        <v>889</v>
      </c>
      <c r="AB12" s="1">
        <f t="shared" si="6"/>
        <v>66.990291262135926</v>
      </c>
      <c r="AC12" s="1">
        <f t="shared" si="7"/>
        <v>66.989999999999995</v>
      </c>
      <c r="AD12" s="1"/>
      <c r="AE12" s="1"/>
      <c r="AF12" s="1" t="s">
        <v>889</v>
      </c>
      <c r="AG12" s="1">
        <v>66.989999999999995</v>
      </c>
      <c r="AH12" s="1"/>
      <c r="AI12" s="1"/>
      <c r="AJ12" s="1"/>
      <c r="AK12" s="1"/>
      <c r="AL12" s="1"/>
      <c r="AM12" s="1"/>
      <c r="AN12" s="1"/>
      <c r="AO12" s="1"/>
    </row>
    <row r="13" spans="1:41" ht="15.75" customHeight="1" x14ac:dyDescent="0.15">
      <c r="A13" s="1" t="s">
        <v>890</v>
      </c>
      <c r="B13" s="1" t="s">
        <v>337</v>
      </c>
      <c r="C13" s="1">
        <f>COUNTIF('Guidelines - Data'!$J$3:$J$105,C3)</f>
        <v>43</v>
      </c>
      <c r="D13" s="1">
        <f>COUNTIF('Guidelines - Data'!$J$3:$J$105,D3)</f>
        <v>29</v>
      </c>
      <c r="E13" s="1">
        <f>COUNTIF('Guidelines - Data'!$J$3:$J$105,E3)</f>
        <v>4</v>
      </c>
      <c r="F13" s="1">
        <f>COUNTIF('Guidelines - Data'!$J$3:$J$105,F3)</f>
        <v>15</v>
      </c>
      <c r="G13" s="1">
        <f>COUNTIF('Guidelines - Data'!$J$3:$J$105,G3)</f>
        <v>12</v>
      </c>
      <c r="H13" s="1"/>
      <c r="I13" s="1"/>
      <c r="J13" s="1" t="s">
        <v>890</v>
      </c>
      <c r="K13" s="1">
        <f t="shared" si="0"/>
        <v>41.747572815533978</v>
      </c>
      <c r="L13" s="1">
        <f t="shared" si="1"/>
        <v>28.155339805825243</v>
      </c>
      <c r="M13" s="1">
        <f t="shared" si="2"/>
        <v>3.8834951456310676</v>
      </c>
      <c r="N13" s="1">
        <f t="shared" si="3"/>
        <v>14.563106796116504</v>
      </c>
      <c r="O13" s="1">
        <f t="shared" si="4"/>
        <v>11.650485436893204</v>
      </c>
      <c r="P13" s="1"/>
      <c r="Q13" s="1"/>
      <c r="R13" s="1"/>
      <c r="S13" s="1" t="s">
        <v>890</v>
      </c>
      <c r="T13" s="1">
        <f t="shared" ref="T13:X13" si="16">ROUND(K13,2)</f>
        <v>41.75</v>
      </c>
      <c r="U13" s="1">
        <f t="shared" si="16"/>
        <v>28.16</v>
      </c>
      <c r="V13" s="1">
        <f t="shared" si="16"/>
        <v>3.88</v>
      </c>
      <c r="W13" s="1">
        <f t="shared" si="16"/>
        <v>14.56</v>
      </c>
      <c r="X13" s="1">
        <f t="shared" si="16"/>
        <v>11.65</v>
      </c>
      <c r="Y13" s="1"/>
      <c r="Z13" s="1"/>
      <c r="AA13" s="1" t="s">
        <v>890</v>
      </c>
      <c r="AB13" s="1">
        <f t="shared" si="6"/>
        <v>69.902912621359221</v>
      </c>
      <c r="AC13" s="1">
        <f t="shared" si="7"/>
        <v>69.900000000000006</v>
      </c>
      <c r="AD13" s="1"/>
      <c r="AE13" s="1"/>
      <c r="AF13" s="1" t="s">
        <v>887</v>
      </c>
      <c r="AG13" s="1">
        <v>65.05</v>
      </c>
      <c r="AH13" s="1"/>
      <c r="AI13" s="1"/>
      <c r="AJ13" s="1"/>
      <c r="AK13" s="1"/>
      <c r="AL13" s="1"/>
      <c r="AM13" s="1"/>
      <c r="AN13" s="1"/>
      <c r="AO13" s="1"/>
    </row>
    <row r="14" spans="1:41" ht="15.75" customHeight="1" x14ac:dyDescent="0.15">
      <c r="A14" s="1" t="s">
        <v>891</v>
      </c>
      <c r="B14" s="1" t="s">
        <v>338</v>
      </c>
      <c r="C14" s="1">
        <f>COUNTIF('Guidelines - Data'!$K$3:$K$105,C3)</f>
        <v>42</v>
      </c>
      <c r="D14" s="1">
        <f>COUNTIF('Guidelines - Data'!$K$3:$K$105,D3)</f>
        <v>32</v>
      </c>
      <c r="E14" s="1">
        <f>COUNTIF('Guidelines - Data'!$K$3:$K$105,E3)</f>
        <v>9</v>
      </c>
      <c r="F14" s="1">
        <f>COUNTIF('Guidelines - Data'!$K$3:$K$105,F3)</f>
        <v>9</v>
      </c>
      <c r="G14" s="1">
        <f>COUNTIF('Guidelines - Data'!$K$3:$K$105,G3)</f>
        <v>11</v>
      </c>
      <c r="H14" s="1"/>
      <c r="I14" s="1"/>
      <c r="J14" s="1" t="s">
        <v>891</v>
      </c>
      <c r="K14" s="1">
        <f t="shared" si="0"/>
        <v>40.776699029126213</v>
      </c>
      <c r="L14" s="1">
        <f t="shared" si="1"/>
        <v>31.067961165048541</v>
      </c>
      <c r="M14" s="1">
        <f t="shared" si="2"/>
        <v>8.7378640776699026</v>
      </c>
      <c r="N14" s="1">
        <f t="shared" si="3"/>
        <v>8.7378640776699026</v>
      </c>
      <c r="O14" s="1">
        <f t="shared" si="4"/>
        <v>10.679611650485436</v>
      </c>
      <c r="P14" s="1"/>
      <c r="Q14" s="1"/>
      <c r="R14" s="1"/>
      <c r="S14" s="1" t="s">
        <v>891</v>
      </c>
      <c r="T14" s="1">
        <f t="shared" ref="T14:X14" si="17">ROUND(K14,2)</f>
        <v>40.78</v>
      </c>
      <c r="U14" s="1">
        <f t="shared" si="17"/>
        <v>31.07</v>
      </c>
      <c r="V14" s="1">
        <f t="shared" si="17"/>
        <v>8.74</v>
      </c>
      <c r="W14" s="1">
        <f t="shared" si="17"/>
        <v>8.74</v>
      </c>
      <c r="X14" s="1">
        <f t="shared" si="17"/>
        <v>10.68</v>
      </c>
      <c r="Y14" s="1"/>
      <c r="Z14" s="1"/>
      <c r="AA14" s="1" t="s">
        <v>891</v>
      </c>
      <c r="AB14" s="1">
        <f t="shared" si="6"/>
        <v>71.844660194174764</v>
      </c>
      <c r="AC14" s="1">
        <f t="shared" si="7"/>
        <v>71.84</v>
      </c>
      <c r="AD14" s="1"/>
      <c r="AE14" s="1"/>
      <c r="AF14" s="1" t="s">
        <v>893</v>
      </c>
      <c r="AG14" s="1">
        <v>64.08</v>
      </c>
      <c r="AH14" s="1"/>
      <c r="AI14" s="1"/>
      <c r="AJ14" s="1"/>
      <c r="AK14" s="1"/>
      <c r="AL14" s="1"/>
      <c r="AM14" s="1"/>
      <c r="AN14" s="1"/>
      <c r="AO14" s="1"/>
    </row>
    <row r="15" spans="1:41" ht="15.75" customHeight="1" x14ac:dyDescent="0.15">
      <c r="A15" s="1" t="s">
        <v>892</v>
      </c>
      <c r="B15" s="1" t="s">
        <v>339</v>
      </c>
      <c r="C15" s="1">
        <f>COUNTIF('Guidelines - Data'!$L$3:$L$105,C3)</f>
        <v>27</v>
      </c>
      <c r="D15" s="1">
        <f>COUNTIF('Guidelines - Data'!$L$3:$L$105,D3)</f>
        <v>43</v>
      </c>
      <c r="E15" s="1">
        <f>COUNTIF('Guidelines - Data'!$L$3:$L$105,E3)</f>
        <v>7</v>
      </c>
      <c r="F15" s="1">
        <f>COUNTIF('Guidelines - Data'!$L$3:$L$105,F3)</f>
        <v>14</v>
      </c>
      <c r="G15" s="1">
        <f>COUNTIF('Guidelines - Data'!$L$3:$L$105,G3)</f>
        <v>12</v>
      </c>
      <c r="H15" s="1"/>
      <c r="I15" s="1"/>
      <c r="J15" s="1" t="s">
        <v>892</v>
      </c>
      <c r="K15" s="1">
        <f t="shared" si="0"/>
        <v>26.21359223300971</v>
      </c>
      <c r="L15" s="1">
        <f t="shared" si="1"/>
        <v>41.747572815533978</v>
      </c>
      <c r="M15" s="1">
        <f t="shared" si="2"/>
        <v>6.7961165048543686</v>
      </c>
      <c r="N15" s="1">
        <f t="shared" si="3"/>
        <v>13.592233009708737</v>
      </c>
      <c r="O15" s="1">
        <f t="shared" si="4"/>
        <v>11.650485436893204</v>
      </c>
      <c r="P15" s="1"/>
      <c r="Q15" s="1"/>
      <c r="R15" s="1"/>
      <c r="S15" s="1" t="s">
        <v>892</v>
      </c>
      <c r="T15" s="1">
        <f t="shared" ref="T15:X15" si="18">ROUND(K15,2)</f>
        <v>26.21</v>
      </c>
      <c r="U15" s="1">
        <f t="shared" si="18"/>
        <v>41.75</v>
      </c>
      <c r="V15" s="1">
        <f t="shared" si="18"/>
        <v>6.8</v>
      </c>
      <c r="W15" s="1">
        <f t="shared" si="18"/>
        <v>13.59</v>
      </c>
      <c r="X15" s="1">
        <f t="shared" si="18"/>
        <v>11.65</v>
      </c>
      <c r="Y15" s="1"/>
      <c r="Z15" s="1"/>
      <c r="AA15" s="1" t="s">
        <v>892</v>
      </c>
      <c r="AB15" s="1">
        <f t="shared" si="6"/>
        <v>67.961165048543691</v>
      </c>
      <c r="AC15" s="1">
        <f t="shared" si="7"/>
        <v>67.959999999999994</v>
      </c>
      <c r="AD15" s="1"/>
      <c r="AE15" s="1"/>
      <c r="AF15" s="1" t="s">
        <v>891</v>
      </c>
      <c r="AG15" s="1">
        <v>55.34</v>
      </c>
      <c r="AH15" s="1"/>
      <c r="AI15" s="1"/>
      <c r="AJ15" s="1"/>
      <c r="AK15" s="1"/>
      <c r="AL15" s="1"/>
      <c r="AM15" s="1"/>
      <c r="AN15" s="1"/>
      <c r="AO15" s="1"/>
    </row>
    <row r="16" spans="1:41" ht="15.75" customHeight="1" x14ac:dyDescent="0.15">
      <c r="A16" s="1" t="s">
        <v>893</v>
      </c>
      <c r="B16" s="1" t="s">
        <v>340</v>
      </c>
      <c r="C16" s="1">
        <f>COUNTIF('Guidelines - Data'!$M$3:$M$105,C3)</f>
        <v>20</v>
      </c>
      <c r="D16" s="1">
        <f>COUNTIF('Guidelines - Data'!$M$3:$M$105,D3)</f>
        <v>36</v>
      </c>
      <c r="E16" s="1">
        <f>COUNTIF('Guidelines - Data'!$M$3:$M$105,E3)</f>
        <v>9</v>
      </c>
      <c r="F16" s="1">
        <f>COUNTIF('Guidelines - Data'!$M$3:$M$105,F3)</f>
        <v>24</v>
      </c>
      <c r="G16" s="1">
        <f>COUNTIF('Guidelines - Data'!$M$3:$M$105,G3)</f>
        <v>14</v>
      </c>
      <c r="H16" s="1"/>
      <c r="I16" s="1"/>
      <c r="J16" s="1" t="s">
        <v>893</v>
      </c>
      <c r="K16" s="1">
        <f t="shared" si="0"/>
        <v>19.417475728155338</v>
      </c>
      <c r="L16" s="1">
        <f t="shared" si="1"/>
        <v>34.95145631067961</v>
      </c>
      <c r="M16" s="1">
        <f t="shared" si="2"/>
        <v>8.7378640776699026</v>
      </c>
      <c r="N16" s="1">
        <f t="shared" si="3"/>
        <v>23.300970873786408</v>
      </c>
      <c r="O16" s="1">
        <f t="shared" si="4"/>
        <v>13.592233009708737</v>
      </c>
      <c r="P16" s="1"/>
      <c r="Q16" s="1"/>
      <c r="R16" s="1"/>
      <c r="S16" s="1" t="s">
        <v>893</v>
      </c>
      <c r="T16" s="1">
        <f t="shared" ref="T16:X16" si="19">ROUND(K16,2)</f>
        <v>19.420000000000002</v>
      </c>
      <c r="U16" s="1">
        <f t="shared" si="19"/>
        <v>34.950000000000003</v>
      </c>
      <c r="V16" s="1">
        <f t="shared" si="19"/>
        <v>8.74</v>
      </c>
      <c r="W16" s="1">
        <f t="shared" si="19"/>
        <v>23.3</v>
      </c>
      <c r="X16" s="1">
        <f t="shared" si="19"/>
        <v>13.59</v>
      </c>
      <c r="Y16" s="1"/>
      <c r="Z16" s="1"/>
      <c r="AA16" s="1" t="s">
        <v>893</v>
      </c>
      <c r="AB16" s="1">
        <f t="shared" si="6"/>
        <v>54.368932038834949</v>
      </c>
      <c r="AC16" s="1">
        <f t="shared" si="7"/>
        <v>54.37</v>
      </c>
      <c r="AD16" s="1"/>
      <c r="AE16" s="1"/>
      <c r="AF16" s="1" t="s">
        <v>897</v>
      </c>
      <c r="AG16" s="1">
        <v>55.34</v>
      </c>
      <c r="AH16" s="1"/>
      <c r="AI16" s="1"/>
      <c r="AJ16" s="1"/>
      <c r="AK16" s="1"/>
      <c r="AL16" s="1"/>
      <c r="AM16" s="1"/>
      <c r="AN16" s="1"/>
      <c r="AO16" s="1"/>
    </row>
    <row r="17" spans="1:41" ht="15.75" customHeight="1" x14ac:dyDescent="0.15">
      <c r="A17" s="1" t="s">
        <v>894</v>
      </c>
      <c r="B17" s="1" t="s">
        <v>341</v>
      </c>
      <c r="C17" s="1">
        <f>COUNTIF('Guidelines - Data'!$N$3:$N$105,C3)</f>
        <v>32</v>
      </c>
      <c r="D17" s="1">
        <f>COUNTIF('Guidelines - Data'!$N$3:$N$105,D3)</f>
        <v>34</v>
      </c>
      <c r="E17" s="1">
        <f>COUNTIF('Guidelines - Data'!$N$3:$N$105,E3)</f>
        <v>9</v>
      </c>
      <c r="F17" s="1">
        <f>COUNTIF('Guidelines - Data'!$N$3:$N$105,F3)</f>
        <v>17</v>
      </c>
      <c r="G17" s="1">
        <f>COUNTIF('Guidelines - Data'!$N$3:$N$105,G3)</f>
        <v>11</v>
      </c>
      <c r="H17" s="1"/>
      <c r="I17" s="1"/>
      <c r="J17" s="1" t="s">
        <v>894</v>
      </c>
      <c r="K17" s="1">
        <f t="shared" si="0"/>
        <v>31.067961165048541</v>
      </c>
      <c r="L17" s="1">
        <f t="shared" si="1"/>
        <v>33.009708737864081</v>
      </c>
      <c r="M17" s="1">
        <f t="shared" si="2"/>
        <v>8.7378640776699026</v>
      </c>
      <c r="N17" s="1">
        <f t="shared" si="3"/>
        <v>16.50485436893204</v>
      </c>
      <c r="O17" s="1">
        <f t="shared" si="4"/>
        <v>10.679611650485436</v>
      </c>
      <c r="P17" s="1"/>
      <c r="Q17" s="1"/>
      <c r="R17" s="1"/>
      <c r="S17" s="1" t="s">
        <v>894</v>
      </c>
      <c r="T17" s="1">
        <f t="shared" ref="T17:X17" si="20">ROUND(K17,2)</f>
        <v>31.07</v>
      </c>
      <c r="U17" s="1">
        <f t="shared" si="20"/>
        <v>33.01</v>
      </c>
      <c r="V17" s="1">
        <f t="shared" si="20"/>
        <v>8.74</v>
      </c>
      <c r="W17" s="1">
        <f t="shared" si="20"/>
        <v>16.5</v>
      </c>
      <c r="X17" s="1">
        <f t="shared" si="20"/>
        <v>10.68</v>
      </c>
      <c r="Y17" s="1"/>
      <c r="Z17" s="1"/>
      <c r="AA17" s="1" t="s">
        <v>894</v>
      </c>
      <c r="AB17" s="1">
        <f t="shared" si="6"/>
        <v>64.077669902912632</v>
      </c>
      <c r="AC17" s="1">
        <f t="shared" si="7"/>
        <v>64.08</v>
      </c>
      <c r="AD17" s="1"/>
      <c r="AE17" s="1"/>
      <c r="AF17" s="1" t="s">
        <v>895</v>
      </c>
      <c r="AG17" s="1">
        <v>54.37</v>
      </c>
      <c r="AH17" s="1"/>
      <c r="AI17" s="1"/>
      <c r="AJ17" s="1"/>
      <c r="AK17" s="1"/>
      <c r="AL17" s="1"/>
      <c r="AM17" s="1"/>
      <c r="AN17" s="1"/>
      <c r="AO17" s="1"/>
    </row>
    <row r="18" spans="1:41" ht="15.75" customHeight="1" x14ac:dyDescent="0.15">
      <c r="A18" s="1" t="s">
        <v>895</v>
      </c>
      <c r="B18" s="1" t="s">
        <v>342</v>
      </c>
      <c r="C18" s="1">
        <f>COUNTIF('Guidelines - Data'!$O$3:$O$105,C3)</f>
        <v>21</v>
      </c>
      <c r="D18" s="1">
        <f>COUNTIF('Guidelines - Data'!$O$3:$O$105,D3)</f>
        <v>36</v>
      </c>
      <c r="E18" s="1">
        <f>COUNTIF('Guidelines - Data'!$O$3:$O$105,E3)</f>
        <v>11</v>
      </c>
      <c r="F18" s="1">
        <f>COUNTIF('Guidelines - Data'!$O$3:$O$105,F3)</f>
        <v>22</v>
      </c>
      <c r="G18" s="1">
        <f>COUNTIF('Guidelines - Data'!$O$3:$O$105,G3)</f>
        <v>13</v>
      </c>
      <c r="H18" s="14"/>
      <c r="I18" s="14"/>
      <c r="J18" s="1" t="s">
        <v>895</v>
      </c>
      <c r="K18" s="1">
        <f t="shared" si="0"/>
        <v>20.388349514563107</v>
      </c>
      <c r="L18" s="1">
        <f t="shared" si="1"/>
        <v>34.95145631067961</v>
      </c>
      <c r="M18" s="1">
        <f t="shared" si="2"/>
        <v>10.679611650485436</v>
      </c>
      <c r="N18" s="1">
        <f t="shared" si="3"/>
        <v>21.359223300970871</v>
      </c>
      <c r="O18" s="1">
        <f t="shared" si="4"/>
        <v>12.621359223300971</v>
      </c>
      <c r="P18" s="14"/>
      <c r="Q18" s="14"/>
      <c r="R18" s="14"/>
      <c r="S18" s="1" t="s">
        <v>895</v>
      </c>
      <c r="T18" s="1">
        <f t="shared" ref="T18:X18" si="21">ROUND(K18,2)</f>
        <v>20.39</v>
      </c>
      <c r="U18" s="1">
        <f t="shared" si="21"/>
        <v>34.950000000000003</v>
      </c>
      <c r="V18" s="1">
        <f t="shared" si="21"/>
        <v>10.68</v>
      </c>
      <c r="W18" s="1">
        <f t="shared" si="21"/>
        <v>21.36</v>
      </c>
      <c r="X18" s="1">
        <f t="shared" si="21"/>
        <v>12.62</v>
      </c>
      <c r="Y18" s="1"/>
      <c r="Z18" s="1"/>
      <c r="AA18" s="1" t="s">
        <v>895</v>
      </c>
      <c r="AB18" s="1">
        <f t="shared" si="6"/>
        <v>55.339805825242713</v>
      </c>
      <c r="AC18" s="1">
        <f t="shared" si="7"/>
        <v>55.34</v>
      </c>
      <c r="AD18" s="1"/>
      <c r="AE18" s="1"/>
      <c r="AF18" s="1" t="s">
        <v>896</v>
      </c>
      <c r="AG18" s="1">
        <v>54.37</v>
      </c>
      <c r="AH18" s="1"/>
      <c r="AI18" s="1"/>
      <c r="AJ18" s="1"/>
      <c r="AK18" s="1"/>
      <c r="AL18" s="1"/>
      <c r="AM18" s="1"/>
      <c r="AN18" s="1"/>
      <c r="AO18" s="1"/>
    </row>
    <row r="19" spans="1:41" ht="15.75" customHeight="1" x14ac:dyDescent="0.15">
      <c r="A19" s="1" t="s">
        <v>896</v>
      </c>
      <c r="B19" s="1" t="s">
        <v>343</v>
      </c>
      <c r="C19" s="1">
        <f>COUNTIF('Guidelines - Data'!$P$3:$P$105,C3)</f>
        <v>21</v>
      </c>
      <c r="D19" s="1">
        <f>COUNTIF('Guidelines - Data'!$P$3:$P$105,D3)</f>
        <v>28</v>
      </c>
      <c r="E19" s="1">
        <f>COUNTIF('Guidelines - Data'!$P$3:$P$105,E3)</f>
        <v>20</v>
      </c>
      <c r="F19" s="1">
        <f>COUNTIF('Guidelines - Data'!$P$3:$P$105,F3)</f>
        <v>18</v>
      </c>
      <c r="G19" s="1">
        <f>COUNTIF('Guidelines - Data'!$P$3:$P$105,G3)</f>
        <v>16</v>
      </c>
      <c r="H19" s="1"/>
      <c r="I19" s="1"/>
      <c r="J19" s="1" t="s">
        <v>896</v>
      </c>
      <c r="K19" s="1">
        <f t="shared" si="0"/>
        <v>20.388349514563107</v>
      </c>
      <c r="L19" s="1">
        <f t="shared" si="1"/>
        <v>27.184466019417474</v>
      </c>
      <c r="M19" s="1">
        <f t="shared" si="2"/>
        <v>19.417475728155338</v>
      </c>
      <c r="N19" s="1">
        <f t="shared" si="3"/>
        <v>17.475728155339805</v>
      </c>
      <c r="O19" s="1">
        <f t="shared" si="4"/>
        <v>15.53398058252427</v>
      </c>
      <c r="P19" s="1"/>
      <c r="Q19" s="1"/>
      <c r="R19" s="1"/>
      <c r="S19" s="1" t="s">
        <v>896</v>
      </c>
      <c r="T19" s="1">
        <f t="shared" ref="T19:X19" si="22">ROUND(K19,2)</f>
        <v>20.39</v>
      </c>
      <c r="U19" s="1">
        <f t="shared" si="22"/>
        <v>27.18</v>
      </c>
      <c r="V19" s="1">
        <f t="shared" si="22"/>
        <v>19.420000000000002</v>
      </c>
      <c r="W19" s="1">
        <f t="shared" si="22"/>
        <v>17.48</v>
      </c>
      <c r="X19" s="1">
        <f t="shared" si="22"/>
        <v>15.53</v>
      </c>
      <c r="Y19" s="1"/>
      <c r="Z19" s="1"/>
      <c r="AA19" s="1" t="s">
        <v>896</v>
      </c>
      <c r="AB19" s="1">
        <f t="shared" si="6"/>
        <v>47.572815533980581</v>
      </c>
      <c r="AC19" s="1">
        <f t="shared" si="7"/>
        <v>47.57</v>
      </c>
      <c r="AD19" s="1"/>
      <c r="AE19" s="1"/>
      <c r="AF19" s="1" t="s">
        <v>892</v>
      </c>
      <c r="AG19" s="1">
        <v>47.57</v>
      </c>
      <c r="AH19" s="1"/>
      <c r="AI19" s="1"/>
      <c r="AJ19" s="1"/>
      <c r="AK19" s="1"/>
      <c r="AL19" s="1"/>
      <c r="AM19" s="1"/>
      <c r="AN19" s="1"/>
      <c r="AO19" s="1"/>
    </row>
    <row r="20" spans="1:41" ht="15.75" customHeight="1" x14ac:dyDescent="0.15">
      <c r="A20" s="1" t="s">
        <v>897</v>
      </c>
      <c r="B20" s="1" t="s">
        <v>344</v>
      </c>
      <c r="C20" s="1">
        <f>COUNTIF('Guidelines - Data'!$Q$3:$Q$105,C3)</f>
        <v>22</v>
      </c>
      <c r="D20" s="1">
        <f>COUNTIF('Guidelines - Data'!$Q$3:$Q$105,D3)</f>
        <v>34</v>
      </c>
      <c r="E20" s="1">
        <f>COUNTIF('Guidelines - Data'!$Q$3:$Q$105,E3)</f>
        <v>7</v>
      </c>
      <c r="F20" s="1">
        <f>COUNTIF('Guidelines - Data'!$Q$3:$Q$105,F3)</f>
        <v>30</v>
      </c>
      <c r="G20" s="1">
        <f>COUNTIF('Guidelines - Data'!$Q$3:$Q$105,G3)</f>
        <v>10</v>
      </c>
      <c r="H20" s="1"/>
      <c r="I20" s="1"/>
      <c r="J20" s="1" t="s">
        <v>897</v>
      </c>
      <c r="K20" s="1">
        <f t="shared" si="0"/>
        <v>21.359223300970871</v>
      </c>
      <c r="L20" s="1">
        <f t="shared" si="1"/>
        <v>33.009708737864081</v>
      </c>
      <c r="M20" s="1">
        <f t="shared" si="2"/>
        <v>6.7961165048543686</v>
      </c>
      <c r="N20" s="1">
        <f t="shared" si="3"/>
        <v>29.126213592233007</v>
      </c>
      <c r="O20" s="1">
        <f t="shared" si="4"/>
        <v>9.7087378640776691</v>
      </c>
      <c r="P20" s="1"/>
      <c r="Q20" s="1"/>
      <c r="R20" s="1"/>
      <c r="S20" s="1" t="s">
        <v>897</v>
      </c>
      <c r="T20" s="1">
        <f t="shared" ref="T20:X20" si="23">ROUND(K20,2)</f>
        <v>21.36</v>
      </c>
      <c r="U20" s="1">
        <f t="shared" si="23"/>
        <v>33.01</v>
      </c>
      <c r="V20" s="1">
        <f t="shared" si="23"/>
        <v>6.8</v>
      </c>
      <c r="W20" s="1">
        <f t="shared" si="23"/>
        <v>29.13</v>
      </c>
      <c r="X20" s="1">
        <f t="shared" si="23"/>
        <v>9.7100000000000009</v>
      </c>
      <c r="Y20" s="1"/>
      <c r="Z20" s="1"/>
      <c r="AA20" s="1" t="s">
        <v>897</v>
      </c>
      <c r="AB20" s="1">
        <f t="shared" si="6"/>
        <v>54.368932038834949</v>
      </c>
      <c r="AC20" s="1">
        <f t="shared" si="7"/>
        <v>54.37</v>
      </c>
      <c r="AD20" s="1"/>
      <c r="AE20" s="1"/>
      <c r="AF20" s="1" t="s">
        <v>888</v>
      </c>
      <c r="AG20" s="1">
        <v>47.57</v>
      </c>
      <c r="AH20" s="1"/>
      <c r="AI20" s="1"/>
      <c r="AJ20" s="1"/>
      <c r="AK20" s="1"/>
      <c r="AL20" s="1"/>
      <c r="AM20" s="1"/>
      <c r="AN20" s="1"/>
      <c r="AO20" s="1"/>
    </row>
    <row r="21" spans="1:41" ht="15.75" customHeight="1" x14ac:dyDescent="0.1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15.75" customHeight="1" x14ac:dyDescent="0.1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15.75"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15.75"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15.75" customHeight="1" x14ac:dyDescent="0.15">
      <c r="A25" s="20"/>
      <c r="B25" s="58" t="s">
        <v>898</v>
      </c>
      <c r="C25" s="51"/>
      <c r="D25" s="51"/>
      <c r="E25" s="51"/>
      <c r="F25" s="51"/>
      <c r="G25" s="51"/>
      <c r="H25" s="51"/>
      <c r="I25" s="1"/>
      <c r="J25" s="32" t="s">
        <v>910</v>
      </c>
      <c r="K25" s="32"/>
      <c r="L25" s="32"/>
      <c r="M25" s="32"/>
      <c r="N25" s="32"/>
      <c r="O25" s="32"/>
      <c r="P25" s="32"/>
      <c r="Q25" s="32"/>
      <c r="R25" s="32"/>
      <c r="S25" s="32"/>
      <c r="T25" s="32"/>
      <c r="U25" s="32"/>
      <c r="V25" s="32"/>
      <c r="W25" s="32"/>
      <c r="X25" s="32"/>
      <c r="Y25" s="32"/>
      <c r="Z25" s="32"/>
      <c r="AA25" s="32"/>
      <c r="AB25" s="32"/>
      <c r="AC25" s="32"/>
      <c r="AD25" s="32"/>
      <c r="AE25" s="32"/>
      <c r="AF25" s="32"/>
      <c r="AG25" s="32"/>
      <c r="AH25" s="1"/>
      <c r="AI25" s="1"/>
      <c r="AJ25" s="1"/>
      <c r="AK25" s="1"/>
      <c r="AL25" s="1"/>
      <c r="AM25" s="1"/>
      <c r="AN25" s="1"/>
      <c r="AO25" s="1"/>
    </row>
    <row r="26" spans="1:41" x14ac:dyDescent="0.2">
      <c r="A26" s="21"/>
      <c r="B26" s="21"/>
      <c r="C26" s="21" t="s">
        <v>354</v>
      </c>
      <c r="D26" s="21" t="s">
        <v>353</v>
      </c>
      <c r="E26" s="21" t="s">
        <v>372</v>
      </c>
      <c r="F26" s="21" t="s">
        <v>351</v>
      </c>
      <c r="G26" s="21" t="s">
        <v>352</v>
      </c>
      <c r="H26" s="21" t="s">
        <v>399</v>
      </c>
      <c r="I26" s="1"/>
      <c r="J26" s="1"/>
      <c r="K26" s="21" t="s">
        <v>354</v>
      </c>
      <c r="L26" s="21" t="s">
        <v>353</v>
      </c>
      <c r="M26" s="21" t="s">
        <v>372</v>
      </c>
      <c r="N26" s="21" t="s">
        <v>351</v>
      </c>
      <c r="O26" s="21" t="s">
        <v>352</v>
      </c>
      <c r="P26" s="21"/>
      <c r="Q26" s="1"/>
      <c r="R26" s="1"/>
      <c r="S26" s="1"/>
      <c r="T26" s="21" t="s">
        <v>354</v>
      </c>
      <c r="U26" s="21" t="s">
        <v>353</v>
      </c>
      <c r="V26" s="21" t="s">
        <v>372</v>
      </c>
      <c r="W26" s="21" t="s">
        <v>351</v>
      </c>
      <c r="X26" s="21" t="s">
        <v>352</v>
      </c>
      <c r="Y26" s="21"/>
      <c r="Z26" s="1"/>
      <c r="AA26" s="5"/>
      <c r="AB26" s="5"/>
      <c r="AC26" s="33" t="s">
        <v>910</v>
      </c>
      <c r="AD26" s="5"/>
      <c r="AE26" s="5"/>
      <c r="AF26" s="5"/>
      <c r="AG26" s="33" t="s">
        <v>911</v>
      </c>
      <c r="AH26" s="5"/>
      <c r="AI26" s="5"/>
      <c r="AJ26" s="5"/>
      <c r="AK26" s="5"/>
      <c r="AL26" s="5"/>
      <c r="AM26" s="5"/>
      <c r="AN26" s="5"/>
      <c r="AO26" s="5"/>
    </row>
    <row r="27" spans="1:41" x14ac:dyDescent="0.2">
      <c r="A27" s="1" t="s">
        <v>881</v>
      </c>
      <c r="B27" s="1" t="s">
        <v>328</v>
      </c>
      <c r="C27" s="1">
        <f>COUNTIF('Guidelines - Data'!$S$3:$S$105,C26)</f>
        <v>7</v>
      </c>
      <c r="D27" s="1">
        <f>COUNTIF('Guidelines - Data'!$S$3:$S$105,D26)</f>
        <v>31</v>
      </c>
      <c r="E27" s="1">
        <f>COUNTIF('Guidelines - Data'!$S$3:$S$105,E26)</f>
        <v>11</v>
      </c>
      <c r="F27" s="1">
        <f>COUNTIF('Guidelines - Data'!$S$3:$S$105,F26)</f>
        <v>37</v>
      </c>
      <c r="G27" s="1">
        <f>COUNTIF('Guidelines - Data'!$S$3:$S$105,G26)</f>
        <v>17</v>
      </c>
      <c r="H27" s="1">
        <f>COUNTIF('Guidelines - Data'!$S$3:$S$105,H26)</f>
        <v>0</v>
      </c>
      <c r="I27" s="1"/>
      <c r="J27" s="1" t="s">
        <v>881</v>
      </c>
      <c r="K27" s="1">
        <f t="shared" ref="K27:K43" si="24">(C27/(C27+D27+E27+F27+G27))*100</f>
        <v>6.7961165048543686</v>
      </c>
      <c r="L27" s="1">
        <f t="shared" ref="L27:L43" si="25">(D27/(C27+D27+E27+F27+G27))*100</f>
        <v>30.097087378640776</v>
      </c>
      <c r="M27" s="1">
        <f t="shared" ref="M27:M43" si="26">(E27/(C27+D27+E27+F27+G27))*100</f>
        <v>10.679611650485436</v>
      </c>
      <c r="N27" s="1">
        <f t="shared" ref="N27:N43" si="27">(F27/(C27+D27+E27+F27+G27))*100</f>
        <v>35.922330097087382</v>
      </c>
      <c r="O27" s="1">
        <f t="shared" ref="O27:O43" si="28">(G27/(C27+D27+E27+F27+G27))*100</f>
        <v>16.50485436893204</v>
      </c>
      <c r="P27" s="1"/>
      <c r="Q27" s="1"/>
      <c r="R27" s="1"/>
      <c r="S27" s="1" t="s">
        <v>881</v>
      </c>
      <c r="T27" s="1">
        <f t="shared" ref="T27:X27" si="29">ROUND(K27,2)</f>
        <v>6.8</v>
      </c>
      <c r="U27" s="1">
        <f t="shared" si="29"/>
        <v>30.1</v>
      </c>
      <c r="V27" s="1">
        <f t="shared" si="29"/>
        <v>10.68</v>
      </c>
      <c r="W27" s="1">
        <f t="shared" si="29"/>
        <v>35.92</v>
      </c>
      <c r="X27" s="1">
        <f t="shared" si="29"/>
        <v>16.5</v>
      </c>
      <c r="Y27" s="1"/>
      <c r="Z27" s="1"/>
      <c r="AA27" s="1" t="s">
        <v>881</v>
      </c>
      <c r="AB27" s="5">
        <f t="shared" ref="AB27:AB43" si="30">((C27+D27)/(C27+D27+E27+F27+G27))*100</f>
        <v>36.893203883495147</v>
      </c>
      <c r="AC27" s="5">
        <f t="shared" ref="AC27:AC43" si="31">ROUND(AB27,2)</f>
        <v>36.89</v>
      </c>
      <c r="AD27" s="5"/>
      <c r="AE27" s="5"/>
      <c r="AF27" s="1" t="s">
        <v>890</v>
      </c>
      <c r="AG27" s="5">
        <v>63.73</v>
      </c>
      <c r="AH27" s="5"/>
      <c r="AI27" s="5"/>
      <c r="AJ27" s="5"/>
      <c r="AK27" s="5"/>
      <c r="AL27" s="5"/>
      <c r="AM27" s="5"/>
      <c r="AN27" s="5"/>
      <c r="AO27" s="5"/>
    </row>
    <row r="28" spans="1:41" x14ac:dyDescent="0.2">
      <c r="A28" s="1" t="s">
        <v>882</v>
      </c>
      <c r="B28" s="1" t="s">
        <v>329</v>
      </c>
      <c r="C28" s="1">
        <f>COUNTIF('Guidelines - Data'!$T$3:$T$105,C26)</f>
        <v>6</v>
      </c>
      <c r="D28" s="1">
        <f>COUNTIF('Guidelines - Data'!$T$3:$T$105,D26)</f>
        <v>29</v>
      </c>
      <c r="E28" s="1">
        <f>COUNTIF('Guidelines - Data'!$T$3:$T$105,E26)</f>
        <v>19</v>
      </c>
      <c r="F28" s="1">
        <f>COUNTIF('Guidelines - Data'!$T$3:$T$105,F26)</f>
        <v>29</v>
      </c>
      <c r="G28" s="1">
        <f>COUNTIF('Guidelines - Data'!$T$3:$T$105,G26)</f>
        <v>20</v>
      </c>
      <c r="H28" s="1">
        <f>COUNTIF('Guidelines - Data'!$T$3:$T$105,H26)</f>
        <v>0</v>
      </c>
      <c r="I28" s="1"/>
      <c r="J28" s="1" t="s">
        <v>882</v>
      </c>
      <c r="K28" s="1">
        <f t="shared" si="24"/>
        <v>5.825242718446602</v>
      </c>
      <c r="L28" s="1">
        <f t="shared" si="25"/>
        <v>28.155339805825243</v>
      </c>
      <c r="M28" s="1">
        <f t="shared" si="26"/>
        <v>18.446601941747574</v>
      </c>
      <c r="N28" s="1">
        <f t="shared" si="27"/>
        <v>28.155339805825243</v>
      </c>
      <c r="O28" s="1">
        <f t="shared" si="28"/>
        <v>19.417475728155338</v>
      </c>
      <c r="P28" s="1"/>
      <c r="Q28" s="1"/>
      <c r="R28" s="1"/>
      <c r="S28" s="1" t="s">
        <v>882</v>
      </c>
      <c r="T28" s="1">
        <f t="shared" ref="T28:X28" si="32">ROUND(K28,2)</f>
        <v>5.83</v>
      </c>
      <c r="U28" s="1">
        <f t="shared" si="32"/>
        <v>28.16</v>
      </c>
      <c r="V28" s="1">
        <f t="shared" si="32"/>
        <v>18.45</v>
      </c>
      <c r="W28" s="1">
        <f t="shared" si="32"/>
        <v>28.16</v>
      </c>
      <c r="X28" s="1">
        <f t="shared" si="32"/>
        <v>19.420000000000002</v>
      </c>
      <c r="Y28" s="1"/>
      <c r="Z28" s="1"/>
      <c r="AA28" s="1" t="s">
        <v>882</v>
      </c>
      <c r="AB28" s="5">
        <f t="shared" si="30"/>
        <v>33.980582524271846</v>
      </c>
      <c r="AC28" s="5">
        <f t="shared" si="31"/>
        <v>33.979999999999997</v>
      </c>
      <c r="AD28" s="5"/>
      <c r="AE28" s="5"/>
      <c r="AF28" s="1" t="s">
        <v>885</v>
      </c>
      <c r="AG28" s="5">
        <v>59.22</v>
      </c>
      <c r="AH28" s="5"/>
      <c r="AI28" s="5"/>
      <c r="AJ28" s="5"/>
      <c r="AK28" s="5"/>
      <c r="AL28" s="5"/>
      <c r="AM28" s="5"/>
      <c r="AN28" s="5"/>
      <c r="AO28" s="5"/>
    </row>
    <row r="29" spans="1:41" x14ac:dyDescent="0.2">
      <c r="A29" s="1" t="s">
        <v>883</v>
      </c>
      <c r="B29" s="1" t="s">
        <v>330</v>
      </c>
      <c r="C29" s="1">
        <f>COUNTIF('Guidelines - Data'!$U$3:$U$105,C26)</f>
        <v>4</v>
      </c>
      <c r="D29" s="1">
        <f>COUNTIF('Guidelines - Data'!$U$3:$U$105,D26)</f>
        <v>22</v>
      </c>
      <c r="E29" s="1">
        <f>COUNTIF('Guidelines - Data'!$U$3:$U$105,E26)</f>
        <v>19</v>
      </c>
      <c r="F29" s="1">
        <f>COUNTIF('Guidelines - Data'!$U$3:$U$105,F26)</f>
        <v>38</v>
      </c>
      <c r="G29" s="1">
        <f>COUNTIF('Guidelines - Data'!$U$3:$U$105,G26)</f>
        <v>20</v>
      </c>
      <c r="H29" s="1">
        <f>COUNTIF('Guidelines - Data'!$U$3:$U$105,H26)</f>
        <v>0</v>
      </c>
      <c r="I29" s="1"/>
      <c r="J29" s="1" t="s">
        <v>883</v>
      </c>
      <c r="K29" s="1">
        <f t="shared" si="24"/>
        <v>3.8834951456310676</v>
      </c>
      <c r="L29" s="1">
        <f t="shared" si="25"/>
        <v>21.359223300970871</v>
      </c>
      <c r="M29" s="1">
        <f t="shared" si="26"/>
        <v>18.446601941747574</v>
      </c>
      <c r="N29" s="1">
        <f t="shared" si="27"/>
        <v>36.893203883495147</v>
      </c>
      <c r="O29" s="1">
        <f t="shared" si="28"/>
        <v>19.417475728155338</v>
      </c>
      <c r="P29" s="1"/>
      <c r="Q29" s="1"/>
      <c r="R29" s="1"/>
      <c r="S29" s="1" t="s">
        <v>883</v>
      </c>
      <c r="T29" s="1">
        <f t="shared" ref="T29:X29" si="33">ROUND(K29,2)</f>
        <v>3.88</v>
      </c>
      <c r="U29" s="1">
        <f t="shared" si="33"/>
        <v>21.36</v>
      </c>
      <c r="V29" s="1">
        <f t="shared" si="33"/>
        <v>18.45</v>
      </c>
      <c r="W29" s="1">
        <f t="shared" si="33"/>
        <v>36.89</v>
      </c>
      <c r="X29" s="1">
        <f t="shared" si="33"/>
        <v>19.420000000000002</v>
      </c>
      <c r="Y29" s="1"/>
      <c r="Z29" s="1"/>
      <c r="AA29" s="1" t="s">
        <v>883</v>
      </c>
      <c r="AB29" s="5">
        <f t="shared" si="30"/>
        <v>25.242718446601941</v>
      </c>
      <c r="AC29" s="5">
        <f t="shared" si="31"/>
        <v>25.24</v>
      </c>
      <c r="AD29" s="5"/>
      <c r="AE29" s="5"/>
      <c r="AF29" s="1" t="s">
        <v>889</v>
      </c>
      <c r="AG29" s="5">
        <v>57.84</v>
      </c>
      <c r="AH29" s="5"/>
      <c r="AI29" s="5"/>
      <c r="AJ29" s="5"/>
      <c r="AK29" s="5"/>
      <c r="AL29" s="5"/>
      <c r="AM29" s="5"/>
      <c r="AN29" s="5"/>
      <c r="AO29" s="5"/>
    </row>
    <row r="30" spans="1:41" x14ac:dyDescent="0.2">
      <c r="A30" s="1" t="s">
        <v>884</v>
      </c>
      <c r="B30" s="1" t="s">
        <v>331</v>
      </c>
      <c r="C30" s="1">
        <f>COUNTIF('Guidelines - Data'!$V$3:$V$105,C26)</f>
        <v>6</v>
      </c>
      <c r="D30" s="1">
        <f>COUNTIF('Guidelines - Data'!$V$3:$V$105,D26)</f>
        <v>47</v>
      </c>
      <c r="E30" s="1">
        <f>COUNTIF('Guidelines - Data'!$V$3:$V$105,E26)</f>
        <v>16</v>
      </c>
      <c r="F30" s="1">
        <f>COUNTIF('Guidelines - Data'!$V$3:$V$105,F26)</f>
        <v>26</v>
      </c>
      <c r="G30" s="1">
        <f>COUNTIF('Guidelines - Data'!$V$3:$V$105,G26)</f>
        <v>8</v>
      </c>
      <c r="H30" s="1">
        <f>COUNTIF('Guidelines - Data'!$V$3:$V$105,H26)</f>
        <v>0</v>
      </c>
      <c r="I30" s="1"/>
      <c r="J30" s="1" t="s">
        <v>884</v>
      </c>
      <c r="K30" s="1">
        <f t="shared" si="24"/>
        <v>5.825242718446602</v>
      </c>
      <c r="L30" s="1">
        <f t="shared" si="25"/>
        <v>45.631067961165051</v>
      </c>
      <c r="M30" s="1">
        <f t="shared" si="26"/>
        <v>15.53398058252427</v>
      </c>
      <c r="N30" s="1">
        <f t="shared" si="27"/>
        <v>25.242718446601941</v>
      </c>
      <c r="O30" s="1">
        <f t="shared" si="28"/>
        <v>7.7669902912621351</v>
      </c>
      <c r="P30" s="1"/>
      <c r="Q30" s="1"/>
      <c r="R30" s="1"/>
      <c r="S30" s="1" t="s">
        <v>884</v>
      </c>
      <c r="T30" s="1">
        <f t="shared" ref="T30:X30" si="34">ROUND(K30,2)</f>
        <v>5.83</v>
      </c>
      <c r="U30" s="1">
        <f t="shared" si="34"/>
        <v>45.63</v>
      </c>
      <c r="V30" s="1">
        <f t="shared" si="34"/>
        <v>15.53</v>
      </c>
      <c r="W30" s="1">
        <f t="shared" si="34"/>
        <v>25.24</v>
      </c>
      <c r="X30" s="1">
        <f t="shared" si="34"/>
        <v>7.77</v>
      </c>
      <c r="Y30" s="1"/>
      <c r="Z30" s="1"/>
      <c r="AA30" s="1" t="s">
        <v>884</v>
      </c>
      <c r="AB30" s="5">
        <f t="shared" si="30"/>
        <v>51.456310679611647</v>
      </c>
      <c r="AC30" s="5">
        <f t="shared" si="31"/>
        <v>51.46</v>
      </c>
      <c r="AD30" s="5"/>
      <c r="AE30" s="5"/>
      <c r="AF30" s="1" t="s">
        <v>884</v>
      </c>
      <c r="AG30" s="5">
        <v>51.46</v>
      </c>
      <c r="AH30" s="5"/>
      <c r="AI30" s="5"/>
      <c r="AJ30" s="5"/>
      <c r="AK30" s="5"/>
      <c r="AL30" s="5"/>
      <c r="AM30" s="5"/>
      <c r="AN30" s="5"/>
      <c r="AO30" s="5"/>
    </row>
    <row r="31" spans="1:41" x14ac:dyDescent="0.2">
      <c r="A31" s="1" t="s">
        <v>885</v>
      </c>
      <c r="B31" s="1" t="s">
        <v>332</v>
      </c>
      <c r="C31" s="1">
        <f>COUNTIF('Guidelines - Data'!$W$3:$W$105,C26)</f>
        <v>12</v>
      </c>
      <c r="D31" s="1">
        <f>COUNTIF('Guidelines - Data'!$W$3:$W$105,D26)</f>
        <v>49</v>
      </c>
      <c r="E31" s="1">
        <f>COUNTIF('Guidelines - Data'!$W$3:$W$105,E26)</f>
        <v>9</v>
      </c>
      <c r="F31" s="1">
        <f>COUNTIF('Guidelines - Data'!$W$3:$W$105,F26)</f>
        <v>18</v>
      </c>
      <c r="G31" s="1">
        <f>COUNTIF('Guidelines - Data'!$W$3:$W$105,G26)</f>
        <v>15</v>
      </c>
      <c r="H31" s="1">
        <f>COUNTIF('Guidelines - Data'!$W$3:$W$105,H26)</f>
        <v>0</v>
      </c>
      <c r="I31" s="1"/>
      <c r="J31" s="1" t="s">
        <v>885</v>
      </c>
      <c r="K31" s="1">
        <f t="shared" si="24"/>
        <v>11.650485436893204</v>
      </c>
      <c r="L31" s="1">
        <f t="shared" si="25"/>
        <v>47.572815533980581</v>
      </c>
      <c r="M31" s="1">
        <f t="shared" si="26"/>
        <v>8.7378640776699026</v>
      </c>
      <c r="N31" s="1">
        <f t="shared" si="27"/>
        <v>17.475728155339805</v>
      </c>
      <c r="O31" s="1">
        <f t="shared" si="28"/>
        <v>14.563106796116504</v>
      </c>
      <c r="P31" s="1"/>
      <c r="Q31" s="1"/>
      <c r="R31" s="1"/>
      <c r="S31" s="1" t="s">
        <v>885</v>
      </c>
      <c r="T31" s="1">
        <f t="shared" ref="T31:X31" si="35">ROUND(K31,2)</f>
        <v>11.65</v>
      </c>
      <c r="U31" s="1">
        <f t="shared" si="35"/>
        <v>47.57</v>
      </c>
      <c r="V31" s="1">
        <f t="shared" si="35"/>
        <v>8.74</v>
      </c>
      <c r="W31" s="1">
        <f t="shared" si="35"/>
        <v>17.48</v>
      </c>
      <c r="X31" s="1">
        <f t="shared" si="35"/>
        <v>14.56</v>
      </c>
      <c r="Y31" s="1"/>
      <c r="Z31" s="1"/>
      <c r="AA31" s="1" t="s">
        <v>885</v>
      </c>
      <c r="AB31" s="5">
        <f t="shared" si="30"/>
        <v>59.22330097087378</v>
      </c>
      <c r="AC31" s="5">
        <f t="shared" si="31"/>
        <v>59.22</v>
      </c>
      <c r="AD31" s="5"/>
      <c r="AE31" s="5"/>
      <c r="AF31" s="1" t="s">
        <v>888</v>
      </c>
      <c r="AG31" s="5">
        <v>49.51</v>
      </c>
      <c r="AH31" s="5"/>
      <c r="AI31" s="5"/>
      <c r="AJ31" s="5"/>
      <c r="AK31" s="5"/>
      <c r="AL31" s="5"/>
      <c r="AM31" s="5"/>
      <c r="AN31" s="5"/>
      <c r="AO31" s="5"/>
    </row>
    <row r="32" spans="1:41" x14ac:dyDescent="0.2">
      <c r="A32" s="1" t="s">
        <v>886</v>
      </c>
      <c r="B32" s="1" t="s">
        <v>333</v>
      </c>
      <c r="C32" s="1">
        <f>COUNTIF('Guidelines - Data'!$X$3:$X$105,C26)</f>
        <v>8</v>
      </c>
      <c r="D32" s="1">
        <f>COUNTIF('Guidelines - Data'!$X$3:$X$105,D26)</f>
        <v>40</v>
      </c>
      <c r="E32" s="1">
        <f>COUNTIF('Guidelines - Data'!$X$3:$X$105,E26)</f>
        <v>18</v>
      </c>
      <c r="F32" s="1">
        <f>COUNTIF('Guidelines - Data'!$X$3:$X$105,F26)</f>
        <v>30</v>
      </c>
      <c r="G32" s="1">
        <f>COUNTIF('Guidelines - Data'!$X$3:$X$105,G26)</f>
        <v>7</v>
      </c>
      <c r="H32" s="1">
        <f>COUNTIF('Guidelines - Data'!$X$3:$X$105,H26)</f>
        <v>0</v>
      </c>
      <c r="I32" s="1"/>
      <c r="J32" s="1" t="s">
        <v>886</v>
      </c>
      <c r="K32" s="1">
        <f t="shared" si="24"/>
        <v>7.7669902912621351</v>
      </c>
      <c r="L32" s="1">
        <f t="shared" si="25"/>
        <v>38.834951456310677</v>
      </c>
      <c r="M32" s="1">
        <f t="shared" si="26"/>
        <v>17.475728155339805</v>
      </c>
      <c r="N32" s="1">
        <f t="shared" si="27"/>
        <v>29.126213592233007</v>
      </c>
      <c r="O32" s="1">
        <f t="shared" si="28"/>
        <v>6.7961165048543686</v>
      </c>
      <c r="P32" s="1"/>
      <c r="Q32" s="1"/>
      <c r="R32" s="1"/>
      <c r="S32" s="1" t="s">
        <v>886</v>
      </c>
      <c r="T32" s="1">
        <f t="shared" ref="T32:X32" si="36">ROUND(K32,2)</f>
        <v>7.77</v>
      </c>
      <c r="U32" s="1">
        <f t="shared" si="36"/>
        <v>38.83</v>
      </c>
      <c r="V32" s="1">
        <f t="shared" si="36"/>
        <v>17.48</v>
      </c>
      <c r="W32" s="1">
        <f t="shared" si="36"/>
        <v>29.13</v>
      </c>
      <c r="X32" s="1">
        <f t="shared" si="36"/>
        <v>6.8</v>
      </c>
      <c r="Y32" s="1"/>
      <c r="Z32" s="1"/>
      <c r="AA32" s="1" t="s">
        <v>886</v>
      </c>
      <c r="AB32" s="5">
        <f t="shared" si="30"/>
        <v>46.601941747572816</v>
      </c>
      <c r="AC32" s="5">
        <f t="shared" si="31"/>
        <v>46.6</v>
      </c>
      <c r="AD32" s="5"/>
      <c r="AE32" s="5"/>
      <c r="AF32" s="1" t="s">
        <v>895</v>
      </c>
      <c r="AG32" s="5">
        <v>49.5</v>
      </c>
      <c r="AH32" s="5"/>
      <c r="AI32" s="5"/>
      <c r="AJ32" s="5"/>
      <c r="AK32" s="5"/>
      <c r="AL32" s="5"/>
      <c r="AM32" s="5"/>
      <c r="AN32" s="5"/>
      <c r="AO32" s="5"/>
    </row>
    <row r="33" spans="1:41" x14ac:dyDescent="0.2">
      <c r="A33" s="1" t="s">
        <v>887</v>
      </c>
      <c r="B33" s="1" t="s">
        <v>334</v>
      </c>
      <c r="C33" s="1">
        <f>COUNTIF('Guidelines - Data'!$Y$3:$Y$105,C26)</f>
        <v>12</v>
      </c>
      <c r="D33" s="1">
        <f>COUNTIF('Guidelines - Data'!$Y$3:$Y$105,D26)</f>
        <v>37</v>
      </c>
      <c r="E33" s="1">
        <f>COUNTIF('Guidelines - Data'!$Y$3:$Y$105,E26)</f>
        <v>12</v>
      </c>
      <c r="F33" s="1">
        <f>COUNTIF('Guidelines - Data'!$Y$3:$Y$105,F26)</f>
        <v>28</v>
      </c>
      <c r="G33" s="1">
        <f>COUNTIF('Guidelines - Data'!$Y$3:$Y$105,G26)</f>
        <v>14</v>
      </c>
      <c r="H33" s="1">
        <f>COUNTIF('Guidelines - Data'!$Y$3:$Y$105,H26)</f>
        <v>0</v>
      </c>
      <c r="I33" s="1"/>
      <c r="J33" s="1" t="s">
        <v>887</v>
      </c>
      <c r="K33" s="1">
        <f t="shared" si="24"/>
        <v>11.650485436893204</v>
      </c>
      <c r="L33" s="1">
        <f t="shared" si="25"/>
        <v>35.922330097087382</v>
      </c>
      <c r="M33" s="1">
        <f t="shared" si="26"/>
        <v>11.650485436893204</v>
      </c>
      <c r="N33" s="1">
        <f t="shared" si="27"/>
        <v>27.184466019417474</v>
      </c>
      <c r="O33" s="1">
        <f t="shared" si="28"/>
        <v>13.592233009708737</v>
      </c>
      <c r="P33" s="1"/>
      <c r="Q33" s="1"/>
      <c r="R33" s="1"/>
      <c r="S33" s="1" t="s">
        <v>887</v>
      </c>
      <c r="T33" s="1">
        <f t="shared" ref="T33:X33" si="37">ROUND(K33,2)</f>
        <v>11.65</v>
      </c>
      <c r="U33" s="1">
        <f t="shared" si="37"/>
        <v>35.92</v>
      </c>
      <c r="V33" s="1">
        <f t="shared" si="37"/>
        <v>11.65</v>
      </c>
      <c r="W33" s="1">
        <f t="shared" si="37"/>
        <v>27.18</v>
      </c>
      <c r="X33" s="1">
        <f t="shared" si="37"/>
        <v>13.59</v>
      </c>
      <c r="Y33" s="1"/>
      <c r="Z33" s="1"/>
      <c r="AA33" s="1" t="s">
        <v>887</v>
      </c>
      <c r="AB33" s="5">
        <f t="shared" si="30"/>
        <v>47.572815533980581</v>
      </c>
      <c r="AC33" s="5">
        <f t="shared" si="31"/>
        <v>47.57</v>
      </c>
      <c r="AD33" s="5"/>
      <c r="AE33" s="5"/>
      <c r="AF33" s="1" t="s">
        <v>887</v>
      </c>
      <c r="AG33" s="5">
        <v>47.57</v>
      </c>
      <c r="AH33" s="5"/>
      <c r="AI33" s="5"/>
      <c r="AJ33" s="5"/>
      <c r="AK33" s="5"/>
      <c r="AL33" s="5"/>
      <c r="AM33" s="5"/>
      <c r="AN33" s="5"/>
      <c r="AO33" s="5"/>
    </row>
    <row r="34" spans="1:41" x14ac:dyDescent="0.2">
      <c r="A34" s="1" t="s">
        <v>888</v>
      </c>
      <c r="B34" s="1" t="s">
        <v>335</v>
      </c>
      <c r="C34" s="1">
        <f>COUNTIF('Guidelines - Data'!$Z$3:$Z$105,C26)</f>
        <v>11</v>
      </c>
      <c r="D34" s="1">
        <f>COUNTIF('Guidelines - Data'!$Z$3:$Z$105,D26)</f>
        <v>40</v>
      </c>
      <c r="E34" s="1">
        <f>COUNTIF('Guidelines - Data'!$Z$3:$Z$105,E26)</f>
        <v>19</v>
      </c>
      <c r="F34" s="1">
        <f>COUNTIF('Guidelines - Data'!$Z$3:$Z$105,F26)</f>
        <v>27</v>
      </c>
      <c r="G34" s="1">
        <f>COUNTIF('Guidelines - Data'!$Z$3:$Z$105,G26)</f>
        <v>6</v>
      </c>
      <c r="H34" s="1">
        <f>COUNTIF('Guidelines - Data'!$Z$3:$Z$105,H26)</f>
        <v>0</v>
      </c>
      <c r="I34" s="1"/>
      <c r="J34" s="1" t="s">
        <v>888</v>
      </c>
      <c r="K34" s="1">
        <f t="shared" si="24"/>
        <v>10.679611650485436</v>
      </c>
      <c r="L34" s="1">
        <f t="shared" si="25"/>
        <v>38.834951456310677</v>
      </c>
      <c r="M34" s="1">
        <f t="shared" si="26"/>
        <v>18.446601941747574</v>
      </c>
      <c r="N34" s="1">
        <f t="shared" si="27"/>
        <v>26.21359223300971</v>
      </c>
      <c r="O34" s="1">
        <f t="shared" si="28"/>
        <v>5.825242718446602</v>
      </c>
      <c r="P34" s="1"/>
      <c r="Q34" s="1"/>
      <c r="R34" s="1"/>
      <c r="S34" s="1" t="s">
        <v>888</v>
      </c>
      <c r="T34" s="1">
        <f t="shared" ref="T34:X34" si="38">ROUND(K34,2)</f>
        <v>10.68</v>
      </c>
      <c r="U34" s="1">
        <f t="shared" si="38"/>
        <v>38.83</v>
      </c>
      <c r="V34" s="1">
        <f t="shared" si="38"/>
        <v>18.45</v>
      </c>
      <c r="W34" s="1">
        <f t="shared" si="38"/>
        <v>26.21</v>
      </c>
      <c r="X34" s="1">
        <f t="shared" si="38"/>
        <v>5.83</v>
      </c>
      <c r="Y34" s="1"/>
      <c r="Z34" s="1"/>
      <c r="AA34" s="1" t="s">
        <v>888</v>
      </c>
      <c r="AB34" s="5">
        <f t="shared" si="30"/>
        <v>49.514563106796118</v>
      </c>
      <c r="AC34" s="5">
        <f t="shared" si="31"/>
        <v>49.51</v>
      </c>
      <c r="AD34" s="5"/>
      <c r="AE34" s="5"/>
      <c r="AF34" s="1" t="s">
        <v>886</v>
      </c>
      <c r="AG34" s="5">
        <v>46.6</v>
      </c>
      <c r="AH34" s="5"/>
      <c r="AI34" s="5"/>
      <c r="AJ34" s="5"/>
      <c r="AK34" s="5"/>
      <c r="AL34" s="5"/>
      <c r="AM34" s="5"/>
      <c r="AN34" s="5"/>
      <c r="AO34" s="5"/>
    </row>
    <row r="35" spans="1:41" x14ac:dyDescent="0.2">
      <c r="A35" s="1" t="s">
        <v>889</v>
      </c>
      <c r="B35" s="1" t="s">
        <v>336</v>
      </c>
      <c r="C35" s="1">
        <f>COUNTIF('Guidelines - Data'!$AA$3:$AA$105,C26)</f>
        <v>11</v>
      </c>
      <c r="D35" s="1">
        <f>COUNTIF('Guidelines - Data'!$AA$3:$AA$105,D26)</f>
        <v>48</v>
      </c>
      <c r="E35" s="1">
        <f>COUNTIF('Guidelines - Data'!$AA$3:$AA$105,E26)</f>
        <v>16</v>
      </c>
      <c r="F35" s="1">
        <f>COUNTIF('Guidelines - Data'!$AA$3:$AA$105,F26)</f>
        <v>19</v>
      </c>
      <c r="G35" s="1">
        <f>COUNTIF('Guidelines - Data'!$AA$3:$AA$105,G26)</f>
        <v>8</v>
      </c>
      <c r="H35" s="1">
        <f>COUNTIF('Guidelines - Data'!$AA$3:$AA$105,H26)</f>
        <v>1</v>
      </c>
      <c r="I35" s="1"/>
      <c r="J35" s="1" t="s">
        <v>889</v>
      </c>
      <c r="K35" s="1">
        <f t="shared" si="24"/>
        <v>10.784313725490197</v>
      </c>
      <c r="L35" s="1">
        <f t="shared" si="25"/>
        <v>47.058823529411761</v>
      </c>
      <c r="M35" s="1">
        <f t="shared" si="26"/>
        <v>15.686274509803921</v>
      </c>
      <c r="N35" s="1">
        <f t="shared" si="27"/>
        <v>18.627450980392158</v>
      </c>
      <c r="O35" s="1">
        <f t="shared" si="28"/>
        <v>7.8431372549019605</v>
      </c>
      <c r="P35" s="1"/>
      <c r="Q35" s="1"/>
      <c r="R35" s="1"/>
      <c r="S35" s="1" t="s">
        <v>889</v>
      </c>
      <c r="T35" s="1">
        <f t="shared" ref="T35:X35" si="39">ROUND(K35,2)</f>
        <v>10.78</v>
      </c>
      <c r="U35" s="1">
        <f t="shared" si="39"/>
        <v>47.06</v>
      </c>
      <c r="V35" s="1">
        <f t="shared" si="39"/>
        <v>15.69</v>
      </c>
      <c r="W35" s="1">
        <f t="shared" si="39"/>
        <v>18.63</v>
      </c>
      <c r="X35" s="1">
        <f t="shared" si="39"/>
        <v>7.84</v>
      </c>
      <c r="Y35" s="1"/>
      <c r="Z35" s="1"/>
      <c r="AA35" s="1" t="s">
        <v>889</v>
      </c>
      <c r="AB35" s="5">
        <f t="shared" si="30"/>
        <v>57.843137254901968</v>
      </c>
      <c r="AC35" s="5">
        <f t="shared" si="31"/>
        <v>57.84</v>
      </c>
      <c r="AD35" s="5"/>
      <c r="AE35" s="5"/>
      <c r="AF35" s="1" t="s">
        <v>892</v>
      </c>
      <c r="AG35" s="5">
        <v>45.63</v>
      </c>
      <c r="AH35" s="5"/>
      <c r="AI35" s="5"/>
      <c r="AJ35" s="5"/>
      <c r="AK35" s="5"/>
      <c r="AL35" s="5"/>
      <c r="AM35" s="5"/>
      <c r="AN35" s="5"/>
      <c r="AO35" s="5"/>
    </row>
    <row r="36" spans="1:41" x14ac:dyDescent="0.2">
      <c r="A36" s="1" t="s">
        <v>890</v>
      </c>
      <c r="B36" s="1" t="s">
        <v>337</v>
      </c>
      <c r="C36" s="1">
        <f>COUNTIF('Guidelines - Data'!$AB$3:$AB$105,C26)</f>
        <v>17</v>
      </c>
      <c r="D36" s="1">
        <f>COUNTIF('Guidelines - Data'!$AB$3:$AB$105,D26)</f>
        <v>48</v>
      </c>
      <c r="E36" s="1">
        <f>COUNTIF('Guidelines - Data'!$AB$3:$AB$105,E26)</f>
        <v>9</v>
      </c>
      <c r="F36" s="1">
        <f>COUNTIF('Guidelines - Data'!$AB$3:$AB$105,F26)</f>
        <v>20</v>
      </c>
      <c r="G36" s="1">
        <f>COUNTIF('Guidelines - Data'!$AB$3:$AB$105,G26)</f>
        <v>8</v>
      </c>
      <c r="H36" s="1">
        <f>COUNTIF('Guidelines - Data'!$AB$3:$AB$105,H26)</f>
        <v>1</v>
      </c>
      <c r="I36" s="1"/>
      <c r="J36" s="1" t="s">
        <v>890</v>
      </c>
      <c r="K36" s="1">
        <f t="shared" si="24"/>
        <v>16.666666666666664</v>
      </c>
      <c r="L36" s="1">
        <f t="shared" si="25"/>
        <v>47.058823529411761</v>
      </c>
      <c r="M36" s="1">
        <f t="shared" si="26"/>
        <v>8.8235294117647065</v>
      </c>
      <c r="N36" s="1">
        <f t="shared" si="27"/>
        <v>19.607843137254903</v>
      </c>
      <c r="O36" s="1">
        <f t="shared" si="28"/>
        <v>7.8431372549019605</v>
      </c>
      <c r="P36" s="1"/>
      <c r="Q36" s="1"/>
      <c r="R36" s="1"/>
      <c r="S36" s="1" t="s">
        <v>890</v>
      </c>
      <c r="T36" s="1">
        <f t="shared" ref="T36:X36" si="40">ROUND(K36,2)</f>
        <v>16.670000000000002</v>
      </c>
      <c r="U36" s="1">
        <f t="shared" si="40"/>
        <v>47.06</v>
      </c>
      <c r="V36" s="1">
        <f t="shared" si="40"/>
        <v>8.82</v>
      </c>
      <c r="W36" s="1">
        <f t="shared" si="40"/>
        <v>19.61</v>
      </c>
      <c r="X36" s="1">
        <f t="shared" si="40"/>
        <v>7.84</v>
      </c>
      <c r="Y36" s="1"/>
      <c r="Z36" s="1"/>
      <c r="AA36" s="1" t="s">
        <v>890</v>
      </c>
      <c r="AB36" s="5">
        <f t="shared" si="30"/>
        <v>63.725490196078425</v>
      </c>
      <c r="AC36" s="5">
        <f t="shared" si="31"/>
        <v>63.73</v>
      </c>
      <c r="AD36" s="5"/>
      <c r="AE36" s="5"/>
      <c r="AF36" s="1" t="s">
        <v>893</v>
      </c>
      <c r="AG36" s="5">
        <v>44.12</v>
      </c>
      <c r="AH36" s="5"/>
      <c r="AI36" s="5"/>
      <c r="AJ36" s="5"/>
      <c r="AK36" s="5"/>
      <c r="AL36" s="5"/>
      <c r="AM36" s="5"/>
      <c r="AN36" s="5"/>
      <c r="AO36" s="5"/>
    </row>
    <row r="37" spans="1:41" x14ac:dyDescent="0.2">
      <c r="A37" s="1" t="s">
        <v>891</v>
      </c>
      <c r="B37" s="1" t="s">
        <v>338</v>
      </c>
      <c r="C37" s="1">
        <f>COUNTIF('Guidelines - Data'!$AC$3:$AC$105,C26)</f>
        <v>11</v>
      </c>
      <c r="D37" s="1">
        <f>COUNTIF('Guidelines - Data'!$AC$3:$AC$105,D26)</f>
        <v>23</v>
      </c>
      <c r="E37" s="1">
        <f>COUNTIF('Guidelines - Data'!$AC$3:$AC$105,E26)</f>
        <v>17</v>
      </c>
      <c r="F37" s="1">
        <f>COUNTIF('Guidelines - Data'!$AC$3:$AC$105,F26)</f>
        <v>23</v>
      </c>
      <c r="G37" s="1">
        <f>COUNTIF('Guidelines - Data'!$AC$3:$AC$105,G26)</f>
        <v>29</v>
      </c>
      <c r="H37" s="1">
        <f>COUNTIF('Guidelines - Data'!$AC$3:$AC$105,H26)</f>
        <v>0</v>
      </c>
      <c r="I37" s="1"/>
      <c r="J37" s="1" t="s">
        <v>891</v>
      </c>
      <c r="K37" s="1">
        <f t="shared" si="24"/>
        <v>10.679611650485436</v>
      </c>
      <c r="L37" s="1">
        <f t="shared" si="25"/>
        <v>22.330097087378643</v>
      </c>
      <c r="M37" s="1">
        <f t="shared" si="26"/>
        <v>16.50485436893204</v>
      </c>
      <c r="N37" s="1">
        <f t="shared" si="27"/>
        <v>22.330097087378643</v>
      </c>
      <c r="O37" s="1">
        <f t="shared" si="28"/>
        <v>28.155339805825243</v>
      </c>
      <c r="P37" s="1"/>
      <c r="Q37" s="1"/>
      <c r="R37" s="1"/>
      <c r="S37" s="1" t="s">
        <v>891</v>
      </c>
      <c r="T37" s="1">
        <f t="shared" ref="T37:X37" si="41">ROUND(K37,2)</f>
        <v>10.68</v>
      </c>
      <c r="U37" s="1">
        <f t="shared" si="41"/>
        <v>22.33</v>
      </c>
      <c r="V37" s="1">
        <f t="shared" si="41"/>
        <v>16.5</v>
      </c>
      <c r="W37" s="1">
        <f t="shared" si="41"/>
        <v>22.33</v>
      </c>
      <c r="X37" s="1">
        <f t="shared" si="41"/>
        <v>28.16</v>
      </c>
      <c r="Y37" s="1"/>
      <c r="Z37" s="1"/>
      <c r="AA37" s="1" t="s">
        <v>891</v>
      </c>
      <c r="AB37" s="5">
        <f t="shared" si="30"/>
        <v>33.009708737864081</v>
      </c>
      <c r="AC37" s="5">
        <f t="shared" si="31"/>
        <v>33.01</v>
      </c>
      <c r="AD37" s="5"/>
      <c r="AE37" s="5"/>
      <c r="AF37" s="1" t="s">
        <v>896</v>
      </c>
      <c r="AG37" s="5">
        <v>44</v>
      </c>
      <c r="AH37" s="5"/>
      <c r="AI37" s="5"/>
      <c r="AJ37" s="5"/>
      <c r="AK37" s="5"/>
      <c r="AL37" s="5"/>
      <c r="AM37" s="5"/>
      <c r="AN37" s="5"/>
      <c r="AO37" s="5"/>
    </row>
    <row r="38" spans="1:41" x14ac:dyDescent="0.2">
      <c r="A38" s="1" t="s">
        <v>892</v>
      </c>
      <c r="B38" s="1" t="s">
        <v>339</v>
      </c>
      <c r="C38" s="1">
        <f>COUNTIF('Guidelines - Data'!$AD$3:$AD$105,C26)</f>
        <v>10</v>
      </c>
      <c r="D38" s="1">
        <f>COUNTIF('Guidelines - Data'!$AD$3:$AD$105,D26)</f>
        <v>37</v>
      </c>
      <c r="E38" s="1">
        <f>COUNTIF('Guidelines - Data'!$AD$3:$AD$105,E26)</f>
        <v>10</v>
      </c>
      <c r="F38" s="1">
        <f>COUNTIF('Guidelines - Data'!$AD$3:$AD$105,F26)</f>
        <v>31</v>
      </c>
      <c r="G38" s="1">
        <f>COUNTIF('Guidelines - Data'!$AD$3:$AD$105,G26)</f>
        <v>15</v>
      </c>
      <c r="H38" s="1">
        <f>COUNTIF('Guidelines - Data'!$AD$3:$AD$105,H26)</f>
        <v>0</v>
      </c>
      <c r="I38" s="1"/>
      <c r="J38" s="1" t="s">
        <v>892</v>
      </c>
      <c r="K38" s="1">
        <f t="shared" si="24"/>
        <v>9.7087378640776691</v>
      </c>
      <c r="L38" s="1">
        <f t="shared" si="25"/>
        <v>35.922330097087382</v>
      </c>
      <c r="M38" s="1">
        <f t="shared" si="26"/>
        <v>9.7087378640776691</v>
      </c>
      <c r="N38" s="1">
        <f t="shared" si="27"/>
        <v>30.097087378640776</v>
      </c>
      <c r="O38" s="1">
        <f t="shared" si="28"/>
        <v>14.563106796116504</v>
      </c>
      <c r="P38" s="1"/>
      <c r="Q38" s="1"/>
      <c r="R38" s="1"/>
      <c r="S38" s="1" t="s">
        <v>892</v>
      </c>
      <c r="T38" s="1">
        <f t="shared" ref="T38:X38" si="42">ROUND(K38,2)</f>
        <v>9.7100000000000009</v>
      </c>
      <c r="U38" s="1">
        <f t="shared" si="42"/>
        <v>35.92</v>
      </c>
      <c r="V38" s="1">
        <f t="shared" si="42"/>
        <v>9.7100000000000009</v>
      </c>
      <c r="W38" s="1">
        <f t="shared" si="42"/>
        <v>30.1</v>
      </c>
      <c r="X38" s="1">
        <f t="shared" si="42"/>
        <v>14.56</v>
      </c>
      <c r="Y38" s="1"/>
      <c r="Z38" s="1"/>
      <c r="AA38" s="1" t="s">
        <v>892</v>
      </c>
      <c r="AB38" s="5">
        <f t="shared" si="30"/>
        <v>45.631067961165051</v>
      </c>
      <c r="AC38" s="5">
        <f t="shared" si="31"/>
        <v>45.63</v>
      </c>
      <c r="AD38" s="5"/>
      <c r="AE38" s="5"/>
      <c r="AF38" s="1" t="s">
        <v>881</v>
      </c>
      <c r="AG38" s="5">
        <v>36.89</v>
      </c>
      <c r="AH38" s="5"/>
      <c r="AI38" s="5"/>
      <c r="AJ38" s="5"/>
      <c r="AK38" s="5"/>
      <c r="AL38" s="5"/>
      <c r="AM38" s="5"/>
      <c r="AN38" s="5"/>
      <c r="AO38" s="5"/>
    </row>
    <row r="39" spans="1:41" x14ac:dyDescent="0.2">
      <c r="A39" s="1" t="s">
        <v>893</v>
      </c>
      <c r="B39" s="1" t="s">
        <v>340</v>
      </c>
      <c r="C39" s="1">
        <f>COUNTIF('Guidelines - Data'!$AE$3:$AE$105,C26)</f>
        <v>8</v>
      </c>
      <c r="D39" s="1">
        <f>COUNTIF('Guidelines - Data'!$AE$3:$AE$105,D26)</f>
        <v>37</v>
      </c>
      <c r="E39" s="1">
        <f>COUNTIF('Guidelines - Data'!$AE$3:$AE$105,E26)</f>
        <v>21</v>
      </c>
      <c r="F39" s="1">
        <f>COUNTIF('Guidelines - Data'!$AE$3:$AE$105,F26)</f>
        <v>24</v>
      </c>
      <c r="G39" s="1">
        <f>COUNTIF('Guidelines - Data'!$AE$3:$AE$105,G26)</f>
        <v>12</v>
      </c>
      <c r="H39" s="1">
        <f>COUNTIF('Guidelines - Data'!$AE$3:$AE$105,H26)</f>
        <v>1</v>
      </c>
      <c r="I39" s="1"/>
      <c r="J39" s="1" t="s">
        <v>893</v>
      </c>
      <c r="K39" s="1">
        <f t="shared" si="24"/>
        <v>7.8431372549019605</v>
      </c>
      <c r="L39" s="1">
        <f t="shared" si="25"/>
        <v>36.274509803921568</v>
      </c>
      <c r="M39" s="1">
        <f t="shared" si="26"/>
        <v>20.588235294117645</v>
      </c>
      <c r="N39" s="1">
        <f t="shared" si="27"/>
        <v>23.52941176470588</v>
      </c>
      <c r="O39" s="1">
        <f t="shared" si="28"/>
        <v>11.76470588235294</v>
      </c>
      <c r="P39" s="1"/>
      <c r="Q39" s="1"/>
      <c r="R39" s="1"/>
      <c r="S39" s="1" t="s">
        <v>893</v>
      </c>
      <c r="T39" s="1">
        <f t="shared" ref="T39:X39" si="43">ROUND(K39,2)</f>
        <v>7.84</v>
      </c>
      <c r="U39" s="1">
        <f t="shared" si="43"/>
        <v>36.270000000000003</v>
      </c>
      <c r="V39" s="1">
        <f t="shared" si="43"/>
        <v>20.59</v>
      </c>
      <c r="W39" s="1">
        <f t="shared" si="43"/>
        <v>23.53</v>
      </c>
      <c r="X39" s="1">
        <f t="shared" si="43"/>
        <v>11.76</v>
      </c>
      <c r="Y39" s="1"/>
      <c r="Z39" s="1"/>
      <c r="AA39" s="1" t="s">
        <v>893</v>
      </c>
      <c r="AB39" s="5">
        <f t="shared" si="30"/>
        <v>44.117647058823529</v>
      </c>
      <c r="AC39" s="5">
        <f t="shared" si="31"/>
        <v>44.12</v>
      </c>
      <c r="AD39" s="5"/>
      <c r="AE39" s="5"/>
      <c r="AF39" s="1" t="s">
        <v>882</v>
      </c>
      <c r="AG39" s="5">
        <v>33.979999999999997</v>
      </c>
      <c r="AH39" s="5"/>
      <c r="AI39" s="5"/>
      <c r="AJ39" s="5"/>
      <c r="AK39" s="5"/>
      <c r="AL39" s="5"/>
      <c r="AM39" s="5"/>
      <c r="AN39" s="5"/>
      <c r="AO39" s="5"/>
    </row>
    <row r="40" spans="1:41" x14ac:dyDescent="0.2">
      <c r="A40" s="1" t="s">
        <v>894</v>
      </c>
      <c r="B40" s="1" t="s">
        <v>341</v>
      </c>
      <c r="C40" s="1">
        <f>COUNTIF('Guidelines - Data'!$AF$3:$AF$105,C26)</f>
        <v>3</v>
      </c>
      <c r="D40" s="1">
        <f>COUNTIF('Guidelines - Data'!$AF$3:$AF$105,D26)</f>
        <v>27</v>
      </c>
      <c r="E40" s="1">
        <f>COUNTIF('Guidelines - Data'!$AF$3:$AF$105,E26)</f>
        <v>21</v>
      </c>
      <c r="F40" s="1">
        <f>COUNTIF('Guidelines - Data'!$AF$3:$AF$105,F26)</f>
        <v>35</v>
      </c>
      <c r="G40" s="1">
        <f>COUNTIF('Guidelines - Data'!$AF$3:$AF$105,G26)</f>
        <v>16</v>
      </c>
      <c r="H40" s="1">
        <f>COUNTIF('Guidelines - Data'!$AF$3:$AF$105,H26)</f>
        <v>1</v>
      </c>
      <c r="I40" s="1"/>
      <c r="J40" s="1" t="s">
        <v>894</v>
      </c>
      <c r="K40" s="1">
        <f t="shared" si="24"/>
        <v>2.9411764705882351</v>
      </c>
      <c r="L40" s="1">
        <f t="shared" si="25"/>
        <v>26.47058823529412</v>
      </c>
      <c r="M40" s="1">
        <f t="shared" si="26"/>
        <v>20.588235294117645</v>
      </c>
      <c r="N40" s="1">
        <f t="shared" si="27"/>
        <v>34.313725490196077</v>
      </c>
      <c r="O40" s="1">
        <f t="shared" si="28"/>
        <v>15.686274509803921</v>
      </c>
      <c r="P40" s="1"/>
      <c r="Q40" s="1"/>
      <c r="R40" s="1"/>
      <c r="S40" s="1" t="s">
        <v>894</v>
      </c>
      <c r="T40" s="1">
        <f t="shared" ref="T40:X40" si="44">ROUND(K40,2)</f>
        <v>2.94</v>
      </c>
      <c r="U40" s="1">
        <f t="shared" si="44"/>
        <v>26.47</v>
      </c>
      <c r="V40" s="1">
        <f t="shared" si="44"/>
        <v>20.59</v>
      </c>
      <c r="W40" s="1">
        <f t="shared" si="44"/>
        <v>34.31</v>
      </c>
      <c r="X40" s="1">
        <f t="shared" si="44"/>
        <v>15.69</v>
      </c>
      <c r="Y40" s="1"/>
      <c r="Z40" s="1"/>
      <c r="AA40" s="1" t="s">
        <v>894</v>
      </c>
      <c r="AB40" s="5">
        <f t="shared" si="30"/>
        <v>29.411764705882355</v>
      </c>
      <c r="AC40" s="5">
        <f t="shared" si="31"/>
        <v>29.41</v>
      </c>
      <c r="AD40" s="5"/>
      <c r="AE40" s="5"/>
      <c r="AF40" s="1" t="s">
        <v>891</v>
      </c>
      <c r="AG40" s="5">
        <v>33.01</v>
      </c>
      <c r="AH40" s="5"/>
      <c r="AI40" s="5"/>
      <c r="AJ40" s="5"/>
      <c r="AK40" s="5"/>
      <c r="AL40" s="5"/>
      <c r="AM40" s="5"/>
      <c r="AN40" s="5"/>
      <c r="AO40" s="5"/>
    </row>
    <row r="41" spans="1:41" x14ac:dyDescent="0.2">
      <c r="A41" s="1" t="s">
        <v>895</v>
      </c>
      <c r="B41" s="1" t="s">
        <v>342</v>
      </c>
      <c r="C41" s="1">
        <f>COUNTIF('Guidelines - Data'!$AG$3:$AG$105,C26)</f>
        <v>8</v>
      </c>
      <c r="D41" s="1">
        <f>COUNTIF('Guidelines - Data'!$AG$3:$AG$105,D26)</f>
        <v>42</v>
      </c>
      <c r="E41" s="1">
        <f>COUNTIF('Guidelines - Data'!$AG$3:$AG$105,E26)</f>
        <v>17</v>
      </c>
      <c r="F41" s="1">
        <f>COUNTIF('Guidelines - Data'!$AG$3:$AG$105,F26)</f>
        <v>24</v>
      </c>
      <c r="G41" s="1">
        <f>COUNTIF('Guidelines - Data'!$AG$3:$AG$105,G26)</f>
        <v>10</v>
      </c>
      <c r="H41" s="1">
        <f>COUNTIF('Guidelines - Data'!$AG$3:$AG$105,H26)</f>
        <v>2</v>
      </c>
      <c r="I41" s="1"/>
      <c r="J41" s="1" t="s">
        <v>895</v>
      </c>
      <c r="K41" s="1">
        <f t="shared" si="24"/>
        <v>7.9207920792079207</v>
      </c>
      <c r="L41" s="1">
        <f t="shared" si="25"/>
        <v>41.584158415841586</v>
      </c>
      <c r="M41" s="1">
        <f t="shared" si="26"/>
        <v>16.831683168316832</v>
      </c>
      <c r="N41" s="1">
        <f t="shared" si="27"/>
        <v>23.762376237623762</v>
      </c>
      <c r="O41" s="1">
        <f t="shared" si="28"/>
        <v>9.9009900990099009</v>
      </c>
      <c r="P41" s="1"/>
      <c r="Q41" s="1"/>
      <c r="R41" s="1"/>
      <c r="S41" s="1" t="s">
        <v>895</v>
      </c>
      <c r="T41" s="1">
        <f t="shared" ref="T41:X41" si="45">ROUND(K41,2)</f>
        <v>7.92</v>
      </c>
      <c r="U41" s="1">
        <f t="shared" si="45"/>
        <v>41.58</v>
      </c>
      <c r="V41" s="1">
        <f t="shared" si="45"/>
        <v>16.829999999999998</v>
      </c>
      <c r="W41" s="1">
        <f t="shared" si="45"/>
        <v>23.76</v>
      </c>
      <c r="X41" s="1">
        <f t="shared" si="45"/>
        <v>9.9</v>
      </c>
      <c r="Y41" s="1"/>
      <c r="Z41" s="1"/>
      <c r="AA41" s="1" t="s">
        <v>895</v>
      </c>
      <c r="AB41" s="5">
        <f t="shared" si="30"/>
        <v>49.504950495049506</v>
      </c>
      <c r="AC41" s="5">
        <f t="shared" si="31"/>
        <v>49.5</v>
      </c>
      <c r="AD41" s="5"/>
      <c r="AE41" s="5"/>
      <c r="AF41" s="1" t="s">
        <v>894</v>
      </c>
      <c r="AG41" s="5">
        <v>29.41</v>
      </c>
      <c r="AH41" s="5"/>
      <c r="AI41" s="5"/>
      <c r="AJ41" s="5"/>
      <c r="AK41" s="5"/>
      <c r="AL41" s="5"/>
      <c r="AM41" s="5"/>
      <c r="AN41" s="5"/>
      <c r="AO41" s="5"/>
    </row>
    <row r="42" spans="1:41" x14ac:dyDescent="0.2">
      <c r="A42" s="1" t="s">
        <v>896</v>
      </c>
      <c r="B42" s="1" t="s">
        <v>343</v>
      </c>
      <c r="C42" s="1">
        <f>COUNTIF('Guidelines - Data'!$AH$3:$AH$105,C26)</f>
        <v>9</v>
      </c>
      <c r="D42" s="1">
        <f>COUNTIF('Guidelines - Data'!$AH$3:$AH$105,D26)</f>
        <v>35</v>
      </c>
      <c r="E42" s="1">
        <f>COUNTIF('Guidelines - Data'!$AH$3:$AH$105,E26)</f>
        <v>18</v>
      </c>
      <c r="F42" s="1">
        <f>COUNTIF('Guidelines - Data'!$AH$3:$AH$105,F26)</f>
        <v>23</v>
      </c>
      <c r="G42" s="1">
        <f>COUNTIF('Guidelines - Data'!$AH$3:$AH$105,G26)</f>
        <v>15</v>
      </c>
      <c r="H42" s="1">
        <f>COUNTIF('Guidelines - Data'!$AH$3:$AH$105,H26)</f>
        <v>3</v>
      </c>
      <c r="I42" s="1"/>
      <c r="J42" s="1" t="s">
        <v>896</v>
      </c>
      <c r="K42" s="1">
        <f t="shared" si="24"/>
        <v>9</v>
      </c>
      <c r="L42" s="1">
        <f t="shared" si="25"/>
        <v>35</v>
      </c>
      <c r="M42" s="1">
        <f t="shared" si="26"/>
        <v>18</v>
      </c>
      <c r="N42" s="1">
        <f t="shared" si="27"/>
        <v>23</v>
      </c>
      <c r="O42" s="1">
        <f t="shared" si="28"/>
        <v>15</v>
      </c>
      <c r="P42" s="1"/>
      <c r="Q42" s="1"/>
      <c r="R42" s="1"/>
      <c r="S42" s="1" t="s">
        <v>896</v>
      </c>
      <c r="T42" s="1">
        <f t="shared" ref="T42:X42" si="46">ROUND(K42,2)</f>
        <v>9</v>
      </c>
      <c r="U42" s="1">
        <f t="shared" si="46"/>
        <v>35</v>
      </c>
      <c r="V42" s="1">
        <f t="shared" si="46"/>
        <v>18</v>
      </c>
      <c r="W42" s="1">
        <f t="shared" si="46"/>
        <v>23</v>
      </c>
      <c r="X42" s="1">
        <f t="shared" si="46"/>
        <v>15</v>
      </c>
      <c r="Y42" s="1"/>
      <c r="Z42" s="1"/>
      <c r="AA42" s="1" t="s">
        <v>896</v>
      </c>
      <c r="AB42" s="5">
        <f t="shared" si="30"/>
        <v>44</v>
      </c>
      <c r="AC42" s="5">
        <f t="shared" si="31"/>
        <v>44</v>
      </c>
      <c r="AD42" s="5"/>
      <c r="AE42" s="5"/>
      <c r="AF42" s="1" t="s">
        <v>897</v>
      </c>
      <c r="AG42" s="5">
        <v>26</v>
      </c>
      <c r="AH42" s="5"/>
      <c r="AI42" s="5"/>
      <c r="AJ42" s="5"/>
      <c r="AK42" s="5"/>
      <c r="AL42" s="5"/>
      <c r="AM42" s="5"/>
      <c r="AN42" s="5"/>
      <c r="AO42" s="5"/>
    </row>
    <row r="43" spans="1:41" x14ac:dyDescent="0.2">
      <c r="A43" s="1" t="s">
        <v>897</v>
      </c>
      <c r="B43" s="1" t="s">
        <v>344</v>
      </c>
      <c r="C43" s="1">
        <f>COUNTIF('Guidelines - Data'!$AI$3:$AI$105,C26)</f>
        <v>6</v>
      </c>
      <c r="D43" s="1">
        <f>COUNTIF('Guidelines - Data'!$AI$3:$AI$105,D26)</f>
        <v>20</v>
      </c>
      <c r="E43" s="1">
        <f>COUNTIF('Guidelines - Data'!$AI$3:$AI$105,E26)</f>
        <v>16</v>
      </c>
      <c r="F43" s="1">
        <f>COUNTIF('Guidelines - Data'!$AI$3:$AI$105,F26)</f>
        <v>45</v>
      </c>
      <c r="G43" s="1">
        <f>COUNTIF('Guidelines - Data'!$AI$3:$AI$105,G26)</f>
        <v>13</v>
      </c>
      <c r="H43" s="1">
        <f>COUNTIF('Guidelines - Data'!$AI$3:$AI$105,H26)</f>
        <v>3</v>
      </c>
      <c r="I43" s="1"/>
      <c r="J43" s="1" t="s">
        <v>897</v>
      </c>
      <c r="K43" s="1">
        <f t="shared" si="24"/>
        <v>6</v>
      </c>
      <c r="L43" s="1">
        <f t="shared" si="25"/>
        <v>20</v>
      </c>
      <c r="M43" s="1">
        <f t="shared" si="26"/>
        <v>16</v>
      </c>
      <c r="N43" s="1">
        <f t="shared" si="27"/>
        <v>45</v>
      </c>
      <c r="O43" s="1">
        <f t="shared" si="28"/>
        <v>13</v>
      </c>
      <c r="P43" s="1"/>
      <c r="Q43" s="1"/>
      <c r="R43" s="1"/>
      <c r="S43" s="1" t="s">
        <v>897</v>
      </c>
      <c r="T43" s="1">
        <f t="shared" ref="T43:X43" si="47">ROUND(K43,2)</f>
        <v>6</v>
      </c>
      <c r="U43" s="1">
        <f t="shared" si="47"/>
        <v>20</v>
      </c>
      <c r="V43" s="1">
        <f t="shared" si="47"/>
        <v>16</v>
      </c>
      <c r="W43" s="1">
        <f t="shared" si="47"/>
        <v>45</v>
      </c>
      <c r="X43" s="1">
        <f t="shared" si="47"/>
        <v>13</v>
      </c>
      <c r="Y43" s="1"/>
      <c r="Z43" s="1"/>
      <c r="AA43" s="1" t="s">
        <v>897</v>
      </c>
      <c r="AB43" s="5">
        <f t="shared" si="30"/>
        <v>26</v>
      </c>
      <c r="AC43" s="5">
        <f t="shared" si="31"/>
        <v>26</v>
      </c>
      <c r="AD43" s="5"/>
      <c r="AE43" s="5"/>
      <c r="AF43" s="1" t="s">
        <v>883</v>
      </c>
      <c r="AG43" s="5">
        <v>25.24</v>
      </c>
      <c r="AH43" s="5"/>
      <c r="AI43" s="5"/>
      <c r="AJ43" s="5"/>
      <c r="AK43" s="5"/>
      <c r="AL43" s="5"/>
      <c r="AM43" s="5"/>
      <c r="AN43" s="5"/>
      <c r="AO43" s="5"/>
    </row>
    <row r="44" spans="1:41" ht="15.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5.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5.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5.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5.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5.75"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5.75"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4" x14ac:dyDescent="0.15">
      <c r="A51" s="26"/>
      <c r="B51" s="59" t="s">
        <v>901</v>
      </c>
      <c r="C51" s="51"/>
      <c r="D51" s="51"/>
      <c r="E51" s="51"/>
      <c r="F51" s="51"/>
      <c r="G51" s="51"/>
      <c r="H51" s="51"/>
      <c r="I51" s="1"/>
      <c r="J51" s="32" t="s">
        <v>912</v>
      </c>
      <c r="K51" s="32"/>
      <c r="L51" s="32"/>
      <c r="M51" s="32"/>
      <c r="N51" s="32"/>
      <c r="O51" s="32"/>
      <c r="P51" s="32"/>
      <c r="Q51" s="32"/>
      <c r="R51" s="32"/>
      <c r="S51" s="32"/>
      <c r="T51" s="32"/>
      <c r="U51" s="32"/>
      <c r="V51" s="32"/>
      <c r="W51" s="32"/>
      <c r="X51" s="32"/>
      <c r="Y51" s="32"/>
      <c r="Z51" s="32"/>
      <c r="AA51" s="32"/>
      <c r="AB51" s="32"/>
      <c r="AC51" s="32"/>
      <c r="AD51" s="32"/>
      <c r="AE51" s="32"/>
      <c r="AF51" s="32"/>
      <c r="AG51" s="32"/>
      <c r="AH51" s="1"/>
      <c r="AI51" s="1"/>
      <c r="AJ51" s="1"/>
      <c r="AK51" s="1"/>
      <c r="AL51" s="1"/>
      <c r="AM51" s="1"/>
      <c r="AN51" s="1"/>
      <c r="AO51" s="1"/>
    </row>
    <row r="52" spans="1:41" ht="48" x14ac:dyDescent="0.15">
      <c r="A52" s="1"/>
      <c r="B52" s="1"/>
      <c r="C52" s="14" t="s">
        <v>357</v>
      </c>
      <c r="D52" s="14" t="s">
        <v>358</v>
      </c>
      <c r="E52" s="14" t="s">
        <v>356</v>
      </c>
      <c r="F52" s="14" t="s">
        <v>367</v>
      </c>
      <c r="G52" s="14" t="s">
        <v>366</v>
      </c>
      <c r="H52" s="14" t="s">
        <v>401</v>
      </c>
      <c r="I52" s="1"/>
      <c r="J52" s="1"/>
      <c r="K52" s="14" t="s">
        <v>357</v>
      </c>
      <c r="L52" s="14" t="s">
        <v>358</v>
      </c>
      <c r="M52" s="14" t="s">
        <v>356</v>
      </c>
      <c r="N52" s="14" t="s">
        <v>367</v>
      </c>
      <c r="O52" s="14" t="s">
        <v>366</v>
      </c>
      <c r="P52" s="14" t="s">
        <v>401</v>
      </c>
      <c r="Q52" s="1"/>
      <c r="R52" s="1"/>
      <c r="S52" s="1"/>
      <c r="T52" s="14" t="s">
        <v>357</v>
      </c>
      <c r="U52" s="14" t="s">
        <v>358</v>
      </c>
      <c r="V52" s="14" t="s">
        <v>356</v>
      </c>
      <c r="W52" s="14" t="s">
        <v>367</v>
      </c>
      <c r="X52" s="14" t="s">
        <v>366</v>
      </c>
      <c r="Y52" s="14" t="s">
        <v>401</v>
      </c>
      <c r="Z52" s="1"/>
      <c r="AA52" s="1"/>
      <c r="AB52" s="1"/>
      <c r="AC52" s="34" t="s">
        <v>912</v>
      </c>
      <c r="AD52" s="1"/>
      <c r="AE52" s="1"/>
      <c r="AF52" s="1"/>
      <c r="AG52" s="21" t="s">
        <v>913</v>
      </c>
      <c r="AH52" s="1"/>
      <c r="AI52" s="1"/>
      <c r="AJ52" s="1"/>
      <c r="AK52" s="1"/>
      <c r="AL52" s="1"/>
      <c r="AM52" s="1"/>
      <c r="AN52" s="1"/>
      <c r="AO52" s="1"/>
    </row>
    <row r="53" spans="1:41" ht="14" x14ac:dyDescent="0.15">
      <c r="A53" s="1" t="s">
        <v>881</v>
      </c>
      <c r="B53" s="1" t="s">
        <v>328</v>
      </c>
      <c r="C53" s="1">
        <f>COUNTIF('Guidelines - Data'!$AK$3:$AK$105,C52)</f>
        <v>34</v>
      </c>
      <c r="D53" s="1">
        <f>COUNTIF('Guidelines - Data'!$AK$3:$AK$105,D52)</f>
        <v>28</v>
      </c>
      <c r="E53" s="1">
        <f>COUNTIF('Guidelines - Data'!$AK$3:$AK$105,E52)</f>
        <v>27</v>
      </c>
      <c r="F53" s="1">
        <f>COUNTIF('Guidelines - Data'!$AK$3:$AK$105,F52)</f>
        <v>10</v>
      </c>
      <c r="G53" s="1">
        <f>COUNTIF('Guidelines - Data'!$AK$3:$AK$105,G52)</f>
        <v>3</v>
      </c>
      <c r="H53" s="1">
        <f>COUNTIF('Guidelines - Data'!$AK$3:$AK$105,H52)</f>
        <v>1</v>
      </c>
      <c r="I53" s="1"/>
      <c r="J53" s="1" t="s">
        <v>881</v>
      </c>
      <c r="K53" s="1">
        <f t="shared" ref="K53:K69" si="48">(C53/(C53+D53+E53+F53+G53+H53))*100</f>
        <v>33.009708737864081</v>
      </c>
      <c r="L53" s="1">
        <f t="shared" ref="L53:L69" si="49">(D53/(C53+D53+E53+F53+G53+H53))*100</f>
        <v>27.184466019417474</v>
      </c>
      <c r="M53" s="1">
        <f t="shared" ref="M53:M69" si="50">(E53/(C53+D53+E53+F53+G53+H53))*100</f>
        <v>26.21359223300971</v>
      </c>
      <c r="N53" s="1">
        <f t="shared" ref="N53:N69" si="51">(F53/(C53+D53+E53+F53+G53+H53))*100</f>
        <v>9.7087378640776691</v>
      </c>
      <c r="O53" s="1">
        <f t="shared" ref="O53:O69" si="52">(G53/(C53+D53+E53+F53+G53+H53))*100</f>
        <v>2.912621359223301</v>
      </c>
      <c r="P53" s="1">
        <f t="shared" ref="P53:P69" si="53">(H53/(C53+D53+E53+F53+G53+H53))*100</f>
        <v>0.97087378640776689</v>
      </c>
      <c r="Q53" s="1"/>
      <c r="R53" s="1"/>
      <c r="S53" s="1" t="s">
        <v>881</v>
      </c>
      <c r="T53" s="1">
        <f t="shared" ref="T53:Y53" si="54">ROUND(K53,2)</f>
        <v>33.01</v>
      </c>
      <c r="U53" s="1">
        <f t="shared" si="54"/>
        <v>27.18</v>
      </c>
      <c r="V53" s="1">
        <f t="shared" si="54"/>
        <v>26.21</v>
      </c>
      <c r="W53" s="1">
        <f t="shared" si="54"/>
        <v>9.7100000000000009</v>
      </c>
      <c r="X53" s="1">
        <f t="shared" si="54"/>
        <v>2.91</v>
      </c>
      <c r="Y53" s="1">
        <f t="shared" si="54"/>
        <v>0.97</v>
      </c>
      <c r="Z53" s="1"/>
      <c r="AA53" s="1" t="s">
        <v>881</v>
      </c>
      <c r="AB53" s="1">
        <f t="shared" ref="AB53:AB69" si="55">((C53+D53+E53)/(C53+D53+E53+F53+G53+H53))*100</f>
        <v>86.40776699029125</v>
      </c>
      <c r="AC53" s="1">
        <f t="shared" ref="AC53:AC69" si="56">ROUND(AB53,2)</f>
        <v>86.41</v>
      </c>
      <c r="AD53" s="1"/>
      <c r="AE53" s="1"/>
      <c r="AF53" s="1" t="s">
        <v>887</v>
      </c>
      <c r="AG53" s="1">
        <v>93.2</v>
      </c>
      <c r="AH53" s="1"/>
      <c r="AI53" s="1"/>
      <c r="AJ53" s="1"/>
      <c r="AK53" s="1"/>
      <c r="AL53" s="1"/>
      <c r="AM53" s="1"/>
      <c r="AN53" s="1"/>
      <c r="AO53" s="1"/>
    </row>
    <row r="54" spans="1:41" ht="14" x14ac:dyDescent="0.15">
      <c r="A54" s="1" t="s">
        <v>882</v>
      </c>
      <c r="B54" s="1" t="s">
        <v>329</v>
      </c>
      <c r="C54" s="1">
        <f>COUNTIF('Guidelines - Data'!$AL$3:$AL$105,C52)</f>
        <v>42</v>
      </c>
      <c r="D54" s="1">
        <f>COUNTIF('Guidelines - Data'!$AL$3:$AL$105,D52)</f>
        <v>27</v>
      </c>
      <c r="E54" s="1">
        <f>COUNTIF('Guidelines - Data'!$AL$3:$AL$105,E52)</f>
        <v>21</v>
      </c>
      <c r="F54" s="1">
        <f>COUNTIF('Guidelines - Data'!$AL$3:$AL$105,F52)</f>
        <v>12</v>
      </c>
      <c r="G54" s="1">
        <f>COUNTIF('Guidelines - Data'!$AL$3:$AL$105,G52)</f>
        <v>1</v>
      </c>
      <c r="H54" s="1">
        <f>COUNTIF('Guidelines - Data'!$AL$3:$AL$105,H52)</f>
        <v>0</v>
      </c>
      <c r="I54" s="1"/>
      <c r="J54" s="1" t="s">
        <v>882</v>
      </c>
      <c r="K54" s="1">
        <f t="shared" si="48"/>
        <v>40.776699029126213</v>
      </c>
      <c r="L54" s="1">
        <f t="shared" si="49"/>
        <v>26.21359223300971</v>
      </c>
      <c r="M54" s="1">
        <f t="shared" si="50"/>
        <v>20.388349514563107</v>
      </c>
      <c r="N54" s="1">
        <f t="shared" si="51"/>
        <v>11.650485436893204</v>
      </c>
      <c r="O54" s="1">
        <f t="shared" si="52"/>
        <v>0.97087378640776689</v>
      </c>
      <c r="P54" s="1">
        <f t="shared" si="53"/>
        <v>0</v>
      </c>
      <c r="Q54" s="1"/>
      <c r="R54" s="1"/>
      <c r="S54" s="1" t="s">
        <v>882</v>
      </c>
      <c r="T54" s="1">
        <f t="shared" ref="T54:Y54" si="57">ROUND(K54,2)</f>
        <v>40.78</v>
      </c>
      <c r="U54" s="1">
        <f t="shared" si="57"/>
        <v>26.21</v>
      </c>
      <c r="V54" s="1">
        <f t="shared" si="57"/>
        <v>20.39</v>
      </c>
      <c r="W54" s="1">
        <f t="shared" si="57"/>
        <v>11.65</v>
      </c>
      <c r="X54" s="1">
        <f t="shared" si="57"/>
        <v>0.97</v>
      </c>
      <c r="Y54" s="1">
        <f t="shared" si="57"/>
        <v>0</v>
      </c>
      <c r="Z54" s="1"/>
      <c r="AA54" s="1" t="s">
        <v>882</v>
      </c>
      <c r="AB54" s="1">
        <f t="shared" si="55"/>
        <v>87.378640776699029</v>
      </c>
      <c r="AC54" s="1">
        <f t="shared" si="56"/>
        <v>87.38</v>
      </c>
      <c r="AD54" s="1"/>
      <c r="AE54" s="1"/>
      <c r="AF54" s="1" t="s">
        <v>884</v>
      </c>
      <c r="AG54" s="1">
        <v>91.26</v>
      </c>
      <c r="AH54" s="1"/>
      <c r="AI54" s="1"/>
      <c r="AJ54" s="1"/>
      <c r="AK54" s="1"/>
      <c r="AL54" s="1"/>
      <c r="AM54" s="1"/>
      <c r="AN54" s="1"/>
      <c r="AO54" s="1"/>
    </row>
    <row r="55" spans="1:41" ht="14" x14ac:dyDescent="0.15">
      <c r="A55" s="1" t="s">
        <v>883</v>
      </c>
      <c r="B55" s="1" t="s">
        <v>330</v>
      </c>
      <c r="C55" s="1">
        <f>COUNTIF('Guidelines - Data'!$AM$3:$AM$105,C52)</f>
        <v>23</v>
      </c>
      <c r="D55" s="1">
        <f>COUNTIF('Guidelines - Data'!$AM$3:$AM$105,D52)</f>
        <v>34</v>
      </c>
      <c r="E55" s="1">
        <f>COUNTIF('Guidelines - Data'!$AM$3:$AM$105,E52)</f>
        <v>28</v>
      </c>
      <c r="F55" s="1">
        <f>COUNTIF('Guidelines - Data'!$AM$3:$AM$105,F52)</f>
        <v>11</v>
      </c>
      <c r="G55" s="1">
        <f>COUNTIF('Guidelines - Data'!$AM$3:$AM$105,G52)</f>
        <v>5</v>
      </c>
      <c r="H55" s="1">
        <f>COUNTIF('Guidelines - Data'!$AM$3:$AM$105,H52)</f>
        <v>2</v>
      </c>
      <c r="I55" s="1"/>
      <c r="J55" s="1" t="s">
        <v>883</v>
      </c>
      <c r="K55" s="1">
        <f t="shared" si="48"/>
        <v>22.330097087378643</v>
      </c>
      <c r="L55" s="1">
        <f t="shared" si="49"/>
        <v>33.009708737864081</v>
      </c>
      <c r="M55" s="1">
        <f t="shared" si="50"/>
        <v>27.184466019417474</v>
      </c>
      <c r="N55" s="1">
        <f t="shared" si="51"/>
        <v>10.679611650485436</v>
      </c>
      <c r="O55" s="1">
        <f t="shared" si="52"/>
        <v>4.8543689320388346</v>
      </c>
      <c r="P55" s="1">
        <f t="shared" si="53"/>
        <v>1.9417475728155338</v>
      </c>
      <c r="Q55" s="1"/>
      <c r="R55" s="1"/>
      <c r="S55" s="1" t="s">
        <v>883</v>
      </c>
      <c r="T55" s="1">
        <f t="shared" ref="T55:Y55" si="58">ROUND(K55,2)</f>
        <v>22.33</v>
      </c>
      <c r="U55" s="1">
        <f t="shared" si="58"/>
        <v>33.01</v>
      </c>
      <c r="V55" s="1">
        <f t="shared" si="58"/>
        <v>27.18</v>
      </c>
      <c r="W55" s="1">
        <f t="shared" si="58"/>
        <v>10.68</v>
      </c>
      <c r="X55" s="1">
        <f t="shared" si="58"/>
        <v>4.8499999999999996</v>
      </c>
      <c r="Y55" s="1">
        <f t="shared" si="58"/>
        <v>1.94</v>
      </c>
      <c r="Z55" s="1"/>
      <c r="AA55" s="1" t="s">
        <v>883</v>
      </c>
      <c r="AB55" s="1">
        <f t="shared" si="55"/>
        <v>82.524271844660191</v>
      </c>
      <c r="AC55" s="1">
        <f t="shared" si="56"/>
        <v>82.52</v>
      </c>
      <c r="AD55" s="1"/>
      <c r="AE55" s="1"/>
      <c r="AF55" s="1" t="s">
        <v>890</v>
      </c>
      <c r="AG55" s="1">
        <v>89.32</v>
      </c>
      <c r="AH55" s="1"/>
      <c r="AI55" s="1"/>
      <c r="AJ55" s="1"/>
      <c r="AK55" s="1"/>
      <c r="AL55" s="1"/>
      <c r="AM55" s="1"/>
      <c r="AN55" s="1"/>
      <c r="AO55" s="1"/>
    </row>
    <row r="56" spans="1:41" ht="14" x14ac:dyDescent="0.15">
      <c r="A56" s="1" t="s">
        <v>884</v>
      </c>
      <c r="B56" s="1" t="s">
        <v>331</v>
      </c>
      <c r="C56" s="1">
        <f>COUNTIF('Guidelines - Data'!$AN$3:$AN$105,C52)</f>
        <v>43</v>
      </c>
      <c r="D56" s="1">
        <f>COUNTIF('Guidelines - Data'!$AN$3:$AN$105,D52)</f>
        <v>28</v>
      </c>
      <c r="E56" s="1">
        <f>COUNTIF('Guidelines - Data'!$AN$3:$AN$105,E52)</f>
        <v>23</v>
      </c>
      <c r="F56" s="1">
        <f>COUNTIF('Guidelines - Data'!$AN$3:$AN$105,F52)</f>
        <v>7</v>
      </c>
      <c r="G56" s="1">
        <f>COUNTIF('Guidelines - Data'!$AN$3:$AN$105,G52)</f>
        <v>2</v>
      </c>
      <c r="H56" s="1">
        <f>COUNTIF('Guidelines - Data'!$AN$3:$AN$105,H52)</f>
        <v>0</v>
      </c>
      <c r="I56" s="1"/>
      <c r="J56" s="1" t="s">
        <v>884</v>
      </c>
      <c r="K56" s="1">
        <f t="shared" si="48"/>
        <v>41.747572815533978</v>
      </c>
      <c r="L56" s="1">
        <f t="shared" si="49"/>
        <v>27.184466019417474</v>
      </c>
      <c r="M56" s="1">
        <f t="shared" si="50"/>
        <v>22.330097087378643</v>
      </c>
      <c r="N56" s="1">
        <f t="shared" si="51"/>
        <v>6.7961165048543686</v>
      </c>
      <c r="O56" s="1">
        <f t="shared" si="52"/>
        <v>1.9417475728155338</v>
      </c>
      <c r="P56" s="1">
        <f t="shared" si="53"/>
        <v>0</v>
      </c>
      <c r="Q56" s="1"/>
      <c r="R56" s="1"/>
      <c r="S56" s="1" t="s">
        <v>884</v>
      </c>
      <c r="T56" s="1">
        <f t="shared" ref="T56:Y56" si="59">ROUND(K56,2)</f>
        <v>41.75</v>
      </c>
      <c r="U56" s="1">
        <f t="shared" si="59"/>
        <v>27.18</v>
      </c>
      <c r="V56" s="1">
        <f t="shared" si="59"/>
        <v>22.33</v>
      </c>
      <c r="W56" s="1">
        <f t="shared" si="59"/>
        <v>6.8</v>
      </c>
      <c r="X56" s="1">
        <f t="shared" si="59"/>
        <v>1.94</v>
      </c>
      <c r="Y56" s="1">
        <f t="shared" si="59"/>
        <v>0</v>
      </c>
      <c r="Z56" s="1"/>
      <c r="AA56" s="1" t="s">
        <v>884</v>
      </c>
      <c r="AB56" s="1">
        <f t="shared" si="55"/>
        <v>91.262135922330103</v>
      </c>
      <c r="AC56" s="1">
        <f t="shared" si="56"/>
        <v>91.26</v>
      </c>
      <c r="AD56" s="1"/>
      <c r="AE56" s="1"/>
      <c r="AF56" s="1" t="s">
        <v>892</v>
      </c>
      <c r="AG56" s="1">
        <v>89.32</v>
      </c>
      <c r="AH56" s="1"/>
      <c r="AI56" s="1"/>
      <c r="AJ56" s="1"/>
      <c r="AK56" s="1"/>
      <c r="AL56" s="1"/>
      <c r="AM56" s="1"/>
      <c r="AN56" s="1"/>
      <c r="AO56" s="1"/>
    </row>
    <row r="57" spans="1:41" ht="14" x14ac:dyDescent="0.15">
      <c r="A57" s="1" t="s">
        <v>885</v>
      </c>
      <c r="B57" s="1" t="s">
        <v>332</v>
      </c>
      <c r="C57" s="1">
        <f>COUNTIF('Guidelines - Data'!$AO$3:$AO$105,C52)</f>
        <v>46</v>
      </c>
      <c r="D57" s="1">
        <f>COUNTIF('Guidelines - Data'!$AO$3:$AO$105,D52)</f>
        <v>29</v>
      </c>
      <c r="E57" s="1">
        <f>COUNTIF('Guidelines - Data'!$AO$3:$AO$105,E52)</f>
        <v>16</v>
      </c>
      <c r="F57" s="1">
        <f>COUNTIF('Guidelines - Data'!$AO$3:$AO$105,F52)</f>
        <v>10</v>
      </c>
      <c r="G57" s="1">
        <f>COUNTIF('Guidelines - Data'!$AO$3:$AO$105,G52)</f>
        <v>1</v>
      </c>
      <c r="H57" s="1">
        <f>COUNTIF('Guidelines - Data'!$AO$3:$AO$105,H52)</f>
        <v>1</v>
      </c>
      <c r="I57" s="1"/>
      <c r="J57" s="1" t="s">
        <v>885</v>
      </c>
      <c r="K57" s="1">
        <f t="shared" si="48"/>
        <v>44.660194174757287</v>
      </c>
      <c r="L57" s="1">
        <f t="shared" si="49"/>
        <v>28.155339805825243</v>
      </c>
      <c r="M57" s="1">
        <f t="shared" si="50"/>
        <v>15.53398058252427</v>
      </c>
      <c r="N57" s="1">
        <f t="shared" si="51"/>
        <v>9.7087378640776691</v>
      </c>
      <c r="O57" s="1">
        <f t="shared" si="52"/>
        <v>0.97087378640776689</v>
      </c>
      <c r="P57" s="1">
        <f t="shared" si="53"/>
        <v>0.97087378640776689</v>
      </c>
      <c r="Q57" s="1"/>
      <c r="R57" s="1"/>
      <c r="S57" s="1" t="s">
        <v>885</v>
      </c>
      <c r="T57" s="1">
        <f t="shared" ref="T57:Y57" si="60">ROUND(K57,2)</f>
        <v>44.66</v>
      </c>
      <c r="U57" s="1">
        <f t="shared" si="60"/>
        <v>28.16</v>
      </c>
      <c r="V57" s="1">
        <f t="shared" si="60"/>
        <v>15.53</v>
      </c>
      <c r="W57" s="1">
        <f t="shared" si="60"/>
        <v>9.7100000000000009</v>
      </c>
      <c r="X57" s="1">
        <f t="shared" si="60"/>
        <v>0.97</v>
      </c>
      <c r="Y57" s="1">
        <f t="shared" si="60"/>
        <v>0.97</v>
      </c>
      <c r="Z57" s="1"/>
      <c r="AA57" s="1" t="s">
        <v>885</v>
      </c>
      <c r="AB57" s="1">
        <f t="shared" si="55"/>
        <v>88.349514563106794</v>
      </c>
      <c r="AC57" s="1">
        <f t="shared" si="56"/>
        <v>88.35</v>
      </c>
      <c r="AD57" s="1"/>
      <c r="AE57" s="1"/>
      <c r="AF57" s="1" t="s">
        <v>885</v>
      </c>
      <c r="AG57" s="1">
        <v>88.35</v>
      </c>
      <c r="AH57" s="1"/>
      <c r="AI57" s="1"/>
      <c r="AJ57" s="1"/>
      <c r="AK57" s="1"/>
      <c r="AL57" s="1"/>
      <c r="AM57" s="1"/>
      <c r="AN57" s="1"/>
      <c r="AO57" s="1"/>
    </row>
    <row r="58" spans="1:41" ht="14" x14ac:dyDescent="0.15">
      <c r="A58" s="1" t="s">
        <v>886</v>
      </c>
      <c r="B58" s="1" t="s">
        <v>333</v>
      </c>
      <c r="C58" s="1">
        <f>COUNTIF('Guidelines - Data'!$AP$3:$AP$105,C52)</f>
        <v>20</v>
      </c>
      <c r="D58" s="1">
        <f>COUNTIF('Guidelines - Data'!$AP$3:$AP$105,D52)</f>
        <v>38</v>
      </c>
      <c r="E58" s="1">
        <f>COUNTIF('Guidelines - Data'!$AP$3:$AP$105,E52)</f>
        <v>20</v>
      </c>
      <c r="F58" s="1">
        <f>COUNTIF('Guidelines - Data'!$AP$3:$AP$105,F52)</f>
        <v>21</v>
      </c>
      <c r="G58" s="1">
        <f>COUNTIF('Guidelines - Data'!$AP$3:$AP$105,G52)</f>
        <v>2</v>
      </c>
      <c r="H58" s="1">
        <f>COUNTIF('Guidelines - Data'!$AP$3:$AP$105,H52)</f>
        <v>2</v>
      </c>
      <c r="I58" s="1"/>
      <c r="J58" s="1" t="s">
        <v>886</v>
      </c>
      <c r="K58" s="1">
        <f t="shared" si="48"/>
        <v>19.417475728155338</v>
      </c>
      <c r="L58" s="1">
        <f t="shared" si="49"/>
        <v>36.893203883495147</v>
      </c>
      <c r="M58" s="1">
        <f t="shared" si="50"/>
        <v>19.417475728155338</v>
      </c>
      <c r="N58" s="1">
        <f t="shared" si="51"/>
        <v>20.388349514563107</v>
      </c>
      <c r="O58" s="1">
        <f t="shared" si="52"/>
        <v>1.9417475728155338</v>
      </c>
      <c r="P58" s="1">
        <f t="shared" si="53"/>
        <v>1.9417475728155338</v>
      </c>
      <c r="Q58" s="1"/>
      <c r="R58" s="1"/>
      <c r="S58" s="1" t="s">
        <v>886</v>
      </c>
      <c r="T58" s="1">
        <f t="shared" ref="T58:Y58" si="61">ROUND(K58,2)</f>
        <v>19.420000000000002</v>
      </c>
      <c r="U58" s="1">
        <f t="shared" si="61"/>
        <v>36.89</v>
      </c>
      <c r="V58" s="1">
        <f t="shared" si="61"/>
        <v>19.420000000000002</v>
      </c>
      <c r="W58" s="1">
        <f t="shared" si="61"/>
        <v>20.39</v>
      </c>
      <c r="X58" s="1">
        <f t="shared" si="61"/>
        <v>1.94</v>
      </c>
      <c r="Y58" s="1">
        <f t="shared" si="61"/>
        <v>1.94</v>
      </c>
      <c r="Z58" s="1"/>
      <c r="AA58" s="1" t="s">
        <v>886</v>
      </c>
      <c r="AB58" s="1">
        <f t="shared" si="55"/>
        <v>75.728155339805824</v>
      </c>
      <c r="AC58" s="1">
        <f t="shared" si="56"/>
        <v>75.73</v>
      </c>
      <c r="AD58" s="1"/>
      <c r="AE58" s="1"/>
      <c r="AF58" s="1" t="s">
        <v>882</v>
      </c>
      <c r="AG58" s="1">
        <v>87.38</v>
      </c>
      <c r="AH58" s="1"/>
      <c r="AI58" s="1"/>
      <c r="AJ58" s="1"/>
      <c r="AK58" s="1"/>
      <c r="AL58" s="1"/>
      <c r="AM58" s="1"/>
      <c r="AN58" s="1"/>
      <c r="AO58" s="1"/>
    </row>
    <row r="59" spans="1:41" ht="14" x14ac:dyDescent="0.15">
      <c r="A59" s="1" t="s">
        <v>887</v>
      </c>
      <c r="B59" s="1" t="s">
        <v>334</v>
      </c>
      <c r="C59" s="1">
        <f>COUNTIF('Guidelines - Data'!$AQ$3:$AQ$105,C52)</f>
        <v>54</v>
      </c>
      <c r="D59" s="1">
        <f>COUNTIF('Guidelines - Data'!$AQ$3:$AQ$105,D52)</f>
        <v>32</v>
      </c>
      <c r="E59" s="1">
        <f>COUNTIF('Guidelines - Data'!$AQ$3:$AQ$105,E52)</f>
        <v>10</v>
      </c>
      <c r="F59" s="1">
        <f>COUNTIF('Guidelines - Data'!$AQ$3:$AQ$105,F52)</f>
        <v>7</v>
      </c>
      <c r="G59" s="1">
        <f>COUNTIF('Guidelines - Data'!$AQ$3:$AQ$105,G52)</f>
        <v>0</v>
      </c>
      <c r="H59" s="1">
        <f>COUNTIF('Guidelines - Data'!$AQ$3:$AQ$105,H52)</f>
        <v>0</v>
      </c>
      <c r="I59" s="1"/>
      <c r="J59" s="1" t="s">
        <v>887</v>
      </c>
      <c r="K59" s="1">
        <f t="shared" si="48"/>
        <v>52.427184466019419</v>
      </c>
      <c r="L59" s="1">
        <f t="shared" si="49"/>
        <v>31.067961165048541</v>
      </c>
      <c r="M59" s="1">
        <f t="shared" si="50"/>
        <v>9.7087378640776691</v>
      </c>
      <c r="N59" s="1">
        <f t="shared" si="51"/>
        <v>6.7961165048543686</v>
      </c>
      <c r="O59" s="1">
        <f t="shared" si="52"/>
        <v>0</v>
      </c>
      <c r="P59" s="1">
        <f t="shared" si="53"/>
        <v>0</v>
      </c>
      <c r="Q59" s="1"/>
      <c r="R59" s="1"/>
      <c r="S59" s="1" t="s">
        <v>887</v>
      </c>
      <c r="T59" s="1">
        <f t="shared" ref="T59:Y59" si="62">ROUND(K59,2)</f>
        <v>52.43</v>
      </c>
      <c r="U59" s="1">
        <f t="shared" si="62"/>
        <v>31.07</v>
      </c>
      <c r="V59" s="1">
        <f t="shared" si="62"/>
        <v>9.7100000000000009</v>
      </c>
      <c r="W59" s="1">
        <f t="shared" si="62"/>
        <v>6.8</v>
      </c>
      <c r="X59" s="1">
        <f t="shared" si="62"/>
        <v>0</v>
      </c>
      <c r="Y59" s="1">
        <f t="shared" si="62"/>
        <v>0</v>
      </c>
      <c r="Z59" s="1"/>
      <c r="AA59" s="1" t="s">
        <v>887</v>
      </c>
      <c r="AB59" s="1">
        <f t="shared" si="55"/>
        <v>93.203883495145632</v>
      </c>
      <c r="AC59" s="1">
        <f t="shared" si="56"/>
        <v>93.2</v>
      </c>
      <c r="AD59" s="1"/>
      <c r="AE59" s="1"/>
      <c r="AF59" s="1" t="s">
        <v>894</v>
      </c>
      <c r="AG59" s="1">
        <v>87.38</v>
      </c>
      <c r="AH59" s="1"/>
      <c r="AI59" s="1"/>
      <c r="AJ59" s="1"/>
      <c r="AK59" s="1"/>
      <c r="AL59" s="1"/>
      <c r="AM59" s="1"/>
      <c r="AN59" s="1"/>
      <c r="AO59" s="1"/>
    </row>
    <row r="60" spans="1:41" ht="14" x14ac:dyDescent="0.15">
      <c r="A60" s="1" t="s">
        <v>888</v>
      </c>
      <c r="B60" s="1" t="s">
        <v>335</v>
      </c>
      <c r="C60" s="1">
        <f>COUNTIF('Guidelines - Data'!$AR$3:$AR$105,C52)</f>
        <v>21</v>
      </c>
      <c r="D60" s="1">
        <f>COUNTIF('Guidelines - Data'!$AR$3:$AR$105,D52)</f>
        <v>29</v>
      </c>
      <c r="E60" s="1">
        <f>COUNTIF('Guidelines - Data'!$AR$3:$AR$105,E52)</f>
        <v>19</v>
      </c>
      <c r="F60" s="1">
        <f>COUNTIF('Guidelines - Data'!$AR$3:$AR$105,F52)</f>
        <v>24</v>
      </c>
      <c r="G60" s="1">
        <f>COUNTIF('Guidelines - Data'!$AR$3:$AR$105,G52)</f>
        <v>9</v>
      </c>
      <c r="H60" s="1">
        <f>COUNTIF('Guidelines - Data'!$AR$3:$AR$105,H52)</f>
        <v>1</v>
      </c>
      <c r="I60" s="1"/>
      <c r="J60" s="1" t="s">
        <v>888</v>
      </c>
      <c r="K60" s="1">
        <f t="shared" si="48"/>
        <v>20.388349514563107</v>
      </c>
      <c r="L60" s="1">
        <f t="shared" si="49"/>
        <v>28.155339805825243</v>
      </c>
      <c r="M60" s="1">
        <f t="shared" si="50"/>
        <v>18.446601941747574</v>
      </c>
      <c r="N60" s="1">
        <f t="shared" si="51"/>
        <v>23.300970873786408</v>
      </c>
      <c r="O60" s="1">
        <f t="shared" si="52"/>
        <v>8.7378640776699026</v>
      </c>
      <c r="P60" s="1">
        <f t="shared" si="53"/>
        <v>0.97087378640776689</v>
      </c>
      <c r="Q60" s="1"/>
      <c r="R60" s="1"/>
      <c r="S60" s="1" t="s">
        <v>888</v>
      </c>
      <c r="T60" s="1">
        <f t="shared" ref="T60:Y60" si="63">ROUND(K60,2)</f>
        <v>20.39</v>
      </c>
      <c r="U60" s="1">
        <f t="shared" si="63"/>
        <v>28.16</v>
      </c>
      <c r="V60" s="1">
        <f t="shared" si="63"/>
        <v>18.45</v>
      </c>
      <c r="W60" s="1">
        <f t="shared" si="63"/>
        <v>23.3</v>
      </c>
      <c r="X60" s="1">
        <f t="shared" si="63"/>
        <v>8.74</v>
      </c>
      <c r="Y60" s="1">
        <f t="shared" si="63"/>
        <v>0.97</v>
      </c>
      <c r="Z60" s="1"/>
      <c r="AA60" s="1" t="s">
        <v>888</v>
      </c>
      <c r="AB60" s="1">
        <f t="shared" si="55"/>
        <v>66.990291262135926</v>
      </c>
      <c r="AC60" s="1">
        <f t="shared" si="56"/>
        <v>66.989999999999995</v>
      </c>
      <c r="AD60" s="1"/>
      <c r="AE60" s="1"/>
      <c r="AF60" s="1" t="s">
        <v>881</v>
      </c>
      <c r="AG60" s="1">
        <v>86.41</v>
      </c>
      <c r="AH60" s="1"/>
      <c r="AI60" s="1"/>
      <c r="AJ60" s="1"/>
      <c r="AK60" s="1"/>
      <c r="AL60" s="1"/>
      <c r="AM60" s="1"/>
      <c r="AN60" s="1"/>
      <c r="AO60" s="1"/>
    </row>
    <row r="61" spans="1:41" ht="14" x14ac:dyDescent="0.15">
      <c r="A61" s="1" t="s">
        <v>889</v>
      </c>
      <c r="B61" s="1" t="s">
        <v>336</v>
      </c>
      <c r="C61" s="1">
        <f>COUNTIF('Guidelines - Data'!$AS$3:$AS$105,C52)</f>
        <v>31</v>
      </c>
      <c r="D61" s="1">
        <f>COUNTIF('Guidelines - Data'!$AS$3:$AS$105,D52)</f>
        <v>31</v>
      </c>
      <c r="E61" s="1">
        <f>COUNTIF('Guidelines - Data'!$AS$3:$AS$105,E52)</f>
        <v>23</v>
      </c>
      <c r="F61" s="1">
        <f>COUNTIF('Guidelines - Data'!$AS$3:$AS$105,F52)</f>
        <v>12</v>
      </c>
      <c r="G61" s="1">
        <f>COUNTIF('Guidelines - Data'!$AS$3:$AS$105,G52)</f>
        <v>5</v>
      </c>
      <c r="H61" s="1">
        <f>COUNTIF('Guidelines - Data'!$AS$3:$AS$105,H52)</f>
        <v>1</v>
      </c>
      <c r="I61" s="1"/>
      <c r="J61" s="1" t="s">
        <v>889</v>
      </c>
      <c r="K61" s="1">
        <f t="shared" si="48"/>
        <v>30.097087378640776</v>
      </c>
      <c r="L61" s="1">
        <f t="shared" si="49"/>
        <v>30.097087378640776</v>
      </c>
      <c r="M61" s="1">
        <f t="shared" si="50"/>
        <v>22.330097087378643</v>
      </c>
      <c r="N61" s="1">
        <f t="shared" si="51"/>
        <v>11.650485436893204</v>
      </c>
      <c r="O61" s="1">
        <f t="shared" si="52"/>
        <v>4.8543689320388346</v>
      </c>
      <c r="P61" s="1">
        <f t="shared" si="53"/>
        <v>0.97087378640776689</v>
      </c>
      <c r="Q61" s="1"/>
      <c r="R61" s="1"/>
      <c r="S61" s="1" t="s">
        <v>889</v>
      </c>
      <c r="T61" s="1">
        <f t="shared" ref="T61:Y61" si="64">ROUND(K61,2)</f>
        <v>30.1</v>
      </c>
      <c r="U61" s="1">
        <f t="shared" si="64"/>
        <v>30.1</v>
      </c>
      <c r="V61" s="1">
        <f t="shared" si="64"/>
        <v>22.33</v>
      </c>
      <c r="W61" s="1">
        <f t="shared" si="64"/>
        <v>11.65</v>
      </c>
      <c r="X61" s="1">
        <f t="shared" si="64"/>
        <v>4.8499999999999996</v>
      </c>
      <c r="Y61" s="1">
        <f t="shared" si="64"/>
        <v>0.97</v>
      </c>
      <c r="Z61" s="1"/>
      <c r="AA61" s="1" t="s">
        <v>889</v>
      </c>
      <c r="AB61" s="1">
        <f t="shared" si="55"/>
        <v>82.524271844660191</v>
      </c>
      <c r="AC61" s="1">
        <f t="shared" si="56"/>
        <v>82.52</v>
      </c>
      <c r="AD61" s="1"/>
      <c r="AE61" s="1"/>
      <c r="AF61" s="1" t="s">
        <v>891</v>
      </c>
      <c r="AG61" s="1">
        <v>86.41</v>
      </c>
      <c r="AH61" s="1"/>
      <c r="AI61" s="1"/>
      <c r="AJ61" s="1"/>
      <c r="AK61" s="1"/>
      <c r="AL61" s="1"/>
      <c r="AM61" s="1"/>
      <c r="AN61" s="1"/>
      <c r="AO61" s="1"/>
    </row>
    <row r="62" spans="1:41" ht="14" x14ac:dyDescent="0.15">
      <c r="A62" s="1" t="s">
        <v>890</v>
      </c>
      <c r="B62" s="1" t="s">
        <v>337</v>
      </c>
      <c r="C62" s="1">
        <f>COUNTIF('Guidelines - Data'!$AT$3:$AT$105,C52)</f>
        <v>44</v>
      </c>
      <c r="D62" s="1">
        <f>COUNTIF('Guidelines - Data'!$AT$3:$AT$105,D52)</f>
        <v>35</v>
      </c>
      <c r="E62" s="1">
        <f>COUNTIF('Guidelines - Data'!$AT$3:$AT$105,E52)</f>
        <v>13</v>
      </c>
      <c r="F62" s="1">
        <f>COUNTIF('Guidelines - Data'!$AT$3:$AT$105,F52)</f>
        <v>6</v>
      </c>
      <c r="G62" s="1">
        <f>COUNTIF('Guidelines - Data'!$AT$3:$AT$105,G52)</f>
        <v>4</v>
      </c>
      <c r="H62" s="1">
        <f>COUNTIF('Guidelines - Data'!$AT$3:$AT$105,H52)</f>
        <v>1</v>
      </c>
      <c r="I62" s="1"/>
      <c r="J62" s="1" t="s">
        <v>890</v>
      </c>
      <c r="K62" s="1">
        <f t="shared" si="48"/>
        <v>42.718446601941743</v>
      </c>
      <c r="L62" s="1">
        <f t="shared" si="49"/>
        <v>33.980582524271846</v>
      </c>
      <c r="M62" s="1">
        <f t="shared" si="50"/>
        <v>12.621359223300971</v>
      </c>
      <c r="N62" s="1">
        <f t="shared" si="51"/>
        <v>5.825242718446602</v>
      </c>
      <c r="O62" s="1">
        <f t="shared" si="52"/>
        <v>3.8834951456310676</v>
      </c>
      <c r="P62" s="1">
        <f t="shared" si="53"/>
        <v>0.97087378640776689</v>
      </c>
      <c r="Q62" s="1"/>
      <c r="R62" s="1"/>
      <c r="S62" s="1" t="s">
        <v>890</v>
      </c>
      <c r="T62" s="1">
        <f t="shared" ref="T62:Y62" si="65">ROUND(K62,2)</f>
        <v>42.72</v>
      </c>
      <c r="U62" s="1">
        <f t="shared" si="65"/>
        <v>33.979999999999997</v>
      </c>
      <c r="V62" s="1">
        <f t="shared" si="65"/>
        <v>12.62</v>
      </c>
      <c r="W62" s="1">
        <f t="shared" si="65"/>
        <v>5.83</v>
      </c>
      <c r="X62" s="1">
        <f t="shared" si="65"/>
        <v>3.88</v>
      </c>
      <c r="Y62" s="1">
        <f t="shared" si="65"/>
        <v>0.97</v>
      </c>
      <c r="Z62" s="1"/>
      <c r="AA62" s="1" t="s">
        <v>890</v>
      </c>
      <c r="AB62" s="1">
        <f t="shared" si="55"/>
        <v>89.320388349514573</v>
      </c>
      <c r="AC62" s="1">
        <f t="shared" si="56"/>
        <v>89.32</v>
      </c>
      <c r="AD62" s="1"/>
      <c r="AE62" s="1"/>
      <c r="AF62" s="1" t="s">
        <v>893</v>
      </c>
      <c r="AG62" s="1">
        <v>86.41</v>
      </c>
      <c r="AH62" s="1"/>
      <c r="AI62" s="1"/>
      <c r="AJ62" s="1"/>
      <c r="AK62" s="1"/>
      <c r="AL62" s="1"/>
      <c r="AM62" s="1"/>
      <c r="AN62" s="1"/>
      <c r="AO62" s="1"/>
    </row>
    <row r="63" spans="1:41" ht="14" x14ac:dyDescent="0.15">
      <c r="A63" s="1" t="s">
        <v>891</v>
      </c>
      <c r="B63" s="1" t="s">
        <v>338</v>
      </c>
      <c r="C63" s="1">
        <f>COUNTIF('Guidelines - Data'!$AU$3:$AU$105,C52)</f>
        <v>41</v>
      </c>
      <c r="D63" s="1">
        <f>COUNTIF('Guidelines - Data'!$AU$3:$AU$105,D52)</f>
        <v>39</v>
      </c>
      <c r="E63" s="1">
        <f>COUNTIF('Guidelines - Data'!$AU$3:$AU$105,E52)</f>
        <v>9</v>
      </c>
      <c r="F63" s="1">
        <f>COUNTIF('Guidelines - Data'!$AU$3:$AU$105,F52)</f>
        <v>10</v>
      </c>
      <c r="G63" s="1">
        <f>COUNTIF('Guidelines - Data'!$AU$3:$AU$105,G52)</f>
        <v>4</v>
      </c>
      <c r="H63" s="1">
        <f>COUNTIF('Guidelines - Data'!$AU$3:$AU$105,H52)</f>
        <v>0</v>
      </c>
      <c r="I63" s="1"/>
      <c r="J63" s="1" t="s">
        <v>891</v>
      </c>
      <c r="K63" s="1">
        <f t="shared" si="48"/>
        <v>39.805825242718448</v>
      </c>
      <c r="L63" s="1">
        <f t="shared" si="49"/>
        <v>37.864077669902912</v>
      </c>
      <c r="M63" s="1">
        <f t="shared" si="50"/>
        <v>8.7378640776699026</v>
      </c>
      <c r="N63" s="1">
        <f t="shared" si="51"/>
        <v>9.7087378640776691</v>
      </c>
      <c r="O63" s="1">
        <f t="shared" si="52"/>
        <v>3.8834951456310676</v>
      </c>
      <c r="P63" s="1">
        <f t="shared" si="53"/>
        <v>0</v>
      </c>
      <c r="Q63" s="1"/>
      <c r="R63" s="1"/>
      <c r="S63" s="1" t="s">
        <v>891</v>
      </c>
      <c r="T63" s="1">
        <f t="shared" ref="T63:Y63" si="66">ROUND(K63,2)</f>
        <v>39.81</v>
      </c>
      <c r="U63" s="1">
        <f t="shared" si="66"/>
        <v>37.86</v>
      </c>
      <c r="V63" s="1">
        <f t="shared" si="66"/>
        <v>8.74</v>
      </c>
      <c r="W63" s="1">
        <f t="shared" si="66"/>
        <v>9.7100000000000009</v>
      </c>
      <c r="X63" s="1">
        <f t="shared" si="66"/>
        <v>3.88</v>
      </c>
      <c r="Y63" s="1">
        <f t="shared" si="66"/>
        <v>0</v>
      </c>
      <c r="Z63" s="1"/>
      <c r="AA63" s="1" t="s">
        <v>891</v>
      </c>
      <c r="AB63" s="1">
        <f t="shared" si="55"/>
        <v>86.40776699029125</v>
      </c>
      <c r="AC63" s="1">
        <f t="shared" si="56"/>
        <v>86.41</v>
      </c>
      <c r="AD63" s="1"/>
      <c r="AE63" s="1"/>
      <c r="AF63" s="1" t="s">
        <v>883</v>
      </c>
      <c r="AG63" s="1">
        <v>82.52</v>
      </c>
      <c r="AH63" s="1"/>
      <c r="AI63" s="1"/>
      <c r="AJ63" s="1"/>
      <c r="AK63" s="1"/>
      <c r="AL63" s="1"/>
      <c r="AM63" s="1"/>
      <c r="AN63" s="1"/>
      <c r="AO63" s="1"/>
    </row>
    <row r="64" spans="1:41" ht="14" x14ac:dyDescent="0.15">
      <c r="A64" s="1" t="s">
        <v>892</v>
      </c>
      <c r="B64" s="1" t="s">
        <v>339</v>
      </c>
      <c r="C64" s="1">
        <f>COUNTIF('Guidelines - Data'!$AV$3:$AV$105,C52)</f>
        <v>36</v>
      </c>
      <c r="D64" s="1">
        <f>COUNTIF('Guidelines - Data'!$AV$3:$AV$105,D52)</f>
        <v>31</v>
      </c>
      <c r="E64" s="1">
        <f>COUNTIF('Guidelines - Data'!$AV$3:$AV$105,E52)</f>
        <v>25</v>
      </c>
      <c r="F64" s="1">
        <f>COUNTIF('Guidelines - Data'!$AV$3:$AV$105,F52)</f>
        <v>9</v>
      </c>
      <c r="G64" s="1">
        <f>COUNTIF('Guidelines - Data'!$AV$3:$AV$105,G52)</f>
        <v>2</v>
      </c>
      <c r="H64" s="1">
        <f>COUNTIF('Guidelines - Data'!$AV$3:$AV$105,H52)</f>
        <v>0</v>
      </c>
      <c r="I64" s="1"/>
      <c r="J64" s="1" t="s">
        <v>892</v>
      </c>
      <c r="K64" s="1">
        <f t="shared" si="48"/>
        <v>34.95145631067961</v>
      </c>
      <c r="L64" s="1">
        <f t="shared" si="49"/>
        <v>30.097087378640776</v>
      </c>
      <c r="M64" s="1">
        <f t="shared" si="50"/>
        <v>24.271844660194176</v>
      </c>
      <c r="N64" s="1">
        <f t="shared" si="51"/>
        <v>8.7378640776699026</v>
      </c>
      <c r="O64" s="1">
        <f t="shared" si="52"/>
        <v>1.9417475728155338</v>
      </c>
      <c r="P64" s="1">
        <f t="shared" si="53"/>
        <v>0</v>
      </c>
      <c r="Q64" s="1"/>
      <c r="R64" s="1"/>
      <c r="S64" s="1" t="s">
        <v>892</v>
      </c>
      <c r="T64" s="1">
        <f t="shared" ref="T64:Y64" si="67">ROUND(K64,2)</f>
        <v>34.950000000000003</v>
      </c>
      <c r="U64" s="1">
        <f t="shared" si="67"/>
        <v>30.1</v>
      </c>
      <c r="V64" s="1">
        <f t="shared" si="67"/>
        <v>24.27</v>
      </c>
      <c r="W64" s="1">
        <f t="shared" si="67"/>
        <v>8.74</v>
      </c>
      <c r="X64" s="1">
        <f t="shared" si="67"/>
        <v>1.94</v>
      </c>
      <c r="Y64" s="1">
        <f t="shared" si="67"/>
        <v>0</v>
      </c>
      <c r="Z64" s="1"/>
      <c r="AA64" s="1" t="s">
        <v>892</v>
      </c>
      <c r="AB64" s="1">
        <f t="shared" si="55"/>
        <v>89.320388349514573</v>
      </c>
      <c r="AC64" s="1">
        <f t="shared" si="56"/>
        <v>89.32</v>
      </c>
      <c r="AD64" s="1"/>
      <c r="AE64" s="1"/>
      <c r="AF64" s="1" t="s">
        <v>889</v>
      </c>
      <c r="AG64" s="1">
        <v>82.52</v>
      </c>
      <c r="AH64" s="1"/>
      <c r="AI64" s="1"/>
      <c r="AJ64" s="1"/>
      <c r="AK64" s="1"/>
      <c r="AL64" s="1"/>
      <c r="AM64" s="1"/>
      <c r="AN64" s="1"/>
      <c r="AO64" s="1"/>
    </row>
    <row r="65" spans="1:41" ht="14" x14ac:dyDescent="0.15">
      <c r="A65" s="1" t="s">
        <v>893</v>
      </c>
      <c r="B65" s="1" t="s">
        <v>340</v>
      </c>
      <c r="C65" s="1">
        <f>COUNTIF('Guidelines - Data'!$AW$3:$AW$105,C52)</f>
        <v>25</v>
      </c>
      <c r="D65" s="1">
        <f>COUNTIF('Guidelines - Data'!$AW$3:$AW$105,D52)</f>
        <v>46</v>
      </c>
      <c r="E65" s="1">
        <f>COUNTIF('Guidelines - Data'!$AW$3:$AW$105,E52)</f>
        <v>18</v>
      </c>
      <c r="F65" s="1">
        <f>COUNTIF('Guidelines - Data'!$AW$3:$AW$105,F52)</f>
        <v>8</v>
      </c>
      <c r="G65" s="1">
        <f>COUNTIF('Guidelines - Data'!$AW$3:$AW$105,G52)</f>
        <v>5</v>
      </c>
      <c r="H65" s="1">
        <f>COUNTIF('Guidelines - Data'!$AW$3:$AW$105,H52)</f>
        <v>1</v>
      </c>
      <c r="I65" s="1"/>
      <c r="J65" s="1" t="s">
        <v>893</v>
      </c>
      <c r="K65" s="1">
        <f t="shared" si="48"/>
        <v>24.271844660194176</v>
      </c>
      <c r="L65" s="1">
        <f t="shared" si="49"/>
        <v>44.660194174757287</v>
      </c>
      <c r="M65" s="1">
        <f t="shared" si="50"/>
        <v>17.475728155339805</v>
      </c>
      <c r="N65" s="1">
        <f t="shared" si="51"/>
        <v>7.7669902912621351</v>
      </c>
      <c r="O65" s="1">
        <f t="shared" si="52"/>
        <v>4.8543689320388346</v>
      </c>
      <c r="P65" s="1">
        <f t="shared" si="53"/>
        <v>0.97087378640776689</v>
      </c>
      <c r="Q65" s="1"/>
      <c r="R65" s="1"/>
      <c r="S65" s="1" t="s">
        <v>893</v>
      </c>
      <c r="T65" s="1">
        <f t="shared" ref="T65:Y65" si="68">ROUND(K65,2)</f>
        <v>24.27</v>
      </c>
      <c r="U65" s="1">
        <f t="shared" si="68"/>
        <v>44.66</v>
      </c>
      <c r="V65" s="1">
        <f t="shared" si="68"/>
        <v>17.48</v>
      </c>
      <c r="W65" s="1">
        <f t="shared" si="68"/>
        <v>7.77</v>
      </c>
      <c r="X65" s="1">
        <f t="shared" si="68"/>
        <v>4.8499999999999996</v>
      </c>
      <c r="Y65" s="1">
        <f t="shared" si="68"/>
        <v>0.97</v>
      </c>
      <c r="Z65" s="1"/>
      <c r="AA65" s="1" t="s">
        <v>893</v>
      </c>
      <c r="AB65" s="1">
        <f t="shared" si="55"/>
        <v>86.40776699029125</v>
      </c>
      <c r="AC65" s="1">
        <f t="shared" si="56"/>
        <v>86.41</v>
      </c>
      <c r="AD65" s="1"/>
      <c r="AE65" s="1"/>
      <c r="AF65" s="1" t="s">
        <v>886</v>
      </c>
      <c r="AG65" s="1">
        <v>75.73</v>
      </c>
      <c r="AH65" s="1"/>
      <c r="AI65" s="1"/>
      <c r="AJ65" s="1"/>
      <c r="AK65" s="1"/>
      <c r="AL65" s="1"/>
      <c r="AM65" s="1"/>
      <c r="AN65" s="1"/>
      <c r="AO65" s="1"/>
    </row>
    <row r="66" spans="1:41" ht="14" x14ac:dyDescent="0.15">
      <c r="A66" s="1" t="s">
        <v>894</v>
      </c>
      <c r="B66" s="1" t="s">
        <v>341</v>
      </c>
      <c r="C66" s="1">
        <f>COUNTIF('Guidelines - Data'!$AX$3:$AX$105,C52)</f>
        <v>40</v>
      </c>
      <c r="D66" s="1">
        <f>COUNTIF('Guidelines - Data'!$AX$3:$AX$105,D52)</f>
        <v>34</v>
      </c>
      <c r="E66" s="1">
        <f>COUNTIF('Guidelines - Data'!$AX$3:$AX$105,E52)</f>
        <v>16</v>
      </c>
      <c r="F66" s="1">
        <f>COUNTIF('Guidelines - Data'!$AX$3:$AX$105,F52)</f>
        <v>6</v>
      </c>
      <c r="G66" s="1">
        <f>COUNTIF('Guidelines - Data'!$AX$3:$AX$105,G52)</f>
        <v>6</v>
      </c>
      <c r="H66" s="1">
        <f>COUNTIF('Guidelines - Data'!$AX$3:$AX$105,H52)</f>
        <v>1</v>
      </c>
      <c r="I66" s="1"/>
      <c r="J66" s="1" t="s">
        <v>894</v>
      </c>
      <c r="K66" s="1">
        <f t="shared" si="48"/>
        <v>38.834951456310677</v>
      </c>
      <c r="L66" s="1">
        <f t="shared" si="49"/>
        <v>33.009708737864081</v>
      </c>
      <c r="M66" s="1">
        <f t="shared" si="50"/>
        <v>15.53398058252427</v>
      </c>
      <c r="N66" s="1">
        <f t="shared" si="51"/>
        <v>5.825242718446602</v>
      </c>
      <c r="O66" s="1">
        <f t="shared" si="52"/>
        <v>5.825242718446602</v>
      </c>
      <c r="P66" s="1">
        <f t="shared" si="53"/>
        <v>0.97087378640776689</v>
      </c>
      <c r="Q66" s="1"/>
      <c r="R66" s="1"/>
      <c r="S66" s="1" t="s">
        <v>894</v>
      </c>
      <c r="T66" s="1">
        <f t="shared" ref="T66:Y66" si="69">ROUND(K66,2)</f>
        <v>38.83</v>
      </c>
      <c r="U66" s="1">
        <f t="shared" si="69"/>
        <v>33.01</v>
      </c>
      <c r="V66" s="1">
        <f t="shared" si="69"/>
        <v>15.53</v>
      </c>
      <c r="W66" s="1">
        <f t="shared" si="69"/>
        <v>5.83</v>
      </c>
      <c r="X66" s="1">
        <f t="shared" si="69"/>
        <v>5.83</v>
      </c>
      <c r="Y66" s="1">
        <f t="shared" si="69"/>
        <v>0.97</v>
      </c>
      <c r="Z66" s="1"/>
      <c r="AA66" s="1" t="s">
        <v>894</v>
      </c>
      <c r="AB66" s="1">
        <f t="shared" si="55"/>
        <v>87.378640776699029</v>
      </c>
      <c r="AC66" s="1">
        <f t="shared" si="56"/>
        <v>87.38</v>
      </c>
      <c r="AD66" s="1"/>
      <c r="AE66" s="1"/>
      <c r="AF66" s="1" t="s">
        <v>895</v>
      </c>
      <c r="AG66" s="1">
        <v>74.760000000000005</v>
      </c>
      <c r="AH66" s="1"/>
      <c r="AI66" s="1"/>
      <c r="AJ66" s="1"/>
      <c r="AK66" s="1"/>
      <c r="AL66" s="1"/>
      <c r="AM66" s="1"/>
      <c r="AN66" s="1"/>
      <c r="AO66" s="1"/>
    </row>
    <row r="67" spans="1:41" ht="14" x14ac:dyDescent="0.15">
      <c r="A67" s="1" t="s">
        <v>895</v>
      </c>
      <c r="B67" s="1" t="s">
        <v>342</v>
      </c>
      <c r="C67" s="1">
        <f>COUNTIF('Guidelines - Data'!$AY$3:$AY$105,C52)</f>
        <v>21</v>
      </c>
      <c r="D67" s="1">
        <f>COUNTIF('Guidelines - Data'!$AY$3:$AY$105,D52)</f>
        <v>32</v>
      </c>
      <c r="E67" s="1">
        <f>COUNTIF('Guidelines - Data'!$AY$3:$AY$105,E52)</f>
        <v>24</v>
      </c>
      <c r="F67" s="1">
        <f>COUNTIF('Guidelines - Data'!$AY$3:$AY$105,F52)</f>
        <v>11</v>
      </c>
      <c r="G67" s="1">
        <f>COUNTIF('Guidelines - Data'!$AY$3:$AY$105,G52)</f>
        <v>14</v>
      </c>
      <c r="H67" s="1">
        <f>COUNTIF('Guidelines - Data'!$AY$3:$AY$105,H52)</f>
        <v>1</v>
      </c>
      <c r="I67" s="1"/>
      <c r="J67" s="1" t="s">
        <v>895</v>
      </c>
      <c r="K67" s="1">
        <f t="shared" si="48"/>
        <v>20.388349514563107</v>
      </c>
      <c r="L67" s="1">
        <f t="shared" si="49"/>
        <v>31.067961165048541</v>
      </c>
      <c r="M67" s="1">
        <f t="shared" si="50"/>
        <v>23.300970873786408</v>
      </c>
      <c r="N67" s="1">
        <f t="shared" si="51"/>
        <v>10.679611650485436</v>
      </c>
      <c r="O67" s="1">
        <f t="shared" si="52"/>
        <v>13.592233009708737</v>
      </c>
      <c r="P67" s="1">
        <f t="shared" si="53"/>
        <v>0.97087378640776689</v>
      </c>
      <c r="Q67" s="1"/>
      <c r="R67" s="1"/>
      <c r="S67" s="1" t="s">
        <v>895</v>
      </c>
      <c r="T67" s="1">
        <f t="shared" ref="T67:Y67" si="70">ROUND(K67,2)</f>
        <v>20.39</v>
      </c>
      <c r="U67" s="1">
        <f t="shared" si="70"/>
        <v>31.07</v>
      </c>
      <c r="V67" s="1">
        <f t="shared" si="70"/>
        <v>23.3</v>
      </c>
      <c r="W67" s="1">
        <f t="shared" si="70"/>
        <v>10.68</v>
      </c>
      <c r="X67" s="1">
        <f t="shared" si="70"/>
        <v>13.59</v>
      </c>
      <c r="Y67" s="1">
        <f t="shared" si="70"/>
        <v>0.97</v>
      </c>
      <c r="Z67" s="1"/>
      <c r="AA67" s="1" t="s">
        <v>895</v>
      </c>
      <c r="AB67" s="1">
        <f t="shared" si="55"/>
        <v>74.757281553398059</v>
      </c>
      <c r="AC67" s="1">
        <f t="shared" si="56"/>
        <v>74.760000000000005</v>
      </c>
      <c r="AD67" s="1"/>
      <c r="AE67" s="1"/>
      <c r="AF67" s="1" t="s">
        <v>896</v>
      </c>
      <c r="AG67" s="1">
        <v>72.819999999999993</v>
      </c>
      <c r="AH67" s="1"/>
      <c r="AI67" s="1"/>
      <c r="AJ67" s="1"/>
      <c r="AK67" s="1"/>
      <c r="AL67" s="1"/>
      <c r="AM67" s="1"/>
      <c r="AN67" s="1"/>
      <c r="AO67" s="1"/>
    </row>
    <row r="68" spans="1:41" ht="14" x14ac:dyDescent="0.15">
      <c r="A68" s="1" t="s">
        <v>896</v>
      </c>
      <c r="B68" s="1" t="s">
        <v>343</v>
      </c>
      <c r="C68" s="1">
        <f>COUNTIF('Guidelines - Data'!$AZ$3:$AZ$105,C52)</f>
        <v>29</v>
      </c>
      <c r="D68" s="1">
        <f>COUNTIF('Guidelines - Data'!$AZ$3:$AZ$105,D52)</f>
        <v>22</v>
      </c>
      <c r="E68" s="1">
        <f>COUNTIF('Guidelines - Data'!$AZ$3:$AZ$105,E52)</f>
        <v>24</v>
      </c>
      <c r="F68" s="1">
        <f>COUNTIF('Guidelines - Data'!$AZ$3:$AZ$105,F52)</f>
        <v>12</v>
      </c>
      <c r="G68" s="1">
        <f>COUNTIF('Guidelines - Data'!$AZ$3:$AZ$105,G52)</f>
        <v>13</v>
      </c>
      <c r="H68" s="1">
        <f>COUNTIF('Guidelines - Data'!$AZ$3:$AZ$105,H52)</f>
        <v>3</v>
      </c>
      <c r="I68" s="1"/>
      <c r="J68" s="1" t="s">
        <v>896</v>
      </c>
      <c r="K68" s="1">
        <f t="shared" si="48"/>
        <v>28.155339805825243</v>
      </c>
      <c r="L68" s="1">
        <f t="shared" si="49"/>
        <v>21.359223300970871</v>
      </c>
      <c r="M68" s="1">
        <f t="shared" si="50"/>
        <v>23.300970873786408</v>
      </c>
      <c r="N68" s="1">
        <f t="shared" si="51"/>
        <v>11.650485436893204</v>
      </c>
      <c r="O68" s="1">
        <f t="shared" si="52"/>
        <v>12.621359223300971</v>
      </c>
      <c r="P68" s="1">
        <f t="shared" si="53"/>
        <v>2.912621359223301</v>
      </c>
      <c r="Q68" s="1"/>
      <c r="R68" s="1"/>
      <c r="S68" s="1" t="s">
        <v>896</v>
      </c>
      <c r="T68" s="1">
        <f t="shared" ref="T68:Y68" si="71">ROUND(K68,2)</f>
        <v>28.16</v>
      </c>
      <c r="U68" s="1">
        <f t="shared" si="71"/>
        <v>21.36</v>
      </c>
      <c r="V68" s="1">
        <f t="shared" si="71"/>
        <v>23.3</v>
      </c>
      <c r="W68" s="1">
        <f t="shared" si="71"/>
        <v>11.65</v>
      </c>
      <c r="X68" s="1">
        <f t="shared" si="71"/>
        <v>12.62</v>
      </c>
      <c r="Y68" s="1">
        <f t="shared" si="71"/>
        <v>2.91</v>
      </c>
      <c r="Z68" s="1"/>
      <c r="AA68" s="1" t="s">
        <v>896</v>
      </c>
      <c r="AB68" s="1">
        <f t="shared" si="55"/>
        <v>72.815533980582529</v>
      </c>
      <c r="AC68" s="1">
        <f t="shared" si="56"/>
        <v>72.819999999999993</v>
      </c>
      <c r="AD68" s="1"/>
      <c r="AE68" s="1"/>
      <c r="AF68" s="1" t="s">
        <v>897</v>
      </c>
      <c r="AG68" s="1">
        <v>71.84</v>
      </c>
      <c r="AH68" s="1"/>
      <c r="AI68" s="1"/>
      <c r="AJ68" s="1"/>
      <c r="AK68" s="1"/>
      <c r="AL68" s="1"/>
      <c r="AM68" s="1"/>
      <c r="AN68" s="1"/>
      <c r="AO68" s="1"/>
    </row>
    <row r="69" spans="1:41" ht="14" x14ac:dyDescent="0.15">
      <c r="A69" s="1" t="s">
        <v>897</v>
      </c>
      <c r="B69" s="1" t="s">
        <v>344</v>
      </c>
      <c r="C69" s="1">
        <f>COUNTIF('Guidelines - Data'!$BA$3:$BA$105,C52)</f>
        <v>19</v>
      </c>
      <c r="D69" s="1">
        <f>COUNTIF('Guidelines - Data'!$BA$3:$BA$105,D52)</f>
        <v>36</v>
      </c>
      <c r="E69" s="1">
        <f>COUNTIF('Guidelines - Data'!$BA$3:$BA$105,E52)</f>
        <v>19</v>
      </c>
      <c r="F69" s="1">
        <f>COUNTIF('Guidelines - Data'!$BA$3:$BA$105,F52)</f>
        <v>19</v>
      </c>
      <c r="G69" s="1">
        <f>COUNTIF('Guidelines - Data'!$BA$3:$BA$105,G52)</f>
        <v>8</v>
      </c>
      <c r="H69" s="1">
        <f>COUNTIF('Guidelines - Data'!$BA$3:$BA$105,H52)</f>
        <v>2</v>
      </c>
      <c r="I69" s="1"/>
      <c r="J69" s="1" t="s">
        <v>897</v>
      </c>
      <c r="K69" s="1">
        <f t="shared" si="48"/>
        <v>18.446601941747574</v>
      </c>
      <c r="L69" s="1">
        <f t="shared" si="49"/>
        <v>34.95145631067961</v>
      </c>
      <c r="M69" s="1">
        <f t="shared" si="50"/>
        <v>18.446601941747574</v>
      </c>
      <c r="N69" s="1">
        <f t="shared" si="51"/>
        <v>18.446601941747574</v>
      </c>
      <c r="O69" s="1">
        <f t="shared" si="52"/>
        <v>7.7669902912621351</v>
      </c>
      <c r="P69" s="1">
        <f t="shared" si="53"/>
        <v>1.9417475728155338</v>
      </c>
      <c r="Q69" s="1"/>
      <c r="R69" s="1"/>
      <c r="S69" s="1" t="s">
        <v>897</v>
      </c>
      <c r="T69" s="1">
        <f t="shared" ref="T69:Y69" si="72">ROUND(K69,2)</f>
        <v>18.45</v>
      </c>
      <c r="U69" s="1">
        <f t="shared" si="72"/>
        <v>34.950000000000003</v>
      </c>
      <c r="V69" s="1">
        <f t="shared" si="72"/>
        <v>18.45</v>
      </c>
      <c r="W69" s="1">
        <f t="shared" si="72"/>
        <v>18.45</v>
      </c>
      <c r="X69" s="1">
        <f t="shared" si="72"/>
        <v>7.77</v>
      </c>
      <c r="Y69" s="1">
        <f t="shared" si="72"/>
        <v>1.94</v>
      </c>
      <c r="Z69" s="1"/>
      <c r="AA69" s="1" t="s">
        <v>897</v>
      </c>
      <c r="AB69" s="1">
        <f t="shared" si="55"/>
        <v>71.844660194174764</v>
      </c>
      <c r="AC69" s="1">
        <f t="shared" si="56"/>
        <v>71.84</v>
      </c>
      <c r="AD69" s="1"/>
      <c r="AE69" s="1"/>
      <c r="AF69" s="1" t="s">
        <v>888</v>
      </c>
      <c r="AG69" s="1">
        <v>66.989999999999995</v>
      </c>
      <c r="AH69" s="1"/>
      <c r="AI69" s="1"/>
      <c r="AJ69" s="1"/>
      <c r="AK69" s="1"/>
      <c r="AL69" s="1"/>
      <c r="AM69" s="1"/>
      <c r="AN69" s="1"/>
      <c r="AO69" s="1"/>
    </row>
    <row r="70" spans="1:41" ht="14" x14ac:dyDescent="0.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4" x14ac:dyDescent="0.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4" x14ac:dyDescent="0.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4" x14ac:dyDescent="0.15">
      <c r="A73" s="35" t="s">
        <v>914</v>
      </c>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row>
    <row r="74" spans="1:41" ht="45" x14ac:dyDescent="0.15">
      <c r="A74" s="1"/>
      <c r="B74" s="1"/>
      <c r="C74" s="1" t="s">
        <v>915</v>
      </c>
      <c r="D74" s="1" t="s">
        <v>916</v>
      </c>
      <c r="E74" s="1" t="s">
        <v>917</v>
      </c>
      <c r="F74" s="21" t="s">
        <v>918</v>
      </c>
      <c r="G74" s="21" t="s">
        <v>919</v>
      </c>
      <c r="H74" s="1"/>
      <c r="I74" s="1"/>
      <c r="J74" s="1"/>
      <c r="K74" s="37" t="s">
        <v>920</v>
      </c>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4" x14ac:dyDescent="0.15">
      <c r="A75" s="1" t="s">
        <v>881</v>
      </c>
      <c r="B75" s="1" t="s">
        <v>328</v>
      </c>
      <c r="C75" s="1">
        <v>77.67</v>
      </c>
      <c r="D75" s="1">
        <v>36.89</v>
      </c>
      <c r="E75" s="1">
        <v>86.41</v>
      </c>
      <c r="F75" s="1">
        <f t="shared" ref="F75:F91" si="73">(C75+D75+E75)/3</f>
        <v>66.989999999999995</v>
      </c>
      <c r="G75" s="1">
        <f t="shared" ref="G75:G91" si="74">ROUND(F75,2)</f>
        <v>66.989999999999995</v>
      </c>
      <c r="H75" s="1"/>
      <c r="I75" s="1"/>
      <c r="J75" s="38" t="s">
        <v>890</v>
      </c>
      <c r="K75" s="38">
        <v>74.319999999999993</v>
      </c>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4" x14ac:dyDescent="0.15">
      <c r="A76" s="1" t="s">
        <v>882</v>
      </c>
      <c r="B76" s="1" t="s">
        <v>329</v>
      </c>
      <c r="C76" s="1">
        <v>76.7</v>
      </c>
      <c r="D76" s="1">
        <v>33.979999999999997</v>
      </c>
      <c r="E76" s="1">
        <v>87.38</v>
      </c>
      <c r="F76" s="1">
        <f t="shared" si="73"/>
        <v>66.02</v>
      </c>
      <c r="G76" s="1">
        <f t="shared" si="74"/>
        <v>66.02</v>
      </c>
      <c r="H76" s="1"/>
      <c r="I76" s="1"/>
      <c r="J76" s="38" t="s">
        <v>885</v>
      </c>
      <c r="K76" s="38">
        <v>73.14</v>
      </c>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4" x14ac:dyDescent="0.15">
      <c r="A77" s="1" t="s">
        <v>883</v>
      </c>
      <c r="B77" s="1" t="s">
        <v>330</v>
      </c>
      <c r="C77" s="1">
        <v>65.05</v>
      </c>
      <c r="D77" s="1">
        <v>25.24</v>
      </c>
      <c r="E77" s="1">
        <v>82.52</v>
      </c>
      <c r="F77" s="1">
        <f t="shared" si="73"/>
        <v>57.603333333333332</v>
      </c>
      <c r="G77" s="1">
        <f t="shared" si="74"/>
        <v>57.6</v>
      </c>
      <c r="H77" s="1"/>
      <c r="I77" s="1"/>
      <c r="J77" s="38" t="s">
        <v>884</v>
      </c>
      <c r="K77" s="38">
        <v>71.52</v>
      </c>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4" x14ac:dyDescent="0.15">
      <c r="A78" s="1" t="s">
        <v>884</v>
      </c>
      <c r="B78" s="1" t="s">
        <v>331</v>
      </c>
      <c r="C78" s="1">
        <v>71.84</v>
      </c>
      <c r="D78" s="1">
        <v>51.46</v>
      </c>
      <c r="E78" s="1">
        <v>91.26</v>
      </c>
      <c r="F78" s="1">
        <f t="shared" si="73"/>
        <v>71.52</v>
      </c>
      <c r="G78" s="1">
        <f t="shared" si="74"/>
        <v>71.52</v>
      </c>
      <c r="H78" s="1"/>
      <c r="I78" s="1"/>
      <c r="J78" s="38" t="s">
        <v>887</v>
      </c>
      <c r="K78" s="38">
        <v>71.2</v>
      </c>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4" x14ac:dyDescent="0.15">
      <c r="A79" s="1" t="s">
        <v>885</v>
      </c>
      <c r="B79" s="1" t="s">
        <v>332</v>
      </c>
      <c r="C79" s="1">
        <v>71.84</v>
      </c>
      <c r="D79" s="1">
        <v>59.22</v>
      </c>
      <c r="E79" s="1">
        <v>88.35</v>
      </c>
      <c r="F79" s="1">
        <f t="shared" si="73"/>
        <v>73.13666666666667</v>
      </c>
      <c r="G79" s="1">
        <f t="shared" si="74"/>
        <v>73.14</v>
      </c>
      <c r="H79" s="1"/>
      <c r="I79" s="1"/>
      <c r="J79" s="39" t="s">
        <v>889</v>
      </c>
      <c r="K79" s="39">
        <v>69.12</v>
      </c>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4" x14ac:dyDescent="0.15">
      <c r="A80" s="1" t="s">
        <v>886</v>
      </c>
      <c r="B80" s="1" t="s">
        <v>333</v>
      </c>
      <c r="C80" s="1">
        <v>55.34</v>
      </c>
      <c r="D80" s="1">
        <v>46.6</v>
      </c>
      <c r="E80" s="1">
        <v>75.73</v>
      </c>
      <c r="F80" s="1">
        <f t="shared" si="73"/>
        <v>59.223333333333336</v>
      </c>
      <c r="G80" s="1">
        <f t="shared" si="74"/>
        <v>59.22</v>
      </c>
      <c r="H80" s="1"/>
      <c r="I80" s="1"/>
      <c r="J80" s="39" t="s">
        <v>892</v>
      </c>
      <c r="K80" s="39">
        <v>67.64</v>
      </c>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4" x14ac:dyDescent="0.15">
      <c r="A81" s="1" t="s">
        <v>887</v>
      </c>
      <c r="B81" s="1" t="s">
        <v>334</v>
      </c>
      <c r="C81" s="1">
        <v>72.819999999999993</v>
      </c>
      <c r="D81" s="1">
        <v>47.57</v>
      </c>
      <c r="E81" s="1">
        <v>93.2</v>
      </c>
      <c r="F81" s="1">
        <f t="shared" si="73"/>
        <v>71.196666666666658</v>
      </c>
      <c r="G81" s="1">
        <f t="shared" si="74"/>
        <v>71.2</v>
      </c>
      <c r="H81" s="1"/>
      <c r="I81" s="1"/>
      <c r="J81" s="39" t="s">
        <v>881</v>
      </c>
      <c r="K81" s="39">
        <v>66.989999999999995</v>
      </c>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4" x14ac:dyDescent="0.15">
      <c r="A82" s="1" t="s">
        <v>888</v>
      </c>
      <c r="B82" s="1" t="s">
        <v>335</v>
      </c>
      <c r="C82" s="1">
        <v>47.57</v>
      </c>
      <c r="D82" s="1">
        <v>49.51</v>
      </c>
      <c r="E82" s="1">
        <v>66.989999999999995</v>
      </c>
      <c r="F82" s="1">
        <f t="shared" si="73"/>
        <v>54.69</v>
      </c>
      <c r="G82" s="1">
        <f t="shared" si="74"/>
        <v>54.69</v>
      </c>
      <c r="H82" s="1"/>
      <c r="I82" s="1"/>
      <c r="J82" s="39" t="s">
        <v>882</v>
      </c>
      <c r="K82" s="39">
        <v>66.02</v>
      </c>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4" x14ac:dyDescent="0.15">
      <c r="A83" s="1" t="s">
        <v>889</v>
      </c>
      <c r="B83" s="1" t="s">
        <v>336</v>
      </c>
      <c r="C83" s="1">
        <v>66.989999999999995</v>
      </c>
      <c r="D83" s="1">
        <v>57.84</v>
      </c>
      <c r="E83" s="1">
        <v>82.52</v>
      </c>
      <c r="F83" s="1">
        <f t="shared" si="73"/>
        <v>69.11666666666666</v>
      </c>
      <c r="G83" s="1">
        <f t="shared" si="74"/>
        <v>69.12</v>
      </c>
      <c r="H83" s="1"/>
      <c r="I83" s="1"/>
      <c r="J83" s="40" t="s">
        <v>891</v>
      </c>
      <c r="K83" s="40">
        <v>63.75</v>
      </c>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4" x14ac:dyDescent="0.15">
      <c r="A84" s="1" t="s">
        <v>890</v>
      </c>
      <c r="B84" s="1" t="s">
        <v>337</v>
      </c>
      <c r="C84" s="1">
        <v>69.900000000000006</v>
      </c>
      <c r="D84" s="1">
        <v>63.73</v>
      </c>
      <c r="E84" s="1">
        <v>89.32</v>
      </c>
      <c r="F84" s="1">
        <f t="shared" si="73"/>
        <v>74.316666666666663</v>
      </c>
      <c r="G84" s="1">
        <f t="shared" si="74"/>
        <v>74.319999999999993</v>
      </c>
      <c r="H84" s="1"/>
      <c r="I84" s="1"/>
      <c r="J84" s="40" t="s">
        <v>893</v>
      </c>
      <c r="K84" s="40">
        <v>61.63</v>
      </c>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4" x14ac:dyDescent="0.15">
      <c r="A85" s="1" t="s">
        <v>891</v>
      </c>
      <c r="B85" s="1" t="s">
        <v>338</v>
      </c>
      <c r="C85" s="1">
        <v>71.84</v>
      </c>
      <c r="D85" s="1">
        <v>33.01</v>
      </c>
      <c r="E85" s="1">
        <v>86.41</v>
      </c>
      <c r="F85" s="1">
        <f t="shared" si="73"/>
        <v>63.75333333333333</v>
      </c>
      <c r="G85" s="1">
        <f t="shared" si="74"/>
        <v>63.75</v>
      </c>
      <c r="H85" s="1"/>
      <c r="I85" s="1"/>
      <c r="J85" s="40" t="s">
        <v>894</v>
      </c>
      <c r="K85" s="40">
        <v>60.29</v>
      </c>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4" x14ac:dyDescent="0.15">
      <c r="A86" s="1" t="s">
        <v>892</v>
      </c>
      <c r="B86" s="1" t="s">
        <v>339</v>
      </c>
      <c r="C86" s="1">
        <v>67.959999999999994</v>
      </c>
      <c r="D86" s="1">
        <v>45.63</v>
      </c>
      <c r="E86" s="1">
        <v>89.32</v>
      </c>
      <c r="F86" s="1">
        <f t="shared" si="73"/>
        <v>67.63666666666667</v>
      </c>
      <c r="G86" s="1">
        <f t="shared" si="74"/>
        <v>67.64</v>
      </c>
      <c r="H86" s="1"/>
      <c r="I86" s="1"/>
      <c r="J86" s="41" t="s">
        <v>895</v>
      </c>
      <c r="K86" s="41">
        <v>59.87</v>
      </c>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4" x14ac:dyDescent="0.15">
      <c r="A87" s="1" t="s">
        <v>893</v>
      </c>
      <c r="B87" s="1" t="s">
        <v>340</v>
      </c>
      <c r="C87" s="1">
        <v>54.37</v>
      </c>
      <c r="D87" s="1">
        <v>44.12</v>
      </c>
      <c r="E87" s="1">
        <v>86.41</v>
      </c>
      <c r="F87" s="1">
        <f t="shared" si="73"/>
        <v>61.633333333333326</v>
      </c>
      <c r="G87" s="1">
        <f t="shared" si="74"/>
        <v>61.63</v>
      </c>
      <c r="H87" s="1"/>
      <c r="I87" s="1"/>
      <c r="J87" s="41" t="s">
        <v>886</v>
      </c>
      <c r="K87" s="41">
        <v>59.22</v>
      </c>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4" x14ac:dyDescent="0.15">
      <c r="A88" s="1" t="s">
        <v>894</v>
      </c>
      <c r="B88" s="1" t="s">
        <v>341</v>
      </c>
      <c r="C88" s="1">
        <v>64.08</v>
      </c>
      <c r="D88" s="1">
        <v>29.41</v>
      </c>
      <c r="E88" s="1">
        <v>87.38</v>
      </c>
      <c r="F88" s="1">
        <f t="shared" si="73"/>
        <v>60.29</v>
      </c>
      <c r="G88" s="1">
        <f t="shared" si="74"/>
        <v>60.29</v>
      </c>
      <c r="H88" s="1"/>
      <c r="I88" s="1"/>
      <c r="J88" s="41" t="s">
        <v>883</v>
      </c>
      <c r="K88" s="41">
        <v>57.6</v>
      </c>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4" x14ac:dyDescent="0.15">
      <c r="A89" s="1" t="s">
        <v>895</v>
      </c>
      <c r="B89" s="1" t="s">
        <v>342</v>
      </c>
      <c r="C89" s="1">
        <v>55.34</v>
      </c>
      <c r="D89" s="1">
        <v>49.5</v>
      </c>
      <c r="E89" s="1">
        <v>74.760000000000005</v>
      </c>
      <c r="F89" s="1">
        <f t="shared" si="73"/>
        <v>59.866666666666674</v>
      </c>
      <c r="G89" s="1">
        <f t="shared" si="74"/>
        <v>59.87</v>
      </c>
      <c r="H89" s="1"/>
      <c r="I89" s="1"/>
      <c r="J89" s="23" t="s">
        <v>896</v>
      </c>
      <c r="K89" s="23">
        <v>54.8</v>
      </c>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4" x14ac:dyDescent="0.15">
      <c r="A90" s="1" t="s">
        <v>896</v>
      </c>
      <c r="B90" s="1" t="s">
        <v>343</v>
      </c>
      <c r="C90" s="1">
        <v>47.57</v>
      </c>
      <c r="D90" s="1">
        <v>44</v>
      </c>
      <c r="E90" s="1">
        <v>72.819999999999993</v>
      </c>
      <c r="F90" s="1">
        <f t="shared" si="73"/>
        <v>54.79666666666666</v>
      </c>
      <c r="G90" s="1">
        <f t="shared" si="74"/>
        <v>54.8</v>
      </c>
      <c r="H90" s="1"/>
      <c r="I90" s="1"/>
      <c r="J90" s="23" t="s">
        <v>888</v>
      </c>
      <c r="K90" s="23">
        <v>54.69</v>
      </c>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4" x14ac:dyDescent="0.15">
      <c r="A91" s="1" t="s">
        <v>897</v>
      </c>
      <c r="B91" s="1" t="s">
        <v>344</v>
      </c>
      <c r="C91" s="1">
        <v>54.37</v>
      </c>
      <c r="D91" s="1">
        <v>26</v>
      </c>
      <c r="E91" s="1">
        <v>71.84</v>
      </c>
      <c r="F91" s="1">
        <f t="shared" si="73"/>
        <v>50.736666666666672</v>
      </c>
      <c r="G91" s="1">
        <f t="shared" si="74"/>
        <v>50.74</v>
      </c>
      <c r="H91" s="1"/>
      <c r="I91" s="1"/>
      <c r="J91" s="23" t="s">
        <v>897</v>
      </c>
      <c r="K91" s="23">
        <v>50.74</v>
      </c>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4" x14ac:dyDescent="0.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4" x14ac:dyDescent="0.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4" x14ac:dyDescent="0.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45" x14ac:dyDescent="0.15">
      <c r="A95" s="1" t="s">
        <v>921</v>
      </c>
      <c r="B95" s="1"/>
      <c r="C95" s="21" t="s">
        <v>922</v>
      </c>
      <c r="D95" s="21" t="s">
        <v>923</v>
      </c>
      <c r="E95" s="21"/>
      <c r="F95" s="21" t="s">
        <v>924</v>
      </c>
      <c r="G95" s="21" t="s">
        <v>925</v>
      </c>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4" x14ac:dyDescent="0.15">
      <c r="A96" s="1" t="s">
        <v>881</v>
      </c>
      <c r="B96" s="1" t="s">
        <v>328</v>
      </c>
      <c r="C96" s="1">
        <f t="shared" ref="C96:C112" si="75">(C4*5+D4*4+E4*3+F4*2+G4*1)/(C4+D4+E4+F4+G4)</f>
        <v>3.825242718446602</v>
      </c>
      <c r="D96" s="1">
        <f t="shared" ref="D96:D112" si="76">(C27*5+D27*4+E27*3+F27*2+G27*1)/(C27+D27+E27+F27+G27)</f>
        <v>2.7475728155339807</v>
      </c>
      <c r="E96" s="1"/>
      <c r="F96" s="1">
        <f t="shared" ref="F96:G96" si="77">ROUND(C96,2)</f>
        <v>3.83</v>
      </c>
      <c r="G96" s="1">
        <f t="shared" si="77"/>
        <v>2.75</v>
      </c>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4" x14ac:dyDescent="0.15">
      <c r="A97" s="1" t="s">
        <v>882</v>
      </c>
      <c r="B97" s="1" t="s">
        <v>329</v>
      </c>
      <c r="C97" s="1">
        <f t="shared" si="75"/>
        <v>3.854368932038835</v>
      </c>
      <c r="D97" s="1">
        <f t="shared" si="76"/>
        <v>2.7281553398058254</v>
      </c>
      <c r="E97" s="1"/>
      <c r="F97" s="1">
        <f t="shared" ref="F97:G97" si="78">ROUND(C97,2)</f>
        <v>3.85</v>
      </c>
      <c r="G97" s="1">
        <f t="shared" si="78"/>
        <v>2.73</v>
      </c>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4" x14ac:dyDescent="0.15">
      <c r="A98" s="1" t="s">
        <v>883</v>
      </c>
      <c r="B98" s="1" t="s">
        <v>330</v>
      </c>
      <c r="C98" s="1">
        <f t="shared" si="75"/>
        <v>3.5436893203883497</v>
      </c>
      <c r="D98" s="1">
        <f t="shared" si="76"/>
        <v>2.5339805825242721</v>
      </c>
      <c r="E98" s="1"/>
      <c r="F98" s="1">
        <f t="shared" ref="F98:G98" si="79">ROUND(C98,2)</f>
        <v>3.54</v>
      </c>
      <c r="G98" s="1">
        <f t="shared" si="79"/>
        <v>2.5299999999999998</v>
      </c>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4" x14ac:dyDescent="0.15">
      <c r="A99" s="1" t="s">
        <v>884</v>
      </c>
      <c r="B99" s="1" t="s">
        <v>331</v>
      </c>
      <c r="C99" s="1">
        <f t="shared" si="75"/>
        <v>3.7864077669902914</v>
      </c>
      <c r="D99" s="1">
        <f t="shared" si="76"/>
        <v>3.1650485436893203</v>
      </c>
      <c r="E99" s="1"/>
      <c r="F99" s="1">
        <f t="shared" ref="F99:G99" si="80">ROUND(C99,2)</f>
        <v>3.79</v>
      </c>
      <c r="G99" s="1">
        <f t="shared" si="80"/>
        <v>3.17</v>
      </c>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4" x14ac:dyDescent="0.15">
      <c r="A100" s="1" t="s">
        <v>885</v>
      </c>
      <c r="B100" s="1" t="s">
        <v>332</v>
      </c>
      <c r="C100" s="1">
        <f t="shared" si="75"/>
        <v>3.8155339805825244</v>
      </c>
      <c r="D100" s="1">
        <f t="shared" si="76"/>
        <v>3.2427184466019416</v>
      </c>
      <c r="E100" s="1"/>
      <c r="F100" s="1">
        <f t="shared" ref="F100:G100" si="81">ROUND(C100,2)</f>
        <v>3.82</v>
      </c>
      <c r="G100" s="1">
        <f t="shared" si="81"/>
        <v>3.24</v>
      </c>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4" x14ac:dyDescent="0.15">
      <c r="A101" s="1" t="s">
        <v>886</v>
      </c>
      <c r="B101" s="1" t="s">
        <v>333</v>
      </c>
      <c r="C101" s="1">
        <f t="shared" si="75"/>
        <v>3.2427184466019416</v>
      </c>
      <c r="D101" s="1">
        <f t="shared" si="76"/>
        <v>3.116504854368932</v>
      </c>
      <c r="E101" s="1"/>
      <c r="F101" s="1">
        <f t="shared" ref="F101:G101" si="82">ROUND(C101,2)</f>
        <v>3.24</v>
      </c>
      <c r="G101" s="1">
        <f t="shared" si="82"/>
        <v>3.12</v>
      </c>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4" x14ac:dyDescent="0.15">
      <c r="A102" s="1" t="s">
        <v>887</v>
      </c>
      <c r="B102" s="1" t="s">
        <v>334</v>
      </c>
      <c r="C102" s="1">
        <f t="shared" si="75"/>
        <v>3.8058252427184467</v>
      </c>
      <c r="D102" s="1">
        <f t="shared" si="76"/>
        <v>3.0485436893203883</v>
      </c>
      <c r="E102" s="1"/>
      <c r="F102" s="1">
        <f t="shared" ref="F102:G102" si="83">ROUND(C102,2)</f>
        <v>3.81</v>
      </c>
      <c r="G102" s="1">
        <f t="shared" si="83"/>
        <v>3.05</v>
      </c>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4" x14ac:dyDescent="0.15">
      <c r="A103" s="1" t="s">
        <v>888</v>
      </c>
      <c r="B103" s="1" t="s">
        <v>335</v>
      </c>
      <c r="C103" s="1">
        <f t="shared" si="75"/>
        <v>3.1844660194174756</v>
      </c>
      <c r="D103" s="1">
        <f t="shared" si="76"/>
        <v>3.2233009708737863</v>
      </c>
      <c r="E103" s="1"/>
      <c r="F103" s="1">
        <f t="shared" ref="F103:G103" si="84">ROUND(C103,2)</f>
        <v>3.18</v>
      </c>
      <c r="G103" s="1">
        <f t="shared" si="84"/>
        <v>3.22</v>
      </c>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4" x14ac:dyDescent="0.15">
      <c r="A104" s="1" t="s">
        <v>889</v>
      </c>
      <c r="B104" s="1" t="s">
        <v>336</v>
      </c>
      <c r="C104" s="1">
        <f t="shared" si="75"/>
        <v>3.5436893203883497</v>
      </c>
      <c r="D104" s="1">
        <f t="shared" si="76"/>
        <v>3.3431372549019609</v>
      </c>
      <c r="E104" s="1"/>
      <c r="F104" s="1">
        <f t="shared" ref="F104:G104" si="85">ROUND(C104,2)</f>
        <v>3.54</v>
      </c>
      <c r="G104" s="1">
        <f t="shared" si="85"/>
        <v>3.34</v>
      </c>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4" x14ac:dyDescent="0.15">
      <c r="A105" s="1" t="s">
        <v>890</v>
      </c>
      <c r="B105" s="1" t="s">
        <v>337</v>
      </c>
      <c r="C105" s="1">
        <f t="shared" si="75"/>
        <v>3.737864077669903</v>
      </c>
      <c r="D105" s="1">
        <f t="shared" si="76"/>
        <v>3.4509803921568629</v>
      </c>
      <c r="E105" s="1"/>
      <c r="F105" s="1">
        <f t="shared" ref="F105:G105" si="86">ROUND(C105,2)</f>
        <v>3.74</v>
      </c>
      <c r="G105" s="1">
        <f t="shared" si="86"/>
        <v>3.45</v>
      </c>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4" x14ac:dyDescent="0.15">
      <c r="A106" s="1" t="s">
        <v>891</v>
      </c>
      <c r="B106" s="1" t="s">
        <v>338</v>
      </c>
      <c r="C106" s="1">
        <f t="shared" si="75"/>
        <v>3.825242718446602</v>
      </c>
      <c r="D106" s="1">
        <f t="shared" si="76"/>
        <v>2.650485436893204</v>
      </c>
      <c r="E106" s="1"/>
      <c r="F106" s="1">
        <f t="shared" ref="F106:G106" si="87">ROUND(C106,2)</f>
        <v>3.83</v>
      </c>
      <c r="G106" s="1">
        <f t="shared" si="87"/>
        <v>2.65</v>
      </c>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4" x14ac:dyDescent="0.15">
      <c r="A107" s="1" t="s">
        <v>892</v>
      </c>
      <c r="B107" s="1" t="s">
        <v>339</v>
      </c>
      <c r="C107" s="1">
        <f t="shared" si="75"/>
        <v>3.5728155339805827</v>
      </c>
      <c r="D107" s="1">
        <f t="shared" si="76"/>
        <v>2.9611650485436893</v>
      </c>
      <c r="E107" s="1"/>
      <c r="F107" s="1">
        <f t="shared" ref="F107:G107" si="88">ROUND(C107,2)</f>
        <v>3.57</v>
      </c>
      <c r="G107" s="1">
        <f t="shared" si="88"/>
        <v>2.96</v>
      </c>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4" x14ac:dyDescent="0.15">
      <c r="A108" s="1" t="s">
        <v>893</v>
      </c>
      <c r="B108" s="1" t="s">
        <v>340</v>
      </c>
      <c r="C108" s="1">
        <f t="shared" si="75"/>
        <v>3.233009708737864</v>
      </c>
      <c r="D108" s="1">
        <f t="shared" si="76"/>
        <v>3.0490196078431371</v>
      </c>
      <c r="E108" s="1"/>
      <c r="F108" s="1">
        <f t="shared" ref="F108:G108" si="89">ROUND(C108,2)</f>
        <v>3.23</v>
      </c>
      <c r="G108" s="1">
        <f t="shared" si="89"/>
        <v>3.05</v>
      </c>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4" x14ac:dyDescent="0.15">
      <c r="A109" s="1" t="s">
        <v>894</v>
      </c>
      <c r="B109" s="1" t="s">
        <v>341</v>
      </c>
      <c r="C109" s="1">
        <f t="shared" si="75"/>
        <v>3.5728155339805827</v>
      </c>
      <c r="D109" s="1">
        <f t="shared" si="76"/>
        <v>2.6666666666666665</v>
      </c>
      <c r="E109" s="1"/>
      <c r="F109" s="1">
        <f t="shared" ref="F109:G109" si="90">ROUND(C109,2)</f>
        <v>3.57</v>
      </c>
      <c r="G109" s="1">
        <f t="shared" si="90"/>
        <v>2.67</v>
      </c>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4" x14ac:dyDescent="0.15">
      <c r="A110" s="1" t="s">
        <v>895</v>
      </c>
      <c r="B110" s="1" t="s">
        <v>342</v>
      </c>
      <c r="C110" s="1">
        <f t="shared" si="75"/>
        <v>3.29126213592233</v>
      </c>
      <c r="D110" s="1">
        <f t="shared" si="76"/>
        <v>3.1386138613861387</v>
      </c>
      <c r="E110" s="1"/>
      <c r="F110" s="1">
        <f t="shared" ref="F110:G110" si="91">ROUND(C110,2)</f>
        <v>3.29</v>
      </c>
      <c r="G110" s="1">
        <f t="shared" si="91"/>
        <v>3.14</v>
      </c>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4" x14ac:dyDescent="0.15">
      <c r="A111" s="1" t="s">
        <v>896</v>
      </c>
      <c r="B111" s="1" t="s">
        <v>343</v>
      </c>
      <c r="C111" s="1">
        <f t="shared" si="75"/>
        <v>3.1941747572815533</v>
      </c>
      <c r="D111" s="1">
        <f t="shared" si="76"/>
        <v>3</v>
      </c>
      <c r="E111" s="1"/>
      <c r="F111" s="1">
        <f t="shared" ref="F111:G111" si="92">ROUND(C111,2)</f>
        <v>3.19</v>
      </c>
      <c r="G111" s="1">
        <f t="shared" si="92"/>
        <v>3</v>
      </c>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4" x14ac:dyDescent="0.15">
      <c r="A112" s="1" t="s">
        <v>897</v>
      </c>
      <c r="B112" s="1" t="s">
        <v>344</v>
      </c>
      <c r="C112" s="1">
        <f t="shared" si="75"/>
        <v>3.2718446601941746</v>
      </c>
      <c r="D112" s="1">
        <f t="shared" si="76"/>
        <v>2.61</v>
      </c>
      <c r="E112" s="1"/>
      <c r="F112" s="1">
        <f t="shared" ref="F112:G112" si="93">ROUND(C112,2)</f>
        <v>3.27</v>
      </c>
      <c r="G112" s="1">
        <f t="shared" si="93"/>
        <v>2.61</v>
      </c>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4"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4"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4"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4"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4"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4" x14ac:dyDescent="0.15">
      <c r="A118" s="1"/>
      <c r="B118" s="1" t="s">
        <v>926</v>
      </c>
      <c r="C118" s="1"/>
      <c r="D118" s="1"/>
      <c r="E118" s="1"/>
      <c r="F118" s="34">
        <f t="shared" ref="F118:G118" si="94">ROUND(SUM(F96:F112)/17,2)</f>
        <v>3.55</v>
      </c>
      <c r="G118" s="34">
        <f t="shared" si="94"/>
        <v>2.98</v>
      </c>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4"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4"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4"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4" x14ac:dyDescent="0.2">
      <c r="A122" s="1"/>
      <c r="B122" s="1"/>
      <c r="C122" s="1"/>
      <c r="D122" s="1"/>
      <c r="E122" s="1"/>
      <c r="F122" s="1"/>
      <c r="G122" s="1"/>
      <c r="H122" s="1"/>
      <c r="I122" s="42" t="s">
        <v>927</v>
      </c>
      <c r="J122" s="42" t="s">
        <v>928</v>
      </c>
      <c r="K122" s="42" t="s">
        <v>929</v>
      </c>
      <c r="L122" s="30"/>
      <c r="M122" s="30"/>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4" x14ac:dyDescent="0.15">
      <c r="A123" s="1"/>
      <c r="B123" s="1"/>
      <c r="C123" s="1"/>
      <c r="D123" s="1"/>
      <c r="E123" s="1"/>
      <c r="F123" s="1"/>
      <c r="G123" s="1"/>
      <c r="H123" s="1"/>
      <c r="I123" s="30" t="s">
        <v>930</v>
      </c>
      <c r="J123" s="30" t="s">
        <v>931</v>
      </c>
      <c r="K123" s="30" t="s">
        <v>932</v>
      </c>
      <c r="L123" s="30"/>
      <c r="M123" s="30"/>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4" x14ac:dyDescent="0.15">
      <c r="A124" s="1"/>
      <c r="B124" s="1"/>
      <c r="C124" s="1"/>
      <c r="D124" s="1"/>
      <c r="E124" s="1"/>
      <c r="F124" s="1"/>
      <c r="G124" s="1"/>
      <c r="H124" s="1"/>
      <c r="I124" s="30" t="s">
        <v>933</v>
      </c>
      <c r="J124" s="30" t="s">
        <v>934</v>
      </c>
      <c r="K124" s="30" t="s">
        <v>935</v>
      </c>
      <c r="L124" s="30"/>
      <c r="M124" s="30"/>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4" x14ac:dyDescent="0.15">
      <c r="A125" s="1"/>
      <c r="B125" s="1"/>
      <c r="C125" s="1"/>
      <c r="D125" s="1"/>
      <c r="E125" s="1"/>
      <c r="F125" s="1"/>
      <c r="G125" s="1"/>
      <c r="H125" s="1"/>
      <c r="I125" s="30" t="s">
        <v>936</v>
      </c>
      <c r="J125" s="30" t="s">
        <v>937</v>
      </c>
      <c r="K125" s="30" t="s">
        <v>938</v>
      </c>
      <c r="L125" s="30"/>
      <c r="M125" s="30"/>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4" x14ac:dyDescent="0.15">
      <c r="A126" s="1"/>
      <c r="B126" s="1"/>
      <c r="C126" s="1"/>
      <c r="D126" s="1"/>
      <c r="E126" s="1"/>
      <c r="F126" s="1"/>
      <c r="G126" s="1"/>
      <c r="H126" s="1"/>
      <c r="I126" s="30" t="s">
        <v>939</v>
      </c>
      <c r="J126" s="30" t="s">
        <v>940</v>
      </c>
      <c r="K126" s="30" t="s">
        <v>941</v>
      </c>
      <c r="L126" s="30"/>
      <c r="M126" s="30"/>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4" x14ac:dyDescent="0.15">
      <c r="A127" s="1"/>
      <c r="B127" s="1"/>
      <c r="C127" s="1"/>
      <c r="D127" s="1"/>
      <c r="E127" s="1"/>
      <c r="F127" s="1"/>
      <c r="G127" s="1"/>
      <c r="H127" s="1"/>
      <c r="I127" s="30"/>
      <c r="J127" s="30"/>
      <c r="K127" s="30"/>
      <c r="L127" s="30"/>
      <c r="M127" s="30"/>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4" x14ac:dyDescent="0.15">
      <c r="A128" s="1"/>
      <c r="B128" s="1"/>
      <c r="C128" s="1"/>
      <c r="D128" s="1"/>
      <c r="E128" s="1"/>
      <c r="F128" s="1"/>
      <c r="G128" s="1"/>
      <c r="H128" s="1"/>
      <c r="I128" s="30"/>
      <c r="J128" s="30"/>
      <c r="K128" s="30"/>
      <c r="L128" s="30"/>
      <c r="M128" s="30"/>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4" x14ac:dyDescent="0.15">
      <c r="A129" s="1"/>
      <c r="B129" s="1"/>
      <c r="C129" s="1"/>
      <c r="D129" s="1"/>
      <c r="E129" s="1"/>
      <c r="F129" s="1"/>
      <c r="G129" s="1"/>
      <c r="H129" s="1"/>
      <c r="I129" s="30"/>
      <c r="J129" s="30"/>
      <c r="K129" s="30"/>
      <c r="L129" s="30"/>
      <c r="M129" s="30"/>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4" x14ac:dyDescent="0.15">
      <c r="A130" s="1"/>
      <c r="B130" s="1"/>
      <c r="C130" s="1"/>
      <c r="D130" s="1"/>
      <c r="E130" s="1"/>
      <c r="F130" s="1"/>
      <c r="G130" s="1"/>
      <c r="H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4" x14ac:dyDescent="0.2">
      <c r="A131" s="1"/>
      <c r="B131" s="1"/>
      <c r="C131" s="1"/>
      <c r="D131" s="1"/>
      <c r="E131" s="1"/>
      <c r="F131" s="1"/>
      <c r="G131" s="1"/>
      <c r="H131" s="1"/>
      <c r="I131" s="5"/>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4" x14ac:dyDescent="0.2">
      <c r="A132" s="1"/>
      <c r="B132" s="1"/>
      <c r="C132" s="1"/>
      <c r="D132" s="1"/>
      <c r="E132" s="1"/>
      <c r="F132" s="1"/>
      <c r="G132" s="1"/>
      <c r="H132" s="1"/>
      <c r="I132" s="5" t="s">
        <v>942</v>
      </c>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4" x14ac:dyDescent="0.2">
      <c r="A133" s="1"/>
      <c r="B133" s="1"/>
      <c r="C133" s="1"/>
      <c r="D133" s="1"/>
      <c r="E133" s="1"/>
      <c r="F133" s="1"/>
      <c r="G133" s="1"/>
      <c r="H133" s="1"/>
      <c r="I133" s="5" t="s">
        <v>943</v>
      </c>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4" x14ac:dyDescent="0.2">
      <c r="A134" s="1"/>
      <c r="B134" s="1"/>
      <c r="C134" s="1"/>
      <c r="D134" s="1"/>
      <c r="E134" s="1"/>
      <c r="F134" s="1"/>
      <c r="G134" s="1"/>
      <c r="H134" s="1"/>
      <c r="I134" s="5" t="s">
        <v>944</v>
      </c>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4" x14ac:dyDescent="0.2">
      <c r="A135" s="1"/>
      <c r="B135" s="1"/>
      <c r="C135" s="1"/>
      <c r="D135" s="1"/>
      <c r="E135" s="1"/>
      <c r="F135" s="1"/>
      <c r="G135" s="1"/>
      <c r="H135" s="1"/>
      <c r="I135" s="5" t="s">
        <v>945</v>
      </c>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4" x14ac:dyDescent="0.15">
      <c r="A136" s="1"/>
      <c r="B136" s="1"/>
      <c r="C136" s="1"/>
      <c r="D136" s="1"/>
      <c r="E136" s="1"/>
      <c r="F136" s="1"/>
      <c r="G136" s="1"/>
      <c r="H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4" x14ac:dyDescent="0.2">
      <c r="A137" s="1"/>
      <c r="B137" s="1"/>
      <c r="C137" s="1"/>
      <c r="D137" s="1"/>
      <c r="E137" s="1"/>
      <c r="F137" s="1"/>
      <c r="G137" s="1"/>
      <c r="H137" s="1"/>
      <c r="I137" s="5"/>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4" x14ac:dyDescent="0.15">
      <c r="A138" s="1"/>
      <c r="B138" s="1"/>
      <c r="C138" s="1"/>
      <c r="D138" s="1"/>
      <c r="E138" s="1"/>
      <c r="F138" s="1"/>
      <c r="G138" s="1"/>
      <c r="H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60" x14ac:dyDescent="0.15">
      <c r="A139" s="1" t="s">
        <v>921</v>
      </c>
      <c r="B139" s="1"/>
      <c r="C139" s="21" t="s">
        <v>946</v>
      </c>
      <c r="D139" s="21" t="s">
        <v>947</v>
      </c>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4" x14ac:dyDescent="0.15">
      <c r="A140" s="1" t="s">
        <v>881</v>
      </c>
      <c r="B140" s="1" t="s">
        <v>328</v>
      </c>
      <c r="C140" s="1">
        <f t="shared" ref="C140:C156" si="95">(C53*6+D53*5+E53*4+F53*3+G53*2+H53*1)/(C53+D53+E53+F53+G53+H53)</f>
        <v>4.7475728155339807</v>
      </c>
      <c r="D140" s="1">
        <f t="shared" ref="D140:D156" si="96">ROUND(C140,2)</f>
        <v>4.75</v>
      </c>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4" x14ac:dyDescent="0.15">
      <c r="A141" s="1" t="s">
        <v>882</v>
      </c>
      <c r="B141" s="1" t="s">
        <v>329</v>
      </c>
      <c r="C141" s="1">
        <f t="shared" si="95"/>
        <v>4.941747572815534</v>
      </c>
      <c r="D141" s="1">
        <f t="shared" si="96"/>
        <v>4.9400000000000004</v>
      </c>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4" x14ac:dyDescent="0.15">
      <c r="A142" s="1" t="s">
        <v>883</v>
      </c>
      <c r="B142" s="1" t="s">
        <v>330</v>
      </c>
      <c r="C142" s="1">
        <f t="shared" si="95"/>
        <v>4.5145631067961167</v>
      </c>
      <c r="D142" s="1">
        <f t="shared" si="96"/>
        <v>4.51</v>
      </c>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4" x14ac:dyDescent="0.15">
      <c r="A143" s="1" t="s">
        <v>884</v>
      </c>
      <c r="B143" s="1" t="s">
        <v>331</v>
      </c>
      <c r="C143" s="1">
        <f t="shared" si="95"/>
        <v>5</v>
      </c>
      <c r="D143" s="1">
        <f t="shared" si="96"/>
        <v>5</v>
      </c>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4" x14ac:dyDescent="0.15">
      <c r="A144" s="1" t="s">
        <v>885</v>
      </c>
      <c r="B144" s="1" t="s">
        <v>332</v>
      </c>
      <c r="C144" s="1">
        <f t="shared" si="95"/>
        <v>5.0291262135922334</v>
      </c>
      <c r="D144" s="1">
        <f t="shared" si="96"/>
        <v>5.03</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4" x14ac:dyDescent="0.15">
      <c r="A145" s="1" t="s">
        <v>886</v>
      </c>
      <c r="B145" s="1" t="s">
        <v>333</v>
      </c>
      <c r="C145" s="1">
        <f t="shared" si="95"/>
        <v>4.4563106796116507</v>
      </c>
      <c r="D145" s="1">
        <f t="shared" si="96"/>
        <v>4.46</v>
      </c>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4" x14ac:dyDescent="0.15">
      <c r="A146" s="1" t="s">
        <v>887</v>
      </c>
      <c r="B146" s="1" t="s">
        <v>334</v>
      </c>
      <c r="C146" s="1">
        <f t="shared" si="95"/>
        <v>5.29126213592233</v>
      </c>
      <c r="D146" s="1">
        <f t="shared" si="96"/>
        <v>5.29</v>
      </c>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4" x14ac:dyDescent="0.15">
      <c r="A147" s="1" t="s">
        <v>888</v>
      </c>
      <c r="B147" s="1" t="s">
        <v>335</v>
      </c>
      <c r="C147" s="1">
        <f t="shared" si="95"/>
        <v>4.2524271844660193</v>
      </c>
      <c r="D147" s="1">
        <f t="shared" si="96"/>
        <v>4.25</v>
      </c>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4" x14ac:dyDescent="0.15">
      <c r="A148" s="1" t="s">
        <v>889</v>
      </c>
      <c r="B148" s="1" t="s">
        <v>336</v>
      </c>
      <c r="C148" s="1">
        <f t="shared" si="95"/>
        <v>4.6601941747572813</v>
      </c>
      <c r="D148" s="1">
        <f t="shared" si="96"/>
        <v>4.66</v>
      </c>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4" x14ac:dyDescent="0.15">
      <c r="A149" s="1" t="s">
        <v>890</v>
      </c>
      <c r="B149" s="1" t="s">
        <v>337</v>
      </c>
      <c r="C149" s="1">
        <f t="shared" si="95"/>
        <v>5.0291262135922334</v>
      </c>
      <c r="D149" s="1">
        <f t="shared" si="96"/>
        <v>5.03</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4" x14ac:dyDescent="0.15">
      <c r="A150" s="1" t="s">
        <v>891</v>
      </c>
      <c r="B150" s="1" t="s">
        <v>338</v>
      </c>
      <c r="C150" s="1">
        <f t="shared" si="95"/>
        <v>5</v>
      </c>
      <c r="D150" s="1">
        <f t="shared" si="96"/>
        <v>5</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4" x14ac:dyDescent="0.15">
      <c r="A151" s="1" t="s">
        <v>892</v>
      </c>
      <c r="B151" s="1" t="s">
        <v>339</v>
      </c>
      <c r="C151" s="1">
        <f t="shared" si="95"/>
        <v>4.8737864077669899</v>
      </c>
      <c r="D151" s="1">
        <f t="shared" si="96"/>
        <v>4.87</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4" x14ac:dyDescent="0.15">
      <c r="A152" s="1" t="s">
        <v>893</v>
      </c>
      <c r="B152" s="1" t="s">
        <v>340</v>
      </c>
      <c r="C152" s="1">
        <f t="shared" si="95"/>
        <v>4.7281553398058254</v>
      </c>
      <c r="D152" s="1">
        <f t="shared" si="96"/>
        <v>4.7300000000000004</v>
      </c>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4" x14ac:dyDescent="0.15">
      <c r="A153" s="1" t="s">
        <v>894</v>
      </c>
      <c r="B153" s="1" t="s">
        <v>341</v>
      </c>
      <c r="C153" s="1">
        <f t="shared" si="95"/>
        <v>4.9029126213592233</v>
      </c>
      <c r="D153" s="1">
        <f t="shared" si="96"/>
        <v>4.9000000000000004</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4" x14ac:dyDescent="0.15">
      <c r="A154" s="1" t="s">
        <v>895</v>
      </c>
      <c r="B154" s="1" t="s">
        <v>342</v>
      </c>
      <c r="C154" s="1">
        <f t="shared" si="95"/>
        <v>4.3106796116504853</v>
      </c>
      <c r="D154" s="1">
        <f t="shared" si="96"/>
        <v>4.3099999999999996</v>
      </c>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4" x14ac:dyDescent="0.15">
      <c r="A155" s="1" t="s">
        <v>896</v>
      </c>
      <c r="B155" s="1" t="s">
        <v>343</v>
      </c>
      <c r="C155" s="1">
        <f t="shared" si="95"/>
        <v>4.3203883495145634</v>
      </c>
      <c r="D155" s="1">
        <f t="shared" si="96"/>
        <v>4.32</v>
      </c>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4" x14ac:dyDescent="0.15">
      <c r="A156" s="1" t="s">
        <v>897</v>
      </c>
      <c r="B156" s="1" t="s">
        <v>344</v>
      </c>
      <c r="C156" s="1">
        <f t="shared" si="95"/>
        <v>4.3203883495145634</v>
      </c>
      <c r="D156" s="1">
        <f t="shared" si="96"/>
        <v>4.32</v>
      </c>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4"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4"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4"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4"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4"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4"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4"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4"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4"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4"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4"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4"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4"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4"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4"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4"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4"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4"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4"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4"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4"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4"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4"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4"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4"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4"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4"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4"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4"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4"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4"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4"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4"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4"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4"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4"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4"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4"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4"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4"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4"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4"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4"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4"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4"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4"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4"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4"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4"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4"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4"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4"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4"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4"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4"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4"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4"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4"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4"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4"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4"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4"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4"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4"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4"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4"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4"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4"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4"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4"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4"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4"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4"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4"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4"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4"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4"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4"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4"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4"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4"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4"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4"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4"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4"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4"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4"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4"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4"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4"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4"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4"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4"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4"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4"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4"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4"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4"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4"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4"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4"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4"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4"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4"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4"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4"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4"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4"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4"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4"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4"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4"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4"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4"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4"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4"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4"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4"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4"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4"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4"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4"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4"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4"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4"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4"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4"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4"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4"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4"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4"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4"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4"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4"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4"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4"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4"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4"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4"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4"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4"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4"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4"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4"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4"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4"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4"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4"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4"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4"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4"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4"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4"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4"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4"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4"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4"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4"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4"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4"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4"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4"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4"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4"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4"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4"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4"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4"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4"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4"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4"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4"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4"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4"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4"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4"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4"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4"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4"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4"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4"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4"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4"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4"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4"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4"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4"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4"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4"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4"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4"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4"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4"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4"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4"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4"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4"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4"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4"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4"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4"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4"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4"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4"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4"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4"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4"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4"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4"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4"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4"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4"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4"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4"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4"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4"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4"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4"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4"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4"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4"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4"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4"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4"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4"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4"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4"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4"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4"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4"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4"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4"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4"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4"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4"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4"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4"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4"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4"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4"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4"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4"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4"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4"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4"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4"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4"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4"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4"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4"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4"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4"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4"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4"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4"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4"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4"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4"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4"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4"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4"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4"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4"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4"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4"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4"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4"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4"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4"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4"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4"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4"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4"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4"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4"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4"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4"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4"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4"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4"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4"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4"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4"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4"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4"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4"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4"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4"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4"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4"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4"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4"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4"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4"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4"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4"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4"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4"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4"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4"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4"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4"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4"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4"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4"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4"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4"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4"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4"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4"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4"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4"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4"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4"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4"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4"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4"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4"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4"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4"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4"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4"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4"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4"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4"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4"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4"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4"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4"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4"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4"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4"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4"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4"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4"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4"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4"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4"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4"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4"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4"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4"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4"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4"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4"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4"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4"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4"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4"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4"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4"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4"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4"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4"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4"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4"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4"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4"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4"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4"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4"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4"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4"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4"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4"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4"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4"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4"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4"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4"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4"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4"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4"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4"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4"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4"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4"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4"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4"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4"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4"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4"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4"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4"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4"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4"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4"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4"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4"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4"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4"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4"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4"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4"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4"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4"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4"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4"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4"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4"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4"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4"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4"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4"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4"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4"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4"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4"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4"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4"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4"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4"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4"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4"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4"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4"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4"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4"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4"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4"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4"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4"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4"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4"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4"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4"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4"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4"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4"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4"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4"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4"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4"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4"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4"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4"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4"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4"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4"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4"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4"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4"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4"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4"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4"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4"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4"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4"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4"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4"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4"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4"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4"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4"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4"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4"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4"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4"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4"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4"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4"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4"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4"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4"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4"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4"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4"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4"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4"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4"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4"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4"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4"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4"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4"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4"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4"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4"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4"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4"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4"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4"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4"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4"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4"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4"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4"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4"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4"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4"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4"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4"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4"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4"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4"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4"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4"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4"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4"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4"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4"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4"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4"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4"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4"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4"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4"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4"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4"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4"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4"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4"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4"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4"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4"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4"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4"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4"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4"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4"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4"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4"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4"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4"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4"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4"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4"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4"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4"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4"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4"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4"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4"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4"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4"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4"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4"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4"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4"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4"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4"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4"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4"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4"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4"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4"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4"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4"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4"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4"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4"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4"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4"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4"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4"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4"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4"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4"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4"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4"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4"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4"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4"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4"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4"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4"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4"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4"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4"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4"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4"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4"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4"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4"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4"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4"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4"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4"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4"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4"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4"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4"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4"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4"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4"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4"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4"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4"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4"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4"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4"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4"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4"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4"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4"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4"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4"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4"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4"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4"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4"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4"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4"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4"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4"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4"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4"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4"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4"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4"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4"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4"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4"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4"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4"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4"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4"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4"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4"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4"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4"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4"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4"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4"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4"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4"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4"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4"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4"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4"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4"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4"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4"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4"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4"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4"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4"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4"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4"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4"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4"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4"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4"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4"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4"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4"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4"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4"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4"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4"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4"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4"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4"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4"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4"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4"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4"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4"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4"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4"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4"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4"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4"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4"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4"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4"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4"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4"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4"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4"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4"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4"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4"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4"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4"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4"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4"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4"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4"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4"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4"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4"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4"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4"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4"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4"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4"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4"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4"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4"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4"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4"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4"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4"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4"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4"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4"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4"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4"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4"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4"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4"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4"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4"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4"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4"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4"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4"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4"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4"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4"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4"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4"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4"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4"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4"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4"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4"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4"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4"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4"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4"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4"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4"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4"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4"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4"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4"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4"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4"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4"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4"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4"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4"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4"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4"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4"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4"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4"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4"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4"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4"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4"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4"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4"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4"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4"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4"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4"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4"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4"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4"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4"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4"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4"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4"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4"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4"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4"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4"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4"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4"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4"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4"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4"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4"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4"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4"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4"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4"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4"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4"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4"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4"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4"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4"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4"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4"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4"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4"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4"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4"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4"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4"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4"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4"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4"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4"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4"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4"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4"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4"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4"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4"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4"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4"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4"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4"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4"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4"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4"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4"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4"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4"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4"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4"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4"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4"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4"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4"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4"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4"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4"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4"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4"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4"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4"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4"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4"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4"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4"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4"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4"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4"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4"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4"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4"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4"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4"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4"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4"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4"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4"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4"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4"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4"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4"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4"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4"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4"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4"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4"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4"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4"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spans="1:41" ht="14"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spans="1:41" ht="14" x14ac:dyDescent="0.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row r="1003" spans="1:41" ht="14" x14ac:dyDescent="0.1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row>
    <row r="1004" spans="1:41" ht="14" x14ac:dyDescent="0.1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row>
    <row r="1005" spans="1:41" ht="14" x14ac:dyDescent="0.1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41" ht="14" x14ac:dyDescent="0.1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41" ht="14" x14ac:dyDescent="0.1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41" ht="14" x14ac:dyDescent="0.1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ht="14" x14ac:dyDescent="0.1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ht="14" x14ac:dyDescent="0.1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ht="14" x14ac:dyDescent="0.1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ht="14" x14ac:dyDescent="0.1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ht="14" x14ac:dyDescent="0.1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ht="14" x14ac:dyDescent="0.1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ht="14" x14ac:dyDescent="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ht="14" x14ac:dyDescent="0.1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ht="14" x14ac:dyDescent="0.1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ht="14" x14ac:dyDescent="0.1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ht="14" x14ac:dyDescent="0.1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ht="14" x14ac:dyDescent="0.1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ht="14" x14ac:dyDescent="0.1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ht="14" x14ac:dyDescent="0.1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ht="14" x14ac:dyDescent="0.1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ht="14" x14ac:dyDescent="0.1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ht="14" x14ac:dyDescent="0.1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ht="14" x14ac:dyDescent="0.1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ht="14" x14ac:dyDescent="0.1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ht="14" x14ac:dyDescent="0.1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ht="14" x14ac:dyDescent="0.1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ht="14" x14ac:dyDescent="0.1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ht="14" x14ac:dyDescent="0.1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ht="14" x14ac:dyDescent="0.1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sheetData>
  <mergeCells count="3">
    <mergeCell ref="B2:G2"/>
    <mergeCell ref="B25:H25"/>
    <mergeCell ref="B51:H5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898"/>
  <sheetViews>
    <sheetView workbookViewId="0">
      <selection activeCell="C3" sqref="C3"/>
    </sheetView>
  </sheetViews>
  <sheetFormatPr baseColWidth="10" defaultColWidth="12.6640625" defaultRowHeight="13" x14ac:dyDescent="0.15"/>
  <cols>
    <col min="1" max="1" width="85.5" style="65" customWidth="1"/>
    <col min="2" max="2" width="19.5" style="65" customWidth="1"/>
    <col min="3" max="4" width="79.33203125" style="65" customWidth="1"/>
    <col min="5" max="5" width="84.83203125" style="65" customWidth="1"/>
    <col min="6" max="6" width="76" style="65" customWidth="1"/>
    <col min="7" max="16384" width="12.6640625" style="65"/>
  </cols>
  <sheetData>
    <row r="1" spans="1:27" ht="15" x14ac:dyDescent="0.15">
      <c r="A1" s="21"/>
      <c r="B1" s="64"/>
      <c r="C1" s="43"/>
      <c r="D1" s="43"/>
      <c r="E1" s="21"/>
      <c r="F1" s="21"/>
      <c r="G1" s="21"/>
      <c r="H1" s="21"/>
      <c r="I1" s="21"/>
      <c r="J1" s="21"/>
      <c r="K1" s="21"/>
      <c r="L1" s="21"/>
      <c r="M1" s="21"/>
      <c r="N1" s="21"/>
      <c r="O1" s="21"/>
      <c r="P1" s="21"/>
      <c r="Q1" s="21"/>
      <c r="R1" s="21"/>
      <c r="S1" s="21"/>
      <c r="T1" s="21"/>
      <c r="U1" s="21"/>
      <c r="V1" s="21"/>
      <c r="W1" s="21"/>
      <c r="X1" s="21"/>
      <c r="Y1" s="21"/>
      <c r="Z1" s="21"/>
      <c r="AA1" s="21"/>
    </row>
    <row r="2" spans="1:27" ht="15" x14ac:dyDescent="0.15">
      <c r="A2" s="49" t="s">
        <v>948</v>
      </c>
      <c r="B2" s="66" t="s">
        <v>949</v>
      </c>
      <c r="C2" s="44" t="s">
        <v>950</v>
      </c>
      <c r="D2" s="45" t="s">
        <v>951</v>
      </c>
      <c r="E2" s="44" t="s">
        <v>952</v>
      </c>
      <c r="F2" s="45" t="s">
        <v>953</v>
      </c>
      <c r="G2" s="21"/>
      <c r="H2" s="21"/>
      <c r="I2" s="21"/>
      <c r="J2" s="21"/>
      <c r="K2" s="21"/>
      <c r="L2" s="21"/>
      <c r="M2" s="21"/>
      <c r="N2" s="21"/>
      <c r="O2" s="21"/>
      <c r="P2" s="21"/>
      <c r="Q2" s="21"/>
      <c r="R2" s="21"/>
      <c r="S2" s="21"/>
      <c r="T2" s="21"/>
      <c r="U2" s="21"/>
      <c r="V2" s="21"/>
      <c r="W2" s="21"/>
      <c r="X2" s="21"/>
      <c r="Y2" s="21"/>
      <c r="Z2" s="21"/>
      <c r="AA2" s="21"/>
    </row>
    <row r="3" spans="1:27" ht="409.6" x14ac:dyDescent="0.15">
      <c r="A3" s="21" t="s">
        <v>328</v>
      </c>
      <c r="B3" s="64">
        <v>47</v>
      </c>
      <c r="C3" s="46" t="s">
        <v>954</v>
      </c>
      <c r="D3" s="63" t="s">
        <v>955</v>
      </c>
      <c r="E3" s="60" t="s">
        <v>956</v>
      </c>
      <c r="F3" s="21" t="s">
        <v>957</v>
      </c>
      <c r="G3" s="21"/>
      <c r="H3" s="21"/>
      <c r="I3" s="21"/>
      <c r="J3" s="21"/>
      <c r="K3" s="21"/>
      <c r="L3" s="21"/>
      <c r="M3" s="21"/>
      <c r="N3" s="21"/>
      <c r="O3" s="21"/>
      <c r="P3" s="21"/>
      <c r="Q3" s="21"/>
      <c r="R3" s="21"/>
      <c r="S3" s="21"/>
      <c r="T3" s="21"/>
      <c r="U3" s="21"/>
      <c r="V3" s="21"/>
      <c r="W3" s="21"/>
      <c r="X3" s="21"/>
      <c r="Y3" s="21"/>
      <c r="Z3" s="21"/>
      <c r="AA3" s="21"/>
    </row>
    <row r="4" spans="1:27" ht="409.6" x14ac:dyDescent="0.15">
      <c r="A4" s="21" t="s">
        <v>329</v>
      </c>
      <c r="B4" s="64">
        <v>45</v>
      </c>
      <c r="C4" s="46" t="s">
        <v>958</v>
      </c>
      <c r="D4" s="46" t="s">
        <v>959</v>
      </c>
      <c r="E4" s="67"/>
      <c r="F4" s="21"/>
      <c r="G4" s="21"/>
      <c r="H4" s="21"/>
      <c r="I4" s="21"/>
      <c r="J4" s="21"/>
      <c r="K4" s="21"/>
      <c r="L4" s="21"/>
      <c r="M4" s="21"/>
      <c r="N4" s="21"/>
      <c r="O4" s="21"/>
      <c r="P4" s="21"/>
      <c r="Q4" s="21"/>
      <c r="R4" s="21"/>
      <c r="S4" s="21"/>
      <c r="T4" s="21"/>
      <c r="U4" s="21"/>
      <c r="V4" s="21"/>
      <c r="W4" s="21"/>
      <c r="X4" s="21"/>
      <c r="Y4" s="21"/>
      <c r="Z4" s="21"/>
      <c r="AA4" s="21"/>
    </row>
    <row r="5" spans="1:27" ht="409.6" x14ac:dyDescent="0.15">
      <c r="A5" s="21" t="s">
        <v>330</v>
      </c>
      <c r="B5" s="64">
        <v>16</v>
      </c>
      <c r="C5" s="46" t="s">
        <v>960</v>
      </c>
      <c r="D5" s="46" t="s">
        <v>961</v>
      </c>
      <c r="E5" s="67"/>
      <c r="F5" s="21"/>
      <c r="G5" s="21"/>
      <c r="H5" s="21"/>
      <c r="I5" s="21"/>
      <c r="J5" s="21"/>
      <c r="K5" s="21"/>
      <c r="L5" s="21"/>
      <c r="M5" s="21"/>
      <c r="N5" s="21"/>
      <c r="O5" s="21"/>
      <c r="P5" s="21"/>
      <c r="Q5" s="21"/>
      <c r="R5" s="21"/>
      <c r="S5" s="21"/>
      <c r="T5" s="21"/>
      <c r="U5" s="21"/>
      <c r="V5" s="21"/>
      <c r="W5" s="21"/>
      <c r="X5" s="21"/>
      <c r="Y5" s="21"/>
      <c r="Z5" s="21"/>
      <c r="AA5" s="21"/>
    </row>
    <row r="6" spans="1:27" ht="409.6" x14ac:dyDescent="0.15">
      <c r="A6" s="21" t="s">
        <v>962</v>
      </c>
      <c r="B6" s="64">
        <v>36</v>
      </c>
      <c r="C6" s="46" t="s">
        <v>963</v>
      </c>
      <c r="D6" s="46" t="s">
        <v>964</v>
      </c>
      <c r="E6" s="67"/>
      <c r="F6" s="21"/>
      <c r="G6" s="21"/>
      <c r="H6" s="21"/>
      <c r="I6" s="21"/>
      <c r="J6" s="21"/>
      <c r="K6" s="21"/>
      <c r="L6" s="21"/>
      <c r="M6" s="21"/>
      <c r="N6" s="21"/>
      <c r="O6" s="21"/>
      <c r="P6" s="21"/>
      <c r="Q6" s="21"/>
      <c r="R6" s="21"/>
      <c r="S6" s="21"/>
      <c r="T6" s="21"/>
      <c r="U6" s="21"/>
      <c r="V6" s="21"/>
      <c r="W6" s="21"/>
      <c r="X6" s="21"/>
      <c r="Y6" s="21"/>
      <c r="Z6" s="21"/>
      <c r="AA6" s="21"/>
    </row>
    <row r="7" spans="1:27" ht="409.6" x14ac:dyDescent="0.15">
      <c r="A7" s="21" t="s">
        <v>332</v>
      </c>
      <c r="B7" s="64">
        <v>29</v>
      </c>
      <c r="C7" s="46" t="s">
        <v>965</v>
      </c>
      <c r="D7" s="46" t="s">
        <v>966</v>
      </c>
      <c r="E7" s="67"/>
      <c r="F7" s="21"/>
      <c r="G7" s="21"/>
      <c r="H7" s="21"/>
      <c r="I7" s="21"/>
      <c r="J7" s="21"/>
      <c r="K7" s="21"/>
      <c r="L7" s="21"/>
      <c r="M7" s="21"/>
      <c r="N7" s="21"/>
      <c r="O7" s="21"/>
      <c r="P7" s="21"/>
      <c r="Q7" s="21"/>
      <c r="R7" s="21"/>
      <c r="S7" s="21"/>
      <c r="T7" s="21"/>
      <c r="U7" s="21"/>
      <c r="V7" s="21"/>
      <c r="W7" s="21"/>
      <c r="X7" s="21"/>
      <c r="Y7" s="21"/>
      <c r="Z7" s="21"/>
      <c r="AA7" s="21"/>
    </row>
    <row r="8" spans="1:27" ht="398" x14ac:dyDescent="0.15">
      <c r="A8" s="21" t="s">
        <v>967</v>
      </c>
      <c r="B8" s="64">
        <v>18</v>
      </c>
      <c r="C8" s="46" t="s">
        <v>968</v>
      </c>
      <c r="D8" s="46" t="s">
        <v>969</v>
      </c>
      <c r="E8" s="67"/>
      <c r="F8" s="21"/>
      <c r="G8" s="21"/>
      <c r="H8" s="21"/>
      <c r="I8" s="21"/>
      <c r="J8" s="21"/>
      <c r="K8" s="21"/>
      <c r="L8" s="21"/>
      <c r="M8" s="21"/>
      <c r="N8" s="21"/>
      <c r="O8" s="21"/>
      <c r="P8" s="21"/>
      <c r="Q8" s="21"/>
      <c r="R8" s="21"/>
      <c r="S8" s="21"/>
      <c r="T8" s="21"/>
      <c r="U8" s="21"/>
      <c r="V8" s="21"/>
      <c r="W8" s="21"/>
      <c r="X8" s="21"/>
      <c r="Y8" s="21"/>
      <c r="Z8" s="21"/>
      <c r="AA8" s="21"/>
    </row>
    <row r="9" spans="1:27" ht="409.6" x14ac:dyDescent="0.15">
      <c r="A9" s="21" t="s">
        <v>334</v>
      </c>
      <c r="B9" s="64">
        <v>44</v>
      </c>
      <c r="C9" s="46" t="s">
        <v>970</v>
      </c>
      <c r="D9" s="46" t="s">
        <v>971</v>
      </c>
      <c r="E9" s="67"/>
      <c r="F9" s="21"/>
      <c r="G9" s="21"/>
      <c r="H9" s="21"/>
      <c r="I9" s="21"/>
      <c r="J9" s="21"/>
      <c r="K9" s="21"/>
      <c r="L9" s="21"/>
      <c r="M9" s="21"/>
      <c r="N9" s="21"/>
      <c r="O9" s="21"/>
      <c r="P9" s="21"/>
      <c r="Q9" s="21"/>
      <c r="R9" s="21"/>
      <c r="S9" s="21"/>
      <c r="T9" s="21"/>
      <c r="U9" s="21"/>
      <c r="V9" s="21"/>
      <c r="W9" s="21"/>
      <c r="X9" s="21"/>
      <c r="Y9" s="21"/>
      <c r="Z9" s="21"/>
      <c r="AA9" s="21"/>
    </row>
    <row r="10" spans="1:27" ht="409.6" x14ac:dyDescent="0.15">
      <c r="A10" s="21" t="s">
        <v>335</v>
      </c>
      <c r="B10" s="64">
        <v>14</v>
      </c>
      <c r="C10" s="46" t="s">
        <v>972</v>
      </c>
      <c r="D10" s="46" t="s">
        <v>973</v>
      </c>
      <c r="E10" s="67"/>
      <c r="F10" s="21"/>
      <c r="G10" s="21"/>
      <c r="H10" s="21"/>
      <c r="I10" s="21"/>
      <c r="J10" s="21"/>
      <c r="K10" s="21"/>
      <c r="L10" s="21"/>
      <c r="M10" s="21"/>
      <c r="N10" s="21"/>
      <c r="O10" s="21"/>
      <c r="P10" s="21"/>
      <c r="Q10" s="21"/>
      <c r="R10" s="21"/>
      <c r="S10" s="21"/>
      <c r="T10" s="21"/>
      <c r="U10" s="21"/>
      <c r="V10" s="21"/>
      <c r="W10" s="21"/>
      <c r="X10" s="21"/>
      <c r="Y10" s="21"/>
      <c r="Z10" s="21"/>
      <c r="AA10" s="21"/>
    </row>
    <row r="11" spans="1:27" ht="409.6" x14ac:dyDescent="0.15">
      <c r="A11" s="21" t="s">
        <v>336</v>
      </c>
      <c r="B11" s="64">
        <v>31</v>
      </c>
      <c r="C11" s="46" t="s">
        <v>974</v>
      </c>
      <c r="D11" s="46" t="s">
        <v>975</v>
      </c>
      <c r="E11" s="67"/>
      <c r="F11" s="21"/>
      <c r="G11" s="21"/>
      <c r="H11" s="21"/>
      <c r="I11" s="21"/>
      <c r="J11" s="21"/>
      <c r="K11" s="21"/>
      <c r="L11" s="21"/>
      <c r="M11" s="21"/>
      <c r="N11" s="21"/>
      <c r="O11" s="21"/>
      <c r="P11" s="21"/>
      <c r="Q11" s="21"/>
      <c r="R11" s="21"/>
      <c r="S11" s="21"/>
      <c r="T11" s="21"/>
      <c r="U11" s="21"/>
      <c r="V11" s="21"/>
      <c r="W11" s="21"/>
      <c r="X11" s="21"/>
      <c r="Y11" s="21"/>
      <c r="Z11" s="21"/>
      <c r="AA11" s="21"/>
    </row>
    <row r="12" spans="1:27" ht="409.6" x14ac:dyDescent="0.15">
      <c r="A12" s="21" t="s">
        <v>337</v>
      </c>
      <c r="B12" s="64">
        <v>45</v>
      </c>
      <c r="C12" s="46" t="s">
        <v>976</v>
      </c>
      <c r="D12" s="46" t="s">
        <v>977</v>
      </c>
      <c r="E12" s="67"/>
      <c r="F12" s="21"/>
      <c r="G12" s="21"/>
      <c r="H12" s="21"/>
      <c r="I12" s="21"/>
      <c r="J12" s="21"/>
      <c r="K12" s="21"/>
      <c r="L12" s="21"/>
      <c r="M12" s="21"/>
      <c r="N12" s="21"/>
      <c r="O12" s="21"/>
      <c r="P12" s="21"/>
      <c r="Q12" s="21"/>
      <c r="R12" s="21"/>
      <c r="S12" s="21"/>
      <c r="T12" s="21"/>
      <c r="U12" s="21"/>
      <c r="V12" s="21"/>
      <c r="W12" s="21"/>
      <c r="X12" s="21"/>
      <c r="Y12" s="21"/>
      <c r="Z12" s="21"/>
      <c r="AA12" s="21"/>
    </row>
    <row r="13" spans="1:27" ht="409.6" x14ac:dyDescent="0.15">
      <c r="A13" s="21" t="s">
        <v>338</v>
      </c>
      <c r="B13" s="64">
        <v>35</v>
      </c>
      <c r="C13" s="46" t="s">
        <v>978</v>
      </c>
      <c r="D13" s="46" t="s">
        <v>979</v>
      </c>
      <c r="E13" s="67"/>
      <c r="F13" s="21"/>
      <c r="G13" s="21"/>
      <c r="H13" s="21"/>
      <c r="I13" s="21"/>
      <c r="J13" s="21"/>
      <c r="K13" s="21"/>
      <c r="L13" s="21"/>
      <c r="M13" s="21"/>
      <c r="N13" s="21"/>
      <c r="O13" s="21"/>
      <c r="P13" s="21"/>
      <c r="Q13" s="21"/>
      <c r="R13" s="21"/>
      <c r="S13" s="21"/>
      <c r="T13" s="21"/>
      <c r="U13" s="21"/>
      <c r="V13" s="21"/>
      <c r="W13" s="21"/>
      <c r="X13" s="21"/>
      <c r="Y13" s="21"/>
      <c r="Z13" s="21"/>
      <c r="AA13" s="21"/>
    </row>
    <row r="14" spans="1:27" ht="409.6" x14ac:dyDescent="0.15">
      <c r="A14" s="21" t="s">
        <v>339</v>
      </c>
      <c r="B14" s="64">
        <v>30</v>
      </c>
      <c r="C14" s="46" t="s">
        <v>980</v>
      </c>
      <c r="D14" s="46" t="s">
        <v>981</v>
      </c>
      <c r="E14" s="67"/>
      <c r="F14" s="21"/>
      <c r="G14" s="21"/>
      <c r="H14" s="21"/>
      <c r="I14" s="21"/>
      <c r="J14" s="21"/>
      <c r="K14" s="21"/>
      <c r="L14" s="21"/>
      <c r="M14" s="21"/>
      <c r="N14" s="21"/>
      <c r="O14" s="21"/>
      <c r="P14" s="21"/>
      <c r="Q14" s="21"/>
      <c r="R14" s="21"/>
      <c r="S14" s="21"/>
      <c r="T14" s="21"/>
      <c r="U14" s="21"/>
      <c r="V14" s="21"/>
      <c r="W14" s="21"/>
      <c r="X14" s="21"/>
      <c r="Y14" s="21"/>
      <c r="Z14" s="21"/>
      <c r="AA14" s="21"/>
    </row>
    <row r="15" spans="1:27" ht="314" x14ac:dyDescent="0.15">
      <c r="A15" s="21" t="s">
        <v>340</v>
      </c>
      <c r="B15" s="64">
        <v>16</v>
      </c>
      <c r="C15" s="46" t="s">
        <v>982</v>
      </c>
      <c r="D15" s="46" t="s">
        <v>983</v>
      </c>
      <c r="E15" s="67"/>
      <c r="F15" s="21"/>
      <c r="G15" s="21"/>
      <c r="H15" s="21"/>
      <c r="I15" s="21"/>
      <c r="J15" s="21"/>
      <c r="K15" s="21"/>
      <c r="L15" s="21"/>
      <c r="M15" s="21"/>
      <c r="N15" s="21"/>
      <c r="O15" s="21"/>
      <c r="P15" s="21"/>
      <c r="Q15" s="21"/>
      <c r="R15" s="21"/>
      <c r="S15" s="21"/>
      <c r="T15" s="21"/>
      <c r="U15" s="21"/>
      <c r="V15" s="21"/>
      <c r="W15" s="21"/>
      <c r="X15" s="21"/>
      <c r="Y15" s="21"/>
      <c r="Z15" s="21"/>
      <c r="AA15" s="21"/>
    </row>
    <row r="16" spans="1:27" ht="150" x14ac:dyDescent="0.15">
      <c r="A16" s="21" t="s">
        <v>341</v>
      </c>
      <c r="B16" s="64">
        <v>21</v>
      </c>
      <c r="C16" s="46" t="s">
        <v>984</v>
      </c>
      <c r="D16" s="46" t="s">
        <v>985</v>
      </c>
      <c r="E16" s="67"/>
      <c r="F16" s="21"/>
      <c r="G16" s="21"/>
      <c r="H16" s="21"/>
      <c r="I16" s="21"/>
      <c r="J16" s="21"/>
      <c r="K16" s="21"/>
      <c r="L16" s="21"/>
      <c r="M16" s="21"/>
      <c r="N16" s="21"/>
      <c r="O16" s="21"/>
      <c r="P16" s="21"/>
      <c r="Q16" s="21"/>
      <c r="R16" s="21"/>
      <c r="S16" s="21"/>
      <c r="T16" s="21"/>
      <c r="U16" s="21"/>
      <c r="V16" s="21"/>
      <c r="W16" s="21"/>
      <c r="X16" s="21"/>
      <c r="Y16" s="21"/>
      <c r="Z16" s="21"/>
      <c r="AA16" s="21"/>
    </row>
    <row r="17" spans="1:27" ht="409.6" x14ac:dyDescent="0.15">
      <c r="A17" s="21" t="s">
        <v>342</v>
      </c>
      <c r="B17" s="64">
        <v>15</v>
      </c>
      <c r="C17" s="46" t="s">
        <v>986</v>
      </c>
      <c r="D17" s="46" t="s">
        <v>987</v>
      </c>
      <c r="E17" s="67"/>
      <c r="F17" s="21"/>
      <c r="G17" s="21"/>
      <c r="H17" s="21"/>
      <c r="I17" s="21"/>
      <c r="J17" s="21"/>
      <c r="K17" s="21"/>
      <c r="L17" s="21"/>
      <c r="M17" s="21"/>
      <c r="N17" s="21"/>
      <c r="O17" s="21"/>
      <c r="P17" s="21"/>
      <c r="Q17" s="21"/>
      <c r="R17" s="21"/>
      <c r="S17" s="21"/>
      <c r="T17" s="21"/>
      <c r="U17" s="21"/>
      <c r="V17" s="21"/>
      <c r="W17" s="21"/>
      <c r="X17" s="21"/>
      <c r="Y17" s="21"/>
      <c r="Z17" s="21"/>
      <c r="AA17" s="21"/>
    </row>
    <row r="18" spans="1:27" ht="409.6" x14ac:dyDescent="0.15">
      <c r="A18" s="21" t="s">
        <v>988</v>
      </c>
      <c r="B18" s="64">
        <v>22</v>
      </c>
      <c r="C18" s="46" t="s">
        <v>989</v>
      </c>
      <c r="D18" s="46" t="s">
        <v>990</v>
      </c>
      <c r="E18" s="67"/>
      <c r="F18" s="21"/>
      <c r="G18" s="21"/>
      <c r="H18" s="21"/>
      <c r="I18" s="21"/>
      <c r="J18" s="21"/>
      <c r="K18" s="21"/>
      <c r="L18" s="21"/>
      <c r="M18" s="21"/>
      <c r="N18" s="21"/>
      <c r="O18" s="21"/>
      <c r="P18" s="21"/>
      <c r="Q18" s="21"/>
      <c r="R18" s="21"/>
      <c r="S18" s="21"/>
      <c r="T18" s="21"/>
      <c r="U18" s="21"/>
      <c r="V18" s="21"/>
      <c r="W18" s="21"/>
      <c r="X18" s="21"/>
      <c r="Y18" s="21"/>
      <c r="Z18" s="21"/>
      <c r="AA18" s="21"/>
    </row>
    <row r="19" spans="1:27" ht="409.6" x14ac:dyDescent="0.15">
      <c r="A19" s="21" t="s">
        <v>344</v>
      </c>
      <c r="B19" s="64">
        <v>20</v>
      </c>
      <c r="C19" s="46" t="s">
        <v>991</v>
      </c>
      <c r="D19" s="46" t="s">
        <v>992</v>
      </c>
      <c r="E19" s="67"/>
      <c r="F19" s="21"/>
      <c r="G19" s="21"/>
      <c r="H19" s="21"/>
      <c r="I19" s="21"/>
      <c r="J19" s="21"/>
      <c r="K19" s="21"/>
      <c r="L19" s="21"/>
      <c r="M19" s="21"/>
      <c r="N19" s="21"/>
      <c r="O19" s="21"/>
      <c r="P19" s="21"/>
      <c r="Q19" s="21"/>
      <c r="R19" s="21"/>
      <c r="S19" s="21"/>
      <c r="T19" s="21"/>
      <c r="U19" s="21"/>
      <c r="V19" s="21"/>
      <c r="W19" s="21"/>
      <c r="X19" s="21"/>
      <c r="Y19" s="21"/>
      <c r="Z19" s="21"/>
      <c r="AA19" s="21"/>
    </row>
    <row r="20" spans="1:27" ht="15" x14ac:dyDescent="0.15">
      <c r="A20" s="21"/>
      <c r="B20" s="64"/>
      <c r="C20" s="43"/>
      <c r="D20" s="43"/>
      <c r="E20" s="21"/>
      <c r="F20" s="21"/>
      <c r="G20" s="21"/>
      <c r="H20" s="21"/>
      <c r="I20" s="21"/>
      <c r="J20" s="21"/>
      <c r="K20" s="21"/>
      <c r="L20" s="21"/>
      <c r="M20" s="21"/>
      <c r="N20" s="21"/>
      <c r="O20" s="21"/>
      <c r="P20" s="21"/>
      <c r="Q20" s="21"/>
      <c r="R20" s="21"/>
      <c r="S20" s="21"/>
      <c r="T20" s="21"/>
      <c r="U20" s="21"/>
      <c r="V20" s="21"/>
      <c r="W20" s="21"/>
      <c r="X20" s="21"/>
      <c r="Y20" s="21"/>
      <c r="Z20" s="21"/>
      <c r="AA20" s="21"/>
    </row>
    <row r="21" spans="1:27" ht="15" x14ac:dyDescent="0.15">
      <c r="A21" s="21"/>
      <c r="B21" s="64"/>
      <c r="C21" s="43"/>
      <c r="D21" s="43"/>
      <c r="E21" s="21"/>
      <c r="F21" s="21"/>
      <c r="G21" s="21"/>
      <c r="H21" s="21"/>
      <c r="I21" s="21"/>
      <c r="J21" s="21"/>
      <c r="K21" s="21"/>
      <c r="L21" s="21"/>
      <c r="M21" s="21"/>
      <c r="N21" s="21"/>
      <c r="O21" s="21"/>
      <c r="P21" s="21"/>
      <c r="Q21" s="21"/>
      <c r="R21" s="21"/>
      <c r="S21" s="21"/>
      <c r="T21" s="21"/>
      <c r="U21" s="21"/>
      <c r="V21" s="21"/>
      <c r="W21" s="21"/>
      <c r="X21" s="21"/>
      <c r="Y21" s="21"/>
      <c r="Z21" s="21"/>
      <c r="AA21" s="21"/>
    </row>
    <row r="22" spans="1:27" ht="15" x14ac:dyDescent="0.15">
      <c r="A22" s="21"/>
      <c r="B22" s="64"/>
      <c r="C22" s="43"/>
      <c r="D22" s="43"/>
      <c r="E22" s="21"/>
      <c r="F22" s="21"/>
      <c r="G22" s="21"/>
      <c r="H22" s="21"/>
      <c r="I22" s="21"/>
      <c r="J22" s="21"/>
      <c r="K22" s="21"/>
      <c r="L22" s="21"/>
      <c r="M22" s="21"/>
      <c r="N22" s="21"/>
      <c r="O22" s="21"/>
      <c r="P22" s="21"/>
      <c r="Q22" s="21"/>
      <c r="R22" s="21"/>
      <c r="S22" s="21"/>
      <c r="T22" s="21"/>
      <c r="U22" s="21"/>
      <c r="V22" s="21"/>
      <c r="W22" s="21"/>
      <c r="X22" s="21"/>
      <c r="Y22" s="21"/>
      <c r="Z22" s="21"/>
      <c r="AA22" s="21"/>
    </row>
    <row r="23" spans="1:27" ht="15" x14ac:dyDescent="0.15">
      <c r="A23" s="21"/>
      <c r="B23" s="64"/>
      <c r="C23" s="43"/>
      <c r="D23" s="43"/>
      <c r="E23" s="21"/>
      <c r="F23" s="21"/>
      <c r="G23" s="21"/>
      <c r="H23" s="21"/>
      <c r="I23" s="21"/>
      <c r="J23" s="21"/>
      <c r="K23" s="21"/>
      <c r="L23" s="21"/>
      <c r="M23" s="21"/>
      <c r="N23" s="21"/>
      <c r="O23" s="21"/>
      <c r="P23" s="21"/>
      <c r="Q23" s="21"/>
      <c r="R23" s="21"/>
      <c r="S23" s="21"/>
      <c r="T23" s="21"/>
      <c r="U23" s="21"/>
      <c r="V23" s="21"/>
      <c r="W23" s="21"/>
      <c r="X23" s="21"/>
      <c r="Y23" s="21"/>
      <c r="Z23" s="21"/>
      <c r="AA23" s="21"/>
    </row>
    <row r="24" spans="1:27" ht="15" x14ac:dyDescent="0.15">
      <c r="A24" s="21"/>
      <c r="B24" s="64"/>
      <c r="C24" s="43"/>
      <c r="D24" s="43"/>
      <c r="E24" s="21"/>
      <c r="F24" s="21"/>
      <c r="G24" s="21"/>
      <c r="H24" s="21"/>
      <c r="I24" s="21"/>
      <c r="J24" s="21"/>
      <c r="K24" s="21"/>
      <c r="L24" s="21"/>
      <c r="M24" s="21"/>
      <c r="N24" s="21"/>
      <c r="O24" s="21"/>
      <c r="P24" s="21"/>
      <c r="Q24" s="21"/>
      <c r="R24" s="21"/>
      <c r="S24" s="21"/>
      <c r="T24" s="21"/>
      <c r="U24" s="21"/>
      <c r="V24" s="21"/>
      <c r="W24" s="21"/>
      <c r="X24" s="21"/>
      <c r="Y24" s="21"/>
      <c r="Z24" s="21"/>
      <c r="AA24" s="21"/>
    </row>
    <row r="25" spans="1:27" ht="15" x14ac:dyDescent="0.15">
      <c r="A25" s="21"/>
      <c r="B25" s="64"/>
      <c r="C25" s="43"/>
      <c r="D25" s="43"/>
      <c r="E25" s="21"/>
      <c r="F25" s="21"/>
      <c r="G25" s="21"/>
      <c r="H25" s="21"/>
      <c r="I25" s="21"/>
      <c r="J25" s="21"/>
      <c r="K25" s="21"/>
      <c r="L25" s="21"/>
      <c r="M25" s="21"/>
      <c r="N25" s="21"/>
      <c r="O25" s="21"/>
      <c r="P25" s="21"/>
      <c r="Q25" s="21"/>
      <c r="R25" s="21"/>
      <c r="S25" s="21"/>
      <c r="T25" s="21"/>
      <c r="U25" s="21"/>
      <c r="V25" s="21"/>
      <c r="W25" s="21"/>
      <c r="X25" s="21"/>
      <c r="Y25" s="21"/>
      <c r="Z25" s="21"/>
      <c r="AA25" s="21"/>
    </row>
    <row r="26" spans="1:27" ht="15" x14ac:dyDescent="0.15">
      <c r="A26" s="21"/>
      <c r="B26" s="64"/>
      <c r="C26" s="43"/>
      <c r="D26" s="43"/>
      <c r="E26" s="21"/>
      <c r="F26" s="21"/>
      <c r="G26" s="21"/>
      <c r="H26" s="21"/>
      <c r="I26" s="21"/>
      <c r="J26" s="21"/>
      <c r="K26" s="21"/>
      <c r="L26" s="21"/>
      <c r="M26" s="21"/>
      <c r="N26" s="21"/>
      <c r="O26" s="21"/>
      <c r="P26" s="21"/>
      <c r="Q26" s="21"/>
      <c r="R26" s="21"/>
      <c r="S26" s="21"/>
      <c r="T26" s="21"/>
      <c r="U26" s="21"/>
      <c r="V26" s="21"/>
      <c r="W26" s="21"/>
      <c r="X26" s="21"/>
      <c r="Y26" s="21"/>
      <c r="Z26" s="21"/>
      <c r="AA26" s="21"/>
    </row>
    <row r="27" spans="1:27" ht="15" x14ac:dyDescent="0.15">
      <c r="A27" s="21"/>
      <c r="B27" s="64"/>
      <c r="C27" s="43"/>
      <c r="D27" s="43"/>
      <c r="E27" s="21"/>
      <c r="F27" s="21"/>
      <c r="G27" s="21"/>
      <c r="H27" s="21"/>
      <c r="I27" s="21"/>
      <c r="J27" s="21"/>
      <c r="K27" s="21"/>
      <c r="L27" s="21"/>
      <c r="M27" s="21"/>
      <c r="N27" s="21"/>
      <c r="O27" s="21"/>
      <c r="P27" s="21"/>
      <c r="Q27" s="21"/>
      <c r="R27" s="21"/>
      <c r="S27" s="21"/>
      <c r="T27" s="21"/>
      <c r="U27" s="21"/>
      <c r="V27" s="21"/>
      <c r="W27" s="21"/>
      <c r="X27" s="21"/>
      <c r="Y27" s="21"/>
      <c r="Z27" s="21"/>
      <c r="AA27" s="21"/>
    </row>
    <row r="28" spans="1:27" ht="15" x14ac:dyDescent="0.15">
      <c r="A28" s="21"/>
      <c r="B28" s="64"/>
      <c r="C28" s="43"/>
      <c r="D28" s="43"/>
      <c r="E28" s="21"/>
      <c r="F28" s="21"/>
      <c r="G28" s="21"/>
      <c r="H28" s="21"/>
      <c r="I28" s="21"/>
      <c r="J28" s="21"/>
      <c r="K28" s="21"/>
      <c r="L28" s="21"/>
      <c r="M28" s="21"/>
      <c r="N28" s="21"/>
      <c r="O28" s="21"/>
      <c r="P28" s="21"/>
      <c r="Q28" s="21"/>
      <c r="R28" s="21"/>
      <c r="S28" s="21"/>
      <c r="T28" s="21"/>
      <c r="U28" s="21"/>
      <c r="V28" s="21"/>
      <c r="W28" s="21"/>
      <c r="X28" s="21"/>
      <c r="Y28" s="21"/>
      <c r="Z28" s="21"/>
      <c r="AA28" s="21"/>
    </row>
    <row r="29" spans="1:27" ht="15" x14ac:dyDescent="0.15">
      <c r="A29" s="21"/>
      <c r="B29" s="64"/>
      <c r="C29" s="43"/>
      <c r="D29" s="43"/>
      <c r="E29" s="21"/>
      <c r="F29" s="21"/>
      <c r="G29" s="21"/>
      <c r="H29" s="21"/>
      <c r="I29" s="21"/>
      <c r="J29" s="21"/>
      <c r="K29" s="21"/>
      <c r="L29" s="21"/>
      <c r="M29" s="21"/>
      <c r="N29" s="21"/>
      <c r="O29" s="21"/>
      <c r="P29" s="21"/>
      <c r="Q29" s="21"/>
      <c r="R29" s="21"/>
      <c r="S29" s="21"/>
      <c r="T29" s="21"/>
      <c r="U29" s="21"/>
      <c r="V29" s="21"/>
      <c r="W29" s="21"/>
      <c r="X29" s="21"/>
      <c r="Y29" s="21"/>
      <c r="Z29" s="21"/>
      <c r="AA29" s="21"/>
    </row>
    <row r="30" spans="1:27" ht="15" x14ac:dyDescent="0.15">
      <c r="A30" s="21"/>
      <c r="B30" s="64"/>
      <c r="C30" s="43"/>
      <c r="D30" s="43"/>
      <c r="E30" s="21"/>
      <c r="F30" s="21"/>
      <c r="G30" s="21"/>
      <c r="H30" s="21"/>
      <c r="I30" s="21"/>
      <c r="J30" s="21"/>
      <c r="K30" s="21"/>
      <c r="L30" s="21"/>
      <c r="M30" s="21"/>
      <c r="N30" s="21"/>
      <c r="O30" s="21"/>
      <c r="P30" s="21"/>
      <c r="Q30" s="21"/>
      <c r="R30" s="21"/>
      <c r="S30" s="21"/>
      <c r="T30" s="21"/>
      <c r="U30" s="21"/>
      <c r="V30" s="21"/>
      <c r="W30" s="21"/>
      <c r="X30" s="21"/>
      <c r="Y30" s="21"/>
      <c r="Z30" s="21"/>
      <c r="AA30" s="21"/>
    </row>
    <row r="31" spans="1:27" ht="15" x14ac:dyDescent="0.15">
      <c r="A31" s="21"/>
      <c r="B31" s="64"/>
      <c r="C31" s="43"/>
      <c r="D31" s="43"/>
      <c r="E31" s="21"/>
      <c r="F31" s="21"/>
      <c r="G31" s="21"/>
      <c r="H31" s="21"/>
      <c r="I31" s="21"/>
      <c r="J31" s="21"/>
      <c r="K31" s="21"/>
      <c r="L31" s="21"/>
      <c r="M31" s="21"/>
      <c r="N31" s="21"/>
      <c r="O31" s="21"/>
      <c r="P31" s="21"/>
      <c r="Q31" s="21"/>
      <c r="R31" s="21"/>
      <c r="S31" s="21"/>
      <c r="T31" s="21"/>
      <c r="U31" s="21"/>
      <c r="V31" s="21"/>
      <c r="W31" s="21"/>
      <c r="X31" s="21"/>
      <c r="Y31" s="21"/>
      <c r="Z31" s="21"/>
      <c r="AA31" s="21"/>
    </row>
    <row r="32" spans="1:27" ht="15" x14ac:dyDescent="0.15">
      <c r="A32" s="21"/>
      <c r="B32" s="64"/>
      <c r="C32" s="43"/>
      <c r="D32" s="43"/>
      <c r="E32" s="21"/>
      <c r="F32" s="21"/>
      <c r="G32" s="21"/>
      <c r="H32" s="21"/>
      <c r="I32" s="21"/>
      <c r="J32" s="21"/>
      <c r="K32" s="21"/>
      <c r="L32" s="21"/>
      <c r="M32" s="21"/>
      <c r="N32" s="21"/>
      <c r="O32" s="21"/>
      <c r="P32" s="21"/>
      <c r="Q32" s="21"/>
      <c r="R32" s="21"/>
      <c r="S32" s="21"/>
      <c r="T32" s="21"/>
      <c r="U32" s="21"/>
      <c r="V32" s="21"/>
      <c r="W32" s="21"/>
      <c r="X32" s="21"/>
      <c r="Y32" s="21"/>
      <c r="Z32" s="21"/>
      <c r="AA32" s="21"/>
    </row>
    <row r="33" spans="1:27" ht="15" x14ac:dyDescent="0.15">
      <c r="A33" s="21"/>
      <c r="B33" s="64"/>
      <c r="C33" s="43"/>
      <c r="D33" s="43"/>
      <c r="E33" s="21"/>
      <c r="F33" s="21"/>
      <c r="G33" s="21"/>
      <c r="H33" s="21"/>
      <c r="I33" s="21"/>
      <c r="J33" s="21"/>
      <c r="K33" s="21"/>
      <c r="L33" s="21"/>
      <c r="M33" s="21"/>
      <c r="N33" s="21"/>
      <c r="O33" s="21"/>
      <c r="P33" s="21"/>
      <c r="Q33" s="21"/>
      <c r="R33" s="21"/>
      <c r="S33" s="21"/>
      <c r="T33" s="21"/>
      <c r="U33" s="21"/>
      <c r="V33" s="21"/>
      <c r="W33" s="21"/>
      <c r="X33" s="21"/>
      <c r="Y33" s="21"/>
      <c r="Z33" s="21"/>
      <c r="AA33" s="21"/>
    </row>
    <row r="34" spans="1:27" ht="15" x14ac:dyDescent="0.15">
      <c r="A34" s="21"/>
      <c r="B34" s="64"/>
      <c r="C34" s="43"/>
      <c r="D34" s="43"/>
      <c r="E34" s="21"/>
      <c r="F34" s="21"/>
      <c r="G34" s="21"/>
      <c r="H34" s="21"/>
      <c r="I34" s="21"/>
      <c r="J34" s="21"/>
      <c r="K34" s="21"/>
      <c r="L34" s="21"/>
      <c r="M34" s="21"/>
      <c r="N34" s="21"/>
      <c r="O34" s="21"/>
      <c r="P34" s="21"/>
      <c r="Q34" s="21"/>
      <c r="R34" s="21"/>
      <c r="S34" s="21"/>
      <c r="T34" s="21"/>
      <c r="U34" s="21"/>
      <c r="V34" s="21"/>
      <c r="W34" s="21"/>
      <c r="X34" s="21"/>
      <c r="Y34" s="21"/>
      <c r="Z34" s="21"/>
      <c r="AA34" s="21"/>
    </row>
    <row r="35" spans="1:27" ht="15" x14ac:dyDescent="0.15">
      <c r="A35" s="21"/>
      <c r="B35" s="64"/>
      <c r="C35" s="43"/>
      <c r="D35" s="43"/>
      <c r="E35" s="21"/>
      <c r="F35" s="21"/>
      <c r="G35" s="21"/>
      <c r="H35" s="21"/>
      <c r="I35" s="21"/>
      <c r="J35" s="21"/>
      <c r="K35" s="21"/>
      <c r="L35" s="21"/>
      <c r="M35" s="21"/>
      <c r="N35" s="21"/>
      <c r="O35" s="21"/>
      <c r="P35" s="21"/>
      <c r="Q35" s="21"/>
      <c r="R35" s="21"/>
      <c r="S35" s="21"/>
      <c r="T35" s="21"/>
      <c r="U35" s="21"/>
      <c r="V35" s="21"/>
      <c r="W35" s="21"/>
      <c r="X35" s="21"/>
      <c r="Y35" s="21"/>
      <c r="Z35" s="21"/>
      <c r="AA35" s="21"/>
    </row>
    <row r="36" spans="1:27" ht="15" x14ac:dyDescent="0.15">
      <c r="A36" s="21"/>
      <c r="B36" s="64"/>
      <c r="C36" s="43"/>
      <c r="D36" s="43"/>
      <c r="E36" s="21"/>
      <c r="F36" s="21"/>
      <c r="G36" s="21"/>
      <c r="H36" s="21"/>
      <c r="I36" s="21"/>
      <c r="J36" s="21"/>
      <c r="K36" s="21"/>
      <c r="L36" s="21"/>
      <c r="M36" s="21"/>
      <c r="N36" s="21"/>
      <c r="O36" s="21"/>
      <c r="P36" s="21"/>
      <c r="Q36" s="21"/>
      <c r="R36" s="21"/>
      <c r="S36" s="21"/>
      <c r="T36" s="21"/>
      <c r="U36" s="21"/>
      <c r="V36" s="21"/>
      <c r="W36" s="21"/>
      <c r="X36" s="21"/>
      <c r="Y36" s="21"/>
      <c r="Z36" s="21"/>
      <c r="AA36" s="21"/>
    </row>
    <row r="37" spans="1:27" ht="15" x14ac:dyDescent="0.15">
      <c r="A37" s="21"/>
      <c r="B37" s="64"/>
      <c r="C37" s="43"/>
      <c r="D37" s="43"/>
      <c r="E37" s="21"/>
      <c r="F37" s="21"/>
      <c r="G37" s="21"/>
      <c r="H37" s="21"/>
      <c r="I37" s="21"/>
      <c r="J37" s="21"/>
      <c r="K37" s="21"/>
      <c r="L37" s="21"/>
      <c r="M37" s="21"/>
      <c r="N37" s="21"/>
      <c r="O37" s="21"/>
      <c r="P37" s="21"/>
      <c r="Q37" s="21"/>
      <c r="R37" s="21"/>
      <c r="S37" s="21"/>
      <c r="T37" s="21"/>
      <c r="U37" s="21"/>
      <c r="V37" s="21"/>
      <c r="W37" s="21"/>
      <c r="X37" s="21"/>
      <c r="Y37" s="21"/>
      <c r="Z37" s="21"/>
      <c r="AA37" s="21"/>
    </row>
    <row r="38" spans="1:27" ht="15" x14ac:dyDescent="0.15">
      <c r="A38" s="21"/>
      <c r="B38" s="64"/>
      <c r="C38" s="43"/>
      <c r="D38" s="43"/>
      <c r="E38" s="21"/>
      <c r="F38" s="21"/>
      <c r="G38" s="21"/>
      <c r="H38" s="21"/>
      <c r="I38" s="21"/>
      <c r="J38" s="21"/>
      <c r="K38" s="21"/>
      <c r="L38" s="21"/>
      <c r="M38" s="21"/>
      <c r="N38" s="21"/>
      <c r="O38" s="21"/>
      <c r="P38" s="21"/>
      <c r="Q38" s="21"/>
      <c r="R38" s="21"/>
      <c r="S38" s="21"/>
      <c r="T38" s="21"/>
      <c r="U38" s="21"/>
      <c r="V38" s="21"/>
      <c r="W38" s="21"/>
      <c r="X38" s="21"/>
      <c r="Y38" s="21"/>
      <c r="Z38" s="21"/>
      <c r="AA38" s="21"/>
    </row>
    <row r="39" spans="1:27" ht="15" x14ac:dyDescent="0.15">
      <c r="A39" s="21"/>
      <c r="B39" s="64"/>
      <c r="C39" s="43"/>
      <c r="D39" s="43"/>
      <c r="E39" s="21"/>
      <c r="F39" s="21"/>
      <c r="G39" s="21"/>
      <c r="H39" s="21"/>
      <c r="I39" s="21"/>
      <c r="J39" s="21"/>
      <c r="K39" s="21"/>
      <c r="L39" s="21"/>
      <c r="M39" s="21"/>
      <c r="N39" s="21"/>
      <c r="O39" s="21"/>
      <c r="P39" s="21"/>
      <c r="Q39" s="21"/>
      <c r="R39" s="21"/>
      <c r="S39" s="21"/>
      <c r="T39" s="21"/>
      <c r="U39" s="21"/>
      <c r="V39" s="21"/>
      <c r="W39" s="21"/>
      <c r="X39" s="21"/>
      <c r="Y39" s="21"/>
      <c r="Z39" s="21"/>
      <c r="AA39" s="21"/>
    </row>
    <row r="40" spans="1:27" ht="15" x14ac:dyDescent="0.15">
      <c r="A40" s="21"/>
      <c r="B40" s="64"/>
      <c r="C40" s="43"/>
      <c r="D40" s="43"/>
      <c r="E40" s="21"/>
      <c r="F40" s="21"/>
      <c r="G40" s="21"/>
      <c r="H40" s="21"/>
      <c r="I40" s="21"/>
      <c r="J40" s="21"/>
      <c r="K40" s="21"/>
      <c r="L40" s="21"/>
      <c r="M40" s="21"/>
      <c r="N40" s="21"/>
      <c r="O40" s="21"/>
      <c r="P40" s="21"/>
      <c r="Q40" s="21"/>
      <c r="R40" s="21"/>
      <c r="S40" s="21"/>
      <c r="T40" s="21"/>
      <c r="U40" s="21"/>
      <c r="V40" s="21"/>
      <c r="W40" s="21"/>
      <c r="X40" s="21"/>
      <c r="Y40" s="21"/>
      <c r="Z40" s="21"/>
      <c r="AA40" s="21"/>
    </row>
    <row r="41" spans="1:27" ht="15" x14ac:dyDescent="0.15">
      <c r="A41" s="21"/>
      <c r="B41" s="64"/>
      <c r="C41" s="43"/>
      <c r="D41" s="43"/>
      <c r="E41" s="21"/>
      <c r="F41" s="21"/>
      <c r="G41" s="21"/>
      <c r="H41" s="21"/>
      <c r="I41" s="21"/>
      <c r="J41" s="21"/>
      <c r="K41" s="21"/>
      <c r="L41" s="21"/>
      <c r="M41" s="21"/>
      <c r="N41" s="21"/>
      <c r="O41" s="21"/>
      <c r="P41" s="21"/>
      <c r="Q41" s="21"/>
      <c r="R41" s="21"/>
      <c r="S41" s="21"/>
      <c r="T41" s="21"/>
      <c r="U41" s="21"/>
      <c r="V41" s="21"/>
      <c r="W41" s="21"/>
      <c r="X41" s="21"/>
      <c r="Y41" s="21"/>
      <c r="Z41" s="21"/>
      <c r="AA41" s="21"/>
    </row>
    <row r="42" spans="1:27" ht="15" x14ac:dyDescent="0.15">
      <c r="A42" s="21"/>
      <c r="B42" s="64"/>
      <c r="C42" s="43"/>
      <c r="D42" s="43"/>
      <c r="E42" s="21"/>
      <c r="F42" s="21"/>
      <c r="G42" s="21"/>
      <c r="H42" s="21"/>
      <c r="I42" s="21"/>
      <c r="J42" s="21"/>
      <c r="K42" s="21"/>
      <c r="L42" s="21"/>
      <c r="M42" s="21"/>
      <c r="N42" s="21"/>
      <c r="O42" s="21"/>
      <c r="P42" s="21"/>
      <c r="Q42" s="21"/>
      <c r="R42" s="21"/>
      <c r="S42" s="21"/>
      <c r="T42" s="21"/>
      <c r="U42" s="21"/>
      <c r="V42" s="21"/>
      <c r="W42" s="21"/>
      <c r="X42" s="21"/>
      <c r="Y42" s="21"/>
      <c r="Z42" s="21"/>
      <c r="AA42" s="21"/>
    </row>
    <row r="43" spans="1:27" ht="15" x14ac:dyDescent="0.15">
      <c r="A43" s="21"/>
      <c r="B43" s="64"/>
      <c r="C43" s="43"/>
      <c r="D43" s="43"/>
      <c r="E43" s="21"/>
      <c r="F43" s="21"/>
      <c r="G43" s="21"/>
      <c r="H43" s="21"/>
      <c r="I43" s="21"/>
      <c r="J43" s="21"/>
      <c r="K43" s="21"/>
      <c r="L43" s="21"/>
      <c r="M43" s="21"/>
      <c r="N43" s="21"/>
      <c r="O43" s="21"/>
      <c r="P43" s="21"/>
      <c r="Q43" s="21"/>
      <c r="R43" s="21"/>
      <c r="S43" s="21"/>
      <c r="T43" s="21"/>
      <c r="U43" s="21"/>
      <c r="V43" s="21"/>
      <c r="W43" s="21"/>
      <c r="X43" s="21"/>
      <c r="Y43" s="21"/>
      <c r="Z43" s="21"/>
      <c r="AA43" s="21"/>
    </row>
    <row r="44" spans="1:27" ht="15" x14ac:dyDescent="0.15">
      <c r="A44" s="21"/>
      <c r="B44" s="64"/>
      <c r="C44" s="43"/>
      <c r="D44" s="43"/>
      <c r="E44" s="21"/>
      <c r="F44" s="21"/>
      <c r="G44" s="21"/>
      <c r="H44" s="21"/>
      <c r="I44" s="21"/>
      <c r="J44" s="21"/>
      <c r="K44" s="21"/>
      <c r="L44" s="21"/>
      <c r="M44" s="21"/>
      <c r="N44" s="21"/>
      <c r="O44" s="21"/>
      <c r="P44" s="21"/>
      <c r="Q44" s="21"/>
      <c r="R44" s="21"/>
      <c r="S44" s="21"/>
      <c r="T44" s="21"/>
      <c r="U44" s="21"/>
      <c r="V44" s="21"/>
      <c r="W44" s="21"/>
      <c r="X44" s="21"/>
      <c r="Y44" s="21"/>
      <c r="Z44" s="21"/>
      <c r="AA44" s="21"/>
    </row>
    <row r="45" spans="1:27" ht="15" x14ac:dyDescent="0.15">
      <c r="A45" s="21"/>
      <c r="B45" s="64"/>
      <c r="C45" s="43"/>
      <c r="D45" s="43"/>
      <c r="E45" s="21"/>
      <c r="F45" s="21"/>
      <c r="G45" s="21"/>
      <c r="H45" s="21"/>
      <c r="I45" s="21"/>
      <c r="J45" s="21"/>
      <c r="K45" s="21"/>
      <c r="L45" s="21"/>
      <c r="M45" s="21"/>
      <c r="N45" s="21"/>
      <c r="O45" s="21"/>
      <c r="P45" s="21"/>
      <c r="Q45" s="21"/>
      <c r="R45" s="21"/>
      <c r="S45" s="21"/>
      <c r="T45" s="21"/>
      <c r="U45" s="21"/>
      <c r="V45" s="21"/>
      <c r="W45" s="21"/>
      <c r="X45" s="21"/>
      <c r="Y45" s="21"/>
      <c r="Z45" s="21"/>
      <c r="AA45" s="21"/>
    </row>
    <row r="46" spans="1:27" ht="15" x14ac:dyDescent="0.15">
      <c r="A46" s="21"/>
      <c r="B46" s="64"/>
      <c r="C46" s="43"/>
      <c r="D46" s="43"/>
      <c r="E46" s="21"/>
      <c r="F46" s="21"/>
      <c r="G46" s="21"/>
      <c r="H46" s="21"/>
      <c r="I46" s="21"/>
      <c r="J46" s="21"/>
      <c r="K46" s="21"/>
      <c r="L46" s="21"/>
      <c r="M46" s="21"/>
      <c r="N46" s="21"/>
      <c r="O46" s="21"/>
      <c r="P46" s="21"/>
      <c r="Q46" s="21"/>
      <c r="R46" s="21"/>
      <c r="S46" s="21"/>
      <c r="T46" s="21"/>
      <c r="U46" s="21"/>
      <c r="V46" s="21"/>
      <c r="W46" s="21"/>
      <c r="X46" s="21"/>
      <c r="Y46" s="21"/>
      <c r="Z46" s="21"/>
      <c r="AA46" s="21"/>
    </row>
    <row r="47" spans="1:27" ht="15" x14ac:dyDescent="0.15">
      <c r="A47" s="21"/>
      <c r="B47" s="64"/>
      <c r="C47" s="43"/>
      <c r="D47" s="43"/>
      <c r="E47" s="21"/>
      <c r="F47" s="21"/>
      <c r="G47" s="21"/>
      <c r="H47" s="21"/>
      <c r="I47" s="21"/>
      <c r="J47" s="21"/>
      <c r="K47" s="21"/>
      <c r="L47" s="21"/>
      <c r="M47" s="21"/>
      <c r="N47" s="21"/>
      <c r="O47" s="21"/>
      <c r="P47" s="21"/>
      <c r="Q47" s="21"/>
      <c r="R47" s="21"/>
      <c r="S47" s="21"/>
      <c r="T47" s="21"/>
      <c r="U47" s="21"/>
      <c r="V47" s="21"/>
      <c r="W47" s="21"/>
      <c r="X47" s="21"/>
      <c r="Y47" s="21"/>
      <c r="Z47" s="21"/>
      <c r="AA47" s="21"/>
    </row>
    <row r="48" spans="1:27" ht="15" x14ac:dyDescent="0.15">
      <c r="A48" s="21"/>
      <c r="B48" s="64"/>
      <c r="C48" s="43"/>
      <c r="D48" s="43"/>
      <c r="E48" s="21"/>
      <c r="F48" s="21"/>
      <c r="G48" s="21"/>
      <c r="H48" s="21"/>
      <c r="I48" s="21"/>
      <c r="J48" s="21"/>
      <c r="K48" s="21"/>
      <c r="L48" s="21"/>
      <c r="M48" s="21"/>
      <c r="N48" s="21"/>
      <c r="O48" s="21"/>
      <c r="P48" s="21"/>
      <c r="Q48" s="21"/>
      <c r="R48" s="21"/>
      <c r="S48" s="21"/>
      <c r="T48" s="21"/>
      <c r="U48" s="21"/>
      <c r="V48" s="21"/>
      <c r="W48" s="21"/>
      <c r="X48" s="21"/>
      <c r="Y48" s="21"/>
      <c r="Z48" s="21"/>
      <c r="AA48" s="21"/>
    </row>
    <row r="49" spans="1:27" ht="15" x14ac:dyDescent="0.15">
      <c r="A49" s="21"/>
      <c r="B49" s="64"/>
      <c r="C49" s="43"/>
      <c r="D49" s="43"/>
      <c r="E49" s="21"/>
      <c r="F49" s="21"/>
      <c r="G49" s="21"/>
      <c r="H49" s="21"/>
      <c r="I49" s="21"/>
      <c r="J49" s="21"/>
      <c r="K49" s="21"/>
      <c r="L49" s="21"/>
      <c r="M49" s="21"/>
      <c r="N49" s="21"/>
      <c r="O49" s="21"/>
      <c r="P49" s="21"/>
      <c r="Q49" s="21"/>
      <c r="R49" s="21"/>
      <c r="S49" s="21"/>
      <c r="T49" s="21"/>
      <c r="U49" s="21"/>
      <c r="V49" s="21"/>
      <c r="W49" s="21"/>
      <c r="X49" s="21"/>
      <c r="Y49" s="21"/>
      <c r="Z49" s="21"/>
      <c r="AA49" s="21"/>
    </row>
    <row r="50" spans="1:27" ht="15" x14ac:dyDescent="0.15">
      <c r="A50" s="21"/>
      <c r="B50" s="64"/>
      <c r="C50" s="43"/>
      <c r="D50" s="43"/>
      <c r="E50" s="21"/>
      <c r="F50" s="21"/>
      <c r="G50" s="21"/>
      <c r="H50" s="21"/>
      <c r="I50" s="21"/>
      <c r="J50" s="21"/>
      <c r="K50" s="21"/>
      <c r="L50" s="21"/>
      <c r="M50" s="21"/>
      <c r="N50" s="21"/>
      <c r="O50" s="21"/>
      <c r="P50" s="21"/>
      <c r="Q50" s="21"/>
      <c r="R50" s="21"/>
      <c r="S50" s="21"/>
      <c r="T50" s="21"/>
      <c r="U50" s="21"/>
      <c r="V50" s="21"/>
      <c r="W50" s="21"/>
      <c r="X50" s="21"/>
      <c r="Y50" s="21"/>
      <c r="Z50" s="21"/>
      <c r="AA50" s="21"/>
    </row>
    <row r="51" spans="1:27" ht="15" x14ac:dyDescent="0.15">
      <c r="A51" s="21"/>
      <c r="B51" s="64"/>
      <c r="C51" s="43"/>
      <c r="D51" s="43"/>
      <c r="E51" s="21"/>
      <c r="F51" s="21"/>
      <c r="G51" s="21"/>
      <c r="H51" s="21"/>
      <c r="I51" s="21"/>
      <c r="J51" s="21"/>
      <c r="K51" s="21"/>
      <c r="L51" s="21"/>
      <c r="M51" s="21"/>
      <c r="N51" s="21"/>
      <c r="O51" s="21"/>
      <c r="P51" s="21"/>
      <c r="Q51" s="21"/>
      <c r="R51" s="21"/>
      <c r="S51" s="21"/>
      <c r="T51" s="21"/>
      <c r="U51" s="21"/>
      <c r="V51" s="21"/>
      <c r="W51" s="21"/>
      <c r="X51" s="21"/>
      <c r="Y51" s="21"/>
      <c r="Z51" s="21"/>
      <c r="AA51" s="21"/>
    </row>
    <row r="52" spans="1:27" ht="15" x14ac:dyDescent="0.15">
      <c r="A52" s="21"/>
      <c r="B52" s="64"/>
      <c r="C52" s="43"/>
      <c r="D52" s="43"/>
      <c r="E52" s="21"/>
      <c r="F52" s="21"/>
      <c r="G52" s="21"/>
      <c r="H52" s="21"/>
      <c r="I52" s="21"/>
      <c r="J52" s="21"/>
      <c r="K52" s="21"/>
      <c r="L52" s="21"/>
      <c r="M52" s="21"/>
      <c r="N52" s="21"/>
      <c r="O52" s="21"/>
      <c r="P52" s="21"/>
      <c r="Q52" s="21"/>
      <c r="R52" s="21"/>
      <c r="S52" s="21"/>
      <c r="T52" s="21"/>
      <c r="U52" s="21"/>
      <c r="V52" s="21"/>
      <c r="W52" s="21"/>
      <c r="X52" s="21"/>
      <c r="Y52" s="21"/>
      <c r="Z52" s="21"/>
      <c r="AA52" s="21"/>
    </row>
    <row r="53" spans="1:27" ht="15" x14ac:dyDescent="0.15">
      <c r="A53" s="21"/>
      <c r="B53" s="64"/>
      <c r="C53" s="43"/>
      <c r="D53" s="43"/>
      <c r="E53" s="21"/>
      <c r="F53" s="21"/>
      <c r="G53" s="21"/>
      <c r="H53" s="21"/>
      <c r="I53" s="21"/>
      <c r="J53" s="21"/>
      <c r="K53" s="21"/>
      <c r="L53" s="21"/>
      <c r="M53" s="21"/>
      <c r="N53" s="21"/>
      <c r="O53" s="21"/>
      <c r="P53" s="21"/>
      <c r="Q53" s="21"/>
      <c r="R53" s="21"/>
      <c r="S53" s="21"/>
      <c r="T53" s="21"/>
      <c r="U53" s="21"/>
      <c r="V53" s="21"/>
      <c r="W53" s="21"/>
      <c r="X53" s="21"/>
      <c r="Y53" s="21"/>
      <c r="Z53" s="21"/>
      <c r="AA53" s="21"/>
    </row>
    <row r="54" spans="1:27" ht="15" x14ac:dyDescent="0.15">
      <c r="A54" s="21"/>
      <c r="B54" s="64"/>
      <c r="C54" s="43"/>
      <c r="D54" s="43"/>
      <c r="E54" s="21"/>
      <c r="F54" s="21"/>
      <c r="G54" s="21"/>
      <c r="H54" s="21"/>
      <c r="I54" s="21"/>
      <c r="J54" s="21"/>
      <c r="K54" s="21"/>
      <c r="L54" s="21"/>
      <c r="M54" s="21"/>
      <c r="N54" s="21"/>
      <c r="O54" s="21"/>
      <c r="P54" s="21"/>
      <c r="Q54" s="21"/>
      <c r="R54" s="21"/>
      <c r="S54" s="21"/>
      <c r="T54" s="21"/>
      <c r="U54" s="21"/>
      <c r="V54" s="21"/>
      <c r="W54" s="21"/>
      <c r="X54" s="21"/>
      <c r="Y54" s="21"/>
      <c r="Z54" s="21"/>
      <c r="AA54" s="21"/>
    </row>
    <row r="55" spans="1:27" ht="15" x14ac:dyDescent="0.15">
      <c r="A55" s="21"/>
      <c r="B55" s="64"/>
      <c r="C55" s="43"/>
      <c r="D55" s="43"/>
      <c r="E55" s="21"/>
      <c r="F55" s="21"/>
      <c r="G55" s="21"/>
      <c r="H55" s="21"/>
      <c r="I55" s="21"/>
      <c r="J55" s="21"/>
      <c r="K55" s="21"/>
      <c r="L55" s="21"/>
      <c r="M55" s="21"/>
      <c r="N55" s="21"/>
      <c r="O55" s="21"/>
      <c r="P55" s="21"/>
      <c r="Q55" s="21"/>
      <c r="R55" s="21"/>
      <c r="S55" s="21"/>
      <c r="T55" s="21"/>
      <c r="U55" s="21"/>
      <c r="V55" s="21"/>
      <c r="W55" s="21"/>
      <c r="X55" s="21"/>
      <c r="Y55" s="21"/>
      <c r="Z55" s="21"/>
      <c r="AA55" s="21"/>
    </row>
    <row r="56" spans="1:27" ht="15" x14ac:dyDescent="0.15">
      <c r="A56" s="21"/>
      <c r="B56" s="64"/>
      <c r="C56" s="43"/>
      <c r="D56" s="43"/>
      <c r="E56" s="21"/>
      <c r="F56" s="21"/>
      <c r="G56" s="21"/>
      <c r="H56" s="21"/>
      <c r="I56" s="21"/>
      <c r="J56" s="21"/>
      <c r="K56" s="21"/>
      <c r="L56" s="21"/>
      <c r="M56" s="21"/>
      <c r="N56" s="21"/>
      <c r="O56" s="21"/>
      <c r="P56" s="21"/>
      <c r="Q56" s="21"/>
      <c r="R56" s="21"/>
      <c r="S56" s="21"/>
      <c r="T56" s="21"/>
      <c r="U56" s="21"/>
      <c r="V56" s="21"/>
      <c r="W56" s="21"/>
      <c r="X56" s="21"/>
      <c r="Y56" s="21"/>
      <c r="Z56" s="21"/>
      <c r="AA56" s="21"/>
    </row>
    <row r="57" spans="1:27" ht="15" x14ac:dyDescent="0.15">
      <c r="A57" s="21"/>
      <c r="B57" s="64"/>
      <c r="C57" s="43"/>
      <c r="D57" s="43"/>
      <c r="E57" s="21"/>
      <c r="F57" s="21"/>
      <c r="G57" s="21"/>
      <c r="H57" s="21"/>
      <c r="I57" s="21"/>
      <c r="J57" s="21"/>
      <c r="K57" s="21"/>
      <c r="L57" s="21"/>
      <c r="M57" s="21"/>
      <c r="N57" s="21"/>
      <c r="O57" s="21"/>
      <c r="P57" s="21"/>
      <c r="Q57" s="21"/>
      <c r="R57" s="21"/>
      <c r="S57" s="21"/>
      <c r="T57" s="21"/>
      <c r="U57" s="21"/>
      <c r="V57" s="21"/>
      <c r="W57" s="21"/>
      <c r="X57" s="21"/>
      <c r="Y57" s="21"/>
      <c r="Z57" s="21"/>
      <c r="AA57" s="21"/>
    </row>
    <row r="58" spans="1:27" ht="15" x14ac:dyDescent="0.15">
      <c r="A58" s="21"/>
      <c r="B58" s="64"/>
      <c r="C58" s="43"/>
      <c r="D58" s="43"/>
      <c r="E58" s="21"/>
      <c r="F58" s="21"/>
      <c r="G58" s="21"/>
      <c r="H58" s="21"/>
      <c r="I58" s="21"/>
      <c r="J58" s="21"/>
      <c r="K58" s="21"/>
      <c r="L58" s="21"/>
      <c r="M58" s="21"/>
      <c r="N58" s="21"/>
      <c r="O58" s="21"/>
      <c r="P58" s="21"/>
      <c r="Q58" s="21"/>
      <c r="R58" s="21"/>
      <c r="S58" s="21"/>
      <c r="T58" s="21"/>
      <c r="U58" s="21"/>
      <c r="V58" s="21"/>
      <c r="W58" s="21"/>
      <c r="X58" s="21"/>
      <c r="Y58" s="21"/>
      <c r="Z58" s="21"/>
      <c r="AA58" s="21"/>
    </row>
    <row r="59" spans="1:27" ht="15" x14ac:dyDescent="0.15">
      <c r="A59" s="21"/>
      <c r="B59" s="64"/>
      <c r="C59" s="43"/>
      <c r="D59" s="43"/>
      <c r="E59" s="21"/>
      <c r="F59" s="21"/>
      <c r="G59" s="21"/>
      <c r="H59" s="21"/>
      <c r="I59" s="21"/>
      <c r="J59" s="21"/>
      <c r="K59" s="21"/>
      <c r="L59" s="21"/>
      <c r="M59" s="21"/>
      <c r="N59" s="21"/>
      <c r="O59" s="21"/>
      <c r="P59" s="21"/>
      <c r="Q59" s="21"/>
      <c r="R59" s="21"/>
      <c r="S59" s="21"/>
      <c r="T59" s="21"/>
      <c r="U59" s="21"/>
      <c r="V59" s="21"/>
      <c r="W59" s="21"/>
      <c r="X59" s="21"/>
      <c r="Y59" s="21"/>
      <c r="Z59" s="21"/>
      <c r="AA59" s="21"/>
    </row>
    <row r="60" spans="1:27" ht="15" x14ac:dyDescent="0.15">
      <c r="A60" s="21"/>
      <c r="B60" s="64"/>
      <c r="C60" s="43"/>
      <c r="D60" s="43"/>
      <c r="E60" s="21"/>
      <c r="F60" s="21"/>
      <c r="G60" s="21"/>
      <c r="H60" s="21"/>
      <c r="I60" s="21"/>
      <c r="J60" s="21"/>
      <c r="K60" s="21"/>
      <c r="L60" s="21"/>
      <c r="M60" s="21"/>
      <c r="N60" s="21"/>
      <c r="O60" s="21"/>
      <c r="P60" s="21"/>
      <c r="Q60" s="21"/>
      <c r="R60" s="21"/>
      <c r="S60" s="21"/>
      <c r="T60" s="21"/>
      <c r="U60" s="21"/>
      <c r="V60" s="21"/>
      <c r="W60" s="21"/>
      <c r="X60" s="21"/>
      <c r="Y60" s="21"/>
      <c r="Z60" s="21"/>
      <c r="AA60" s="21"/>
    </row>
    <row r="61" spans="1:27" ht="15" x14ac:dyDescent="0.15">
      <c r="A61" s="21"/>
      <c r="B61" s="64"/>
      <c r="C61" s="43"/>
      <c r="D61" s="43"/>
      <c r="E61" s="21"/>
      <c r="F61" s="21"/>
      <c r="G61" s="21"/>
      <c r="H61" s="21"/>
      <c r="I61" s="21"/>
      <c r="J61" s="21"/>
      <c r="K61" s="21"/>
      <c r="L61" s="21"/>
      <c r="M61" s="21"/>
      <c r="N61" s="21"/>
      <c r="O61" s="21"/>
      <c r="P61" s="21"/>
      <c r="Q61" s="21"/>
      <c r="R61" s="21"/>
      <c r="S61" s="21"/>
      <c r="T61" s="21"/>
      <c r="U61" s="21"/>
      <c r="V61" s="21"/>
      <c r="W61" s="21"/>
      <c r="X61" s="21"/>
      <c r="Y61" s="21"/>
      <c r="Z61" s="21"/>
      <c r="AA61" s="21"/>
    </row>
    <row r="62" spans="1:27" ht="15" x14ac:dyDescent="0.15">
      <c r="A62" s="21"/>
      <c r="B62" s="64"/>
      <c r="C62" s="43"/>
      <c r="D62" s="43"/>
      <c r="E62" s="21"/>
      <c r="F62" s="21"/>
      <c r="G62" s="21"/>
      <c r="H62" s="21"/>
      <c r="I62" s="21"/>
      <c r="J62" s="21"/>
      <c r="K62" s="21"/>
      <c r="L62" s="21"/>
      <c r="M62" s="21"/>
      <c r="N62" s="21"/>
      <c r="O62" s="21"/>
      <c r="P62" s="21"/>
      <c r="Q62" s="21"/>
      <c r="R62" s="21"/>
      <c r="S62" s="21"/>
      <c r="T62" s="21"/>
      <c r="U62" s="21"/>
      <c r="V62" s="21"/>
      <c r="W62" s="21"/>
      <c r="X62" s="21"/>
      <c r="Y62" s="21"/>
      <c r="Z62" s="21"/>
      <c r="AA62" s="21"/>
    </row>
    <row r="63" spans="1:27" ht="15" x14ac:dyDescent="0.15">
      <c r="A63" s="21"/>
      <c r="B63" s="64"/>
      <c r="C63" s="43"/>
      <c r="D63" s="43"/>
      <c r="E63" s="21"/>
      <c r="F63" s="21"/>
      <c r="G63" s="21"/>
      <c r="H63" s="21"/>
      <c r="I63" s="21"/>
      <c r="J63" s="21"/>
      <c r="K63" s="21"/>
      <c r="L63" s="21"/>
      <c r="M63" s="21"/>
      <c r="N63" s="21"/>
      <c r="O63" s="21"/>
      <c r="P63" s="21"/>
      <c r="Q63" s="21"/>
      <c r="R63" s="21"/>
      <c r="S63" s="21"/>
      <c r="T63" s="21"/>
      <c r="U63" s="21"/>
      <c r="V63" s="21"/>
      <c r="W63" s="21"/>
      <c r="X63" s="21"/>
      <c r="Y63" s="21"/>
      <c r="Z63" s="21"/>
      <c r="AA63" s="21"/>
    </row>
    <row r="64" spans="1:27" ht="15" x14ac:dyDescent="0.15">
      <c r="A64" s="21"/>
      <c r="B64" s="64"/>
      <c r="C64" s="43"/>
      <c r="D64" s="43"/>
      <c r="E64" s="21"/>
      <c r="F64" s="21"/>
      <c r="G64" s="21"/>
      <c r="H64" s="21"/>
      <c r="I64" s="21"/>
      <c r="J64" s="21"/>
      <c r="K64" s="21"/>
      <c r="L64" s="21"/>
      <c r="M64" s="21"/>
      <c r="N64" s="21"/>
      <c r="O64" s="21"/>
      <c r="P64" s="21"/>
      <c r="Q64" s="21"/>
      <c r="R64" s="21"/>
      <c r="S64" s="21"/>
      <c r="T64" s="21"/>
      <c r="U64" s="21"/>
      <c r="V64" s="21"/>
      <c r="W64" s="21"/>
      <c r="X64" s="21"/>
      <c r="Y64" s="21"/>
      <c r="Z64" s="21"/>
      <c r="AA64" s="21"/>
    </row>
    <row r="65" spans="1:27" ht="15" x14ac:dyDescent="0.15">
      <c r="A65" s="21"/>
      <c r="B65" s="64"/>
      <c r="C65" s="43"/>
      <c r="D65" s="43"/>
      <c r="E65" s="21"/>
      <c r="F65" s="21"/>
      <c r="G65" s="21"/>
      <c r="H65" s="21"/>
      <c r="I65" s="21"/>
      <c r="J65" s="21"/>
      <c r="K65" s="21"/>
      <c r="L65" s="21"/>
      <c r="M65" s="21"/>
      <c r="N65" s="21"/>
      <c r="O65" s="21"/>
      <c r="P65" s="21"/>
      <c r="Q65" s="21"/>
      <c r="R65" s="21"/>
      <c r="S65" s="21"/>
      <c r="T65" s="21"/>
      <c r="U65" s="21"/>
      <c r="V65" s="21"/>
      <c r="W65" s="21"/>
      <c r="X65" s="21"/>
      <c r="Y65" s="21"/>
      <c r="Z65" s="21"/>
      <c r="AA65" s="21"/>
    </row>
    <row r="66" spans="1:27" ht="15" x14ac:dyDescent="0.15">
      <c r="A66" s="21"/>
      <c r="B66" s="64"/>
      <c r="C66" s="43"/>
      <c r="D66" s="43"/>
      <c r="E66" s="21"/>
      <c r="F66" s="21"/>
      <c r="G66" s="21"/>
      <c r="H66" s="21"/>
      <c r="I66" s="21"/>
      <c r="J66" s="21"/>
      <c r="K66" s="21"/>
      <c r="L66" s="21"/>
      <c r="M66" s="21"/>
      <c r="N66" s="21"/>
      <c r="O66" s="21"/>
      <c r="P66" s="21"/>
      <c r="Q66" s="21"/>
      <c r="R66" s="21"/>
      <c r="S66" s="21"/>
      <c r="T66" s="21"/>
      <c r="U66" s="21"/>
      <c r="V66" s="21"/>
      <c r="W66" s="21"/>
      <c r="X66" s="21"/>
      <c r="Y66" s="21"/>
      <c r="Z66" s="21"/>
      <c r="AA66" s="21"/>
    </row>
    <row r="67" spans="1:27" ht="15" x14ac:dyDescent="0.15">
      <c r="A67" s="21"/>
      <c r="B67" s="64"/>
      <c r="C67" s="43"/>
      <c r="D67" s="43"/>
      <c r="E67" s="21"/>
      <c r="F67" s="21"/>
      <c r="G67" s="21"/>
      <c r="H67" s="21"/>
      <c r="I67" s="21"/>
      <c r="J67" s="21"/>
      <c r="K67" s="21"/>
      <c r="L67" s="21"/>
      <c r="M67" s="21"/>
      <c r="N67" s="21"/>
      <c r="O67" s="21"/>
      <c r="P67" s="21"/>
      <c r="Q67" s="21"/>
      <c r="R67" s="21"/>
      <c r="S67" s="21"/>
      <c r="T67" s="21"/>
      <c r="U67" s="21"/>
      <c r="V67" s="21"/>
      <c r="W67" s="21"/>
      <c r="X67" s="21"/>
      <c r="Y67" s="21"/>
      <c r="Z67" s="21"/>
      <c r="AA67" s="21"/>
    </row>
    <row r="68" spans="1:27" ht="15" x14ac:dyDescent="0.15">
      <c r="A68" s="21"/>
      <c r="B68" s="64"/>
      <c r="C68" s="43"/>
      <c r="D68" s="43"/>
      <c r="E68" s="21"/>
      <c r="F68" s="21"/>
      <c r="G68" s="21"/>
      <c r="H68" s="21"/>
      <c r="I68" s="21"/>
      <c r="J68" s="21"/>
      <c r="K68" s="21"/>
      <c r="L68" s="21"/>
      <c r="M68" s="21"/>
      <c r="N68" s="21"/>
      <c r="O68" s="21"/>
      <c r="P68" s="21"/>
      <c r="Q68" s="21"/>
      <c r="R68" s="21"/>
      <c r="S68" s="21"/>
      <c r="T68" s="21"/>
      <c r="U68" s="21"/>
      <c r="V68" s="21"/>
      <c r="W68" s="21"/>
      <c r="X68" s="21"/>
      <c r="Y68" s="21"/>
      <c r="Z68" s="21"/>
      <c r="AA68" s="21"/>
    </row>
    <row r="69" spans="1:27" ht="15" x14ac:dyDescent="0.15">
      <c r="A69" s="21"/>
      <c r="B69" s="64"/>
      <c r="C69" s="43"/>
      <c r="D69" s="43"/>
      <c r="E69" s="21"/>
      <c r="F69" s="21"/>
      <c r="G69" s="21"/>
      <c r="H69" s="21"/>
      <c r="I69" s="21"/>
      <c r="J69" s="21"/>
      <c r="K69" s="21"/>
      <c r="L69" s="21"/>
      <c r="M69" s="21"/>
      <c r="N69" s="21"/>
      <c r="O69" s="21"/>
      <c r="P69" s="21"/>
      <c r="Q69" s="21"/>
      <c r="R69" s="21"/>
      <c r="S69" s="21"/>
      <c r="T69" s="21"/>
      <c r="U69" s="21"/>
      <c r="V69" s="21"/>
      <c r="W69" s="21"/>
      <c r="X69" s="21"/>
      <c r="Y69" s="21"/>
      <c r="Z69" s="21"/>
      <c r="AA69" s="21"/>
    </row>
    <row r="70" spans="1:27" ht="15" x14ac:dyDescent="0.15">
      <c r="A70" s="21"/>
      <c r="B70" s="64"/>
      <c r="C70" s="43"/>
      <c r="D70" s="43"/>
      <c r="E70" s="21"/>
      <c r="F70" s="21"/>
      <c r="G70" s="21"/>
      <c r="H70" s="21"/>
      <c r="I70" s="21"/>
      <c r="J70" s="21"/>
      <c r="K70" s="21"/>
      <c r="L70" s="21"/>
      <c r="M70" s="21"/>
      <c r="N70" s="21"/>
      <c r="O70" s="21"/>
      <c r="P70" s="21"/>
      <c r="Q70" s="21"/>
      <c r="R70" s="21"/>
      <c r="S70" s="21"/>
      <c r="T70" s="21"/>
      <c r="U70" s="21"/>
      <c r="V70" s="21"/>
      <c r="W70" s="21"/>
      <c r="X70" s="21"/>
      <c r="Y70" s="21"/>
      <c r="Z70" s="21"/>
      <c r="AA70" s="21"/>
    </row>
    <row r="71" spans="1:27" ht="15" x14ac:dyDescent="0.15">
      <c r="A71" s="21"/>
      <c r="B71" s="64"/>
      <c r="C71" s="43"/>
      <c r="D71" s="43"/>
      <c r="E71" s="21"/>
      <c r="F71" s="21"/>
      <c r="G71" s="21"/>
      <c r="H71" s="21"/>
      <c r="I71" s="21"/>
      <c r="J71" s="21"/>
      <c r="K71" s="21"/>
      <c r="L71" s="21"/>
      <c r="M71" s="21"/>
      <c r="N71" s="21"/>
      <c r="O71" s="21"/>
      <c r="P71" s="21"/>
      <c r="Q71" s="21"/>
      <c r="R71" s="21"/>
      <c r="S71" s="21"/>
      <c r="T71" s="21"/>
      <c r="U71" s="21"/>
      <c r="V71" s="21"/>
      <c r="W71" s="21"/>
      <c r="X71" s="21"/>
      <c r="Y71" s="21"/>
      <c r="Z71" s="21"/>
      <c r="AA71" s="21"/>
    </row>
    <row r="72" spans="1:27" ht="15" x14ac:dyDescent="0.15">
      <c r="A72" s="21"/>
      <c r="B72" s="64"/>
      <c r="C72" s="43"/>
      <c r="D72" s="43"/>
      <c r="E72" s="21"/>
      <c r="F72" s="21"/>
      <c r="G72" s="21"/>
      <c r="H72" s="21"/>
      <c r="I72" s="21"/>
      <c r="J72" s="21"/>
      <c r="K72" s="21"/>
      <c r="L72" s="21"/>
      <c r="M72" s="21"/>
      <c r="N72" s="21"/>
      <c r="O72" s="21"/>
      <c r="P72" s="21"/>
      <c r="Q72" s="21"/>
      <c r="R72" s="21"/>
      <c r="S72" s="21"/>
      <c r="T72" s="21"/>
      <c r="U72" s="21"/>
      <c r="V72" s="21"/>
      <c r="W72" s="21"/>
      <c r="X72" s="21"/>
      <c r="Y72" s="21"/>
      <c r="Z72" s="21"/>
      <c r="AA72" s="21"/>
    </row>
    <row r="73" spans="1:27" ht="15" x14ac:dyDescent="0.15">
      <c r="A73" s="21"/>
      <c r="B73" s="64"/>
      <c r="C73" s="43"/>
      <c r="D73" s="43"/>
      <c r="E73" s="21"/>
      <c r="F73" s="21"/>
      <c r="G73" s="21"/>
      <c r="H73" s="21"/>
      <c r="I73" s="21"/>
      <c r="J73" s="21"/>
      <c r="K73" s="21"/>
      <c r="L73" s="21"/>
      <c r="M73" s="21"/>
      <c r="N73" s="21"/>
      <c r="O73" s="21"/>
      <c r="P73" s="21"/>
      <c r="Q73" s="21"/>
      <c r="R73" s="21"/>
      <c r="S73" s="21"/>
      <c r="T73" s="21"/>
      <c r="U73" s="21"/>
      <c r="V73" s="21"/>
      <c r="W73" s="21"/>
      <c r="X73" s="21"/>
      <c r="Y73" s="21"/>
      <c r="Z73" s="21"/>
      <c r="AA73" s="21"/>
    </row>
    <row r="74" spans="1:27" ht="15" x14ac:dyDescent="0.15">
      <c r="A74" s="21"/>
      <c r="B74" s="64"/>
      <c r="C74" s="43"/>
      <c r="D74" s="43"/>
      <c r="E74" s="21"/>
      <c r="F74" s="21"/>
      <c r="G74" s="21"/>
      <c r="H74" s="21"/>
      <c r="I74" s="21"/>
      <c r="J74" s="21"/>
      <c r="K74" s="21"/>
      <c r="L74" s="21"/>
      <c r="M74" s="21"/>
      <c r="N74" s="21"/>
      <c r="O74" s="21"/>
      <c r="P74" s="21"/>
      <c r="Q74" s="21"/>
      <c r="R74" s="21"/>
      <c r="S74" s="21"/>
      <c r="T74" s="21"/>
      <c r="U74" s="21"/>
      <c r="V74" s="21"/>
      <c r="W74" s="21"/>
      <c r="X74" s="21"/>
      <c r="Y74" s="21"/>
      <c r="Z74" s="21"/>
      <c r="AA74" s="21"/>
    </row>
    <row r="75" spans="1:27" ht="15" x14ac:dyDescent="0.15">
      <c r="A75" s="21"/>
      <c r="B75" s="64"/>
      <c r="C75" s="43"/>
      <c r="D75" s="43"/>
      <c r="E75" s="21"/>
      <c r="F75" s="21"/>
      <c r="G75" s="21"/>
      <c r="H75" s="21"/>
      <c r="I75" s="21"/>
      <c r="J75" s="21"/>
      <c r="K75" s="21"/>
      <c r="L75" s="21"/>
      <c r="M75" s="21"/>
      <c r="N75" s="21"/>
      <c r="O75" s="21"/>
      <c r="P75" s="21"/>
      <c r="Q75" s="21"/>
      <c r="R75" s="21"/>
      <c r="S75" s="21"/>
      <c r="T75" s="21"/>
      <c r="U75" s="21"/>
      <c r="V75" s="21"/>
      <c r="W75" s="21"/>
      <c r="X75" s="21"/>
      <c r="Y75" s="21"/>
      <c r="Z75" s="21"/>
      <c r="AA75" s="21"/>
    </row>
    <row r="76" spans="1:27" ht="15" x14ac:dyDescent="0.15">
      <c r="A76" s="21"/>
      <c r="B76" s="64"/>
      <c r="C76" s="43"/>
      <c r="D76" s="43"/>
      <c r="E76" s="21"/>
      <c r="F76" s="21"/>
      <c r="G76" s="21"/>
      <c r="H76" s="21"/>
      <c r="I76" s="21"/>
      <c r="J76" s="21"/>
      <c r="K76" s="21"/>
      <c r="L76" s="21"/>
      <c r="M76" s="21"/>
      <c r="N76" s="21"/>
      <c r="O76" s="21"/>
      <c r="P76" s="21"/>
      <c r="Q76" s="21"/>
      <c r="R76" s="21"/>
      <c r="S76" s="21"/>
      <c r="T76" s="21"/>
      <c r="U76" s="21"/>
      <c r="V76" s="21"/>
      <c r="W76" s="21"/>
      <c r="X76" s="21"/>
      <c r="Y76" s="21"/>
      <c r="Z76" s="21"/>
      <c r="AA76" s="21"/>
    </row>
    <row r="77" spans="1:27" ht="15" x14ac:dyDescent="0.15">
      <c r="A77" s="21"/>
      <c r="B77" s="64"/>
      <c r="C77" s="43"/>
      <c r="D77" s="43"/>
      <c r="E77" s="21"/>
      <c r="F77" s="21"/>
      <c r="G77" s="21"/>
      <c r="H77" s="21"/>
      <c r="I77" s="21"/>
      <c r="J77" s="21"/>
      <c r="K77" s="21"/>
      <c r="L77" s="21"/>
      <c r="M77" s="21"/>
      <c r="N77" s="21"/>
      <c r="O77" s="21"/>
      <c r="P77" s="21"/>
      <c r="Q77" s="21"/>
      <c r="R77" s="21"/>
      <c r="S77" s="21"/>
      <c r="T77" s="21"/>
      <c r="U77" s="21"/>
      <c r="V77" s="21"/>
      <c r="W77" s="21"/>
      <c r="X77" s="21"/>
      <c r="Y77" s="21"/>
      <c r="Z77" s="21"/>
      <c r="AA77" s="21"/>
    </row>
    <row r="78" spans="1:27" ht="15" x14ac:dyDescent="0.15">
      <c r="A78" s="21"/>
      <c r="B78" s="64"/>
      <c r="C78" s="43"/>
      <c r="D78" s="43"/>
      <c r="E78" s="21"/>
      <c r="F78" s="21"/>
      <c r="G78" s="21"/>
      <c r="H78" s="21"/>
      <c r="I78" s="21"/>
      <c r="J78" s="21"/>
      <c r="K78" s="21"/>
      <c r="L78" s="21"/>
      <c r="M78" s="21"/>
      <c r="N78" s="21"/>
      <c r="O78" s="21"/>
      <c r="P78" s="21"/>
      <c r="Q78" s="21"/>
      <c r="R78" s="21"/>
      <c r="S78" s="21"/>
      <c r="T78" s="21"/>
      <c r="U78" s="21"/>
      <c r="V78" s="21"/>
      <c r="W78" s="21"/>
      <c r="X78" s="21"/>
      <c r="Y78" s="21"/>
      <c r="Z78" s="21"/>
      <c r="AA78" s="21"/>
    </row>
    <row r="79" spans="1:27" ht="15" x14ac:dyDescent="0.15">
      <c r="A79" s="21"/>
      <c r="B79" s="64"/>
      <c r="C79" s="43"/>
      <c r="D79" s="43"/>
      <c r="E79" s="21"/>
      <c r="F79" s="21"/>
      <c r="G79" s="21"/>
      <c r="H79" s="21"/>
      <c r="I79" s="21"/>
      <c r="J79" s="21"/>
      <c r="K79" s="21"/>
      <c r="L79" s="21"/>
      <c r="M79" s="21"/>
      <c r="N79" s="21"/>
      <c r="O79" s="21"/>
      <c r="P79" s="21"/>
      <c r="Q79" s="21"/>
      <c r="R79" s="21"/>
      <c r="S79" s="21"/>
      <c r="T79" s="21"/>
      <c r="U79" s="21"/>
      <c r="V79" s="21"/>
      <c r="W79" s="21"/>
      <c r="X79" s="21"/>
      <c r="Y79" s="21"/>
      <c r="Z79" s="21"/>
      <c r="AA79" s="21"/>
    </row>
    <row r="80" spans="1:27" ht="15" x14ac:dyDescent="0.15">
      <c r="A80" s="21"/>
      <c r="B80" s="64"/>
      <c r="C80" s="43"/>
      <c r="D80" s="43"/>
      <c r="E80" s="21"/>
      <c r="F80" s="21"/>
      <c r="G80" s="21"/>
      <c r="H80" s="21"/>
      <c r="I80" s="21"/>
      <c r="J80" s="21"/>
      <c r="K80" s="21"/>
      <c r="L80" s="21"/>
      <c r="M80" s="21"/>
      <c r="N80" s="21"/>
      <c r="O80" s="21"/>
      <c r="P80" s="21"/>
      <c r="Q80" s="21"/>
      <c r="R80" s="21"/>
      <c r="S80" s="21"/>
      <c r="T80" s="21"/>
      <c r="U80" s="21"/>
      <c r="V80" s="21"/>
      <c r="W80" s="21"/>
      <c r="X80" s="21"/>
      <c r="Y80" s="21"/>
      <c r="Z80" s="21"/>
      <c r="AA80" s="21"/>
    </row>
    <row r="81" spans="1:27" ht="15" x14ac:dyDescent="0.15">
      <c r="A81" s="21"/>
      <c r="B81" s="64"/>
      <c r="C81" s="43"/>
      <c r="D81" s="43"/>
      <c r="E81" s="21"/>
      <c r="F81" s="21"/>
      <c r="G81" s="21"/>
      <c r="H81" s="21"/>
      <c r="I81" s="21"/>
      <c r="J81" s="21"/>
      <c r="K81" s="21"/>
      <c r="L81" s="21"/>
      <c r="M81" s="21"/>
      <c r="N81" s="21"/>
      <c r="O81" s="21"/>
      <c r="P81" s="21"/>
      <c r="Q81" s="21"/>
      <c r="R81" s="21"/>
      <c r="S81" s="21"/>
      <c r="T81" s="21"/>
      <c r="U81" s="21"/>
      <c r="V81" s="21"/>
      <c r="W81" s="21"/>
      <c r="X81" s="21"/>
      <c r="Y81" s="21"/>
      <c r="Z81" s="21"/>
      <c r="AA81" s="21"/>
    </row>
    <row r="82" spans="1:27" ht="15" x14ac:dyDescent="0.15">
      <c r="A82" s="21"/>
      <c r="B82" s="64"/>
      <c r="C82" s="43"/>
      <c r="D82" s="43"/>
      <c r="E82" s="21"/>
      <c r="F82" s="21"/>
      <c r="G82" s="21"/>
      <c r="H82" s="21"/>
      <c r="I82" s="21"/>
      <c r="J82" s="21"/>
      <c r="K82" s="21"/>
      <c r="L82" s="21"/>
      <c r="M82" s="21"/>
      <c r="N82" s="21"/>
      <c r="O82" s="21"/>
      <c r="P82" s="21"/>
      <c r="Q82" s="21"/>
      <c r="R82" s="21"/>
      <c r="S82" s="21"/>
      <c r="T82" s="21"/>
      <c r="U82" s="21"/>
      <c r="V82" s="21"/>
      <c r="W82" s="21"/>
      <c r="X82" s="21"/>
      <c r="Y82" s="21"/>
      <c r="Z82" s="21"/>
      <c r="AA82" s="21"/>
    </row>
    <row r="83" spans="1:27" ht="15" x14ac:dyDescent="0.15">
      <c r="A83" s="21"/>
      <c r="B83" s="64"/>
      <c r="C83" s="43"/>
      <c r="D83" s="43"/>
      <c r="E83" s="21"/>
      <c r="F83" s="21"/>
      <c r="G83" s="21"/>
      <c r="H83" s="21"/>
      <c r="I83" s="21"/>
      <c r="J83" s="21"/>
      <c r="K83" s="21"/>
      <c r="L83" s="21"/>
      <c r="M83" s="21"/>
      <c r="N83" s="21"/>
      <c r="O83" s="21"/>
      <c r="P83" s="21"/>
      <c r="Q83" s="21"/>
      <c r="R83" s="21"/>
      <c r="S83" s="21"/>
      <c r="T83" s="21"/>
      <c r="U83" s="21"/>
      <c r="V83" s="21"/>
      <c r="W83" s="21"/>
      <c r="X83" s="21"/>
      <c r="Y83" s="21"/>
      <c r="Z83" s="21"/>
      <c r="AA83" s="21"/>
    </row>
    <row r="84" spans="1:27" ht="15" x14ac:dyDescent="0.15">
      <c r="A84" s="21"/>
      <c r="B84" s="64"/>
      <c r="C84" s="43"/>
      <c r="D84" s="43"/>
      <c r="E84" s="21"/>
      <c r="F84" s="21"/>
      <c r="G84" s="21"/>
      <c r="H84" s="21"/>
      <c r="I84" s="21"/>
      <c r="J84" s="21"/>
      <c r="K84" s="21"/>
      <c r="L84" s="21"/>
      <c r="M84" s="21"/>
      <c r="N84" s="21"/>
      <c r="O84" s="21"/>
      <c r="P84" s="21"/>
      <c r="Q84" s="21"/>
      <c r="R84" s="21"/>
      <c r="S84" s="21"/>
      <c r="T84" s="21"/>
      <c r="U84" s="21"/>
      <c r="V84" s="21"/>
      <c r="W84" s="21"/>
      <c r="X84" s="21"/>
      <c r="Y84" s="21"/>
      <c r="Z84" s="21"/>
      <c r="AA84" s="21"/>
    </row>
    <row r="85" spans="1:27" ht="15" x14ac:dyDescent="0.15">
      <c r="A85" s="21"/>
      <c r="B85" s="64"/>
      <c r="C85" s="43"/>
      <c r="D85" s="43"/>
      <c r="E85" s="21"/>
      <c r="F85" s="21"/>
      <c r="G85" s="21"/>
      <c r="H85" s="21"/>
      <c r="I85" s="21"/>
      <c r="J85" s="21"/>
      <c r="K85" s="21"/>
      <c r="L85" s="21"/>
      <c r="M85" s="21"/>
      <c r="N85" s="21"/>
      <c r="O85" s="21"/>
      <c r="P85" s="21"/>
      <c r="Q85" s="21"/>
      <c r="R85" s="21"/>
      <c r="S85" s="21"/>
      <c r="T85" s="21"/>
      <c r="U85" s="21"/>
      <c r="V85" s="21"/>
      <c r="W85" s="21"/>
      <c r="X85" s="21"/>
      <c r="Y85" s="21"/>
      <c r="Z85" s="21"/>
      <c r="AA85" s="21"/>
    </row>
    <row r="86" spans="1:27" ht="15" x14ac:dyDescent="0.15">
      <c r="A86" s="21"/>
      <c r="B86" s="64"/>
      <c r="C86" s="43"/>
      <c r="D86" s="43"/>
      <c r="E86" s="21"/>
      <c r="F86" s="21"/>
      <c r="G86" s="21"/>
      <c r="H86" s="21"/>
      <c r="I86" s="21"/>
      <c r="J86" s="21"/>
      <c r="K86" s="21"/>
      <c r="L86" s="21"/>
      <c r="M86" s="21"/>
      <c r="N86" s="21"/>
      <c r="O86" s="21"/>
      <c r="P86" s="21"/>
      <c r="Q86" s="21"/>
      <c r="R86" s="21"/>
      <c r="S86" s="21"/>
      <c r="T86" s="21"/>
      <c r="U86" s="21"/>
      <c r="V86" s="21"/>
      <c r="W86" s="21"/>
      <c r="X86" s="21"/>
      <c r="Y86" s="21"/>
      <c r="Z86" s="21"/>
      <c r="AA86" s="21"/>
    </row>
    <row r="87" spans="1:27" ht="15" x14ac:dyDescent="0.15">
      <c r="A87" s="21"/>
      <c r="B87" s="64"/>
      <c r="C87" s="43"/>
      <c r="D87" s="43"/>
      <c r="E87" s="21"/>
      <c r="F87" s="21"/>
      <c r="G87" s="21"/>
      <c r="H87" s="21"/>
      <c r="I87" s="21"/>
      <c r="J87" s="21"/>
      <c r="K87" s="21"/>
      <c r="L87" s="21"/>
      <c r="M87" s="21"/>
      <c r="N87" s="21"/>
      <c r="O87" s="21"/>
      <c r="P87" s="21"/>
      <c r="Q87" s="21"/>
      <c r="R87" s="21"/>
      <c r="S87" s="21"/>
      <c r="T87" s="21"/>
      <c r="U87" s="21"/>
      <c r="V87" s="21"/>
      <c r="W87" s="21"/>
      <c r="X87" s="21"/>
      <c r="Y87" s="21"/>
      <c r="Z87" s="21"/>
      <c r="AA87" s="21"/>
    </row>
    <row r="88" spans="1:27" ht="15" x14ac:dyDescent="0.15">
      <c r="A88" s="21"/>
      <c r="B88" s="64"/>
      <c r="C88" s="43"/>
      <c r="D88" s="43"/>
      <c r="E88" s="21"/>
      <c r="F88" s="21"/>
      <c r="G88" s="21"/>
      <c r="H88" s="21"/>
      <c r="I88" s="21"/>
      <c r="J88" s="21"/>
      <c r="K88" s="21"/>
      <c r="L88" s="21"/>
      <c r="M88" s="21"/>
      <c r="N88" s="21"/>
      <c r="O88" s="21"/>
      <c r="P88" s="21"/>
      <c r="Q88" s="21"/>
      <c r="R88" s="21"/>
      <c r="S88" s="21"/>
      <c r="T88" s="21"/>
      <c r="U88" s="21"/>
      <c r="V88" s="21"/>
      <c r="W88" s="21"/>
      <c r="X88" s="21"/>
      <c r="Y88" s="21"/>
      <c r="Z88" s="21"/>
      <c r="AA88" s="21"/>
    </row>
    <row r="89" spans="1:27" ht="15" x14ac:dyDescent="0.15">
      <c r="A89" s="21"/>
      <c r="B89" s="64"/>
      <c r="C89" s="43"/>
      <c r="D89" s="43"/>
      <c r="E89" s="21"/>
      <c r="F89" s="21"/>
      <c r="G89" s="21"/>
      <c r="H89" s="21"/>
      <c r="I89" s="21"/>
      <c r="J89" s="21"/>
      <c r="K89" s="21"/>
      <c r="L89" s="21"/>
      <c r="M89" s="21"/>
      <c r="N89" s="21"/>
      <c r="O89" s="21"/>
      <c r="P89" s="21"/>
      <c r="Q89" s="21"/>
      <c r="R89" s="21"/>
      <c r="S89" s="21"/>
      <c r="T89" s="21"/>
      <c r="U89" s="21"/>
      <c r="V89" s="21"/>
      <c r="W89" s="21"/>
      <c r="X89" s="21"/>
      <c r="Y89" s="21"/>
      <c r="Z89" s="21"/>
      <c r="AA89" s="21"/>
    </row>
    <row r="90" spans="1:27" ht="15" x14ac:dyDescent="0.15">
      <c r="A90" s="21"/>
      <c r="B90" s="64"/>
      <c r="C90" s="43"/>
      <c r="D90" s="43"/>
      <c r="E90" s="21"/>
      <c r="F90" s="21"/>
      <c r="G90" s="21"/>
      <c r="H90" s="21"/>
      <c r="I90" s="21"/>
      <c r="J90" s="21"/>
      <c r="K90" s="21"/>
      <c r="L90" s="21"/>
      <c r="M90" s="21"/>
      <c r="N90" s="21"/>
      <c r="O90" s="21"/>
      <c r="P90" s="21"/>
      <c r="Q90" s="21"/>
      <c r="R90" s="21"/>
      <c r="S90" s="21"/>
      <c r="T90" s="21"/>
      <c r="U90" s="21"/>
      <c r="V90" s="21"/>
      <c r="W90" s="21"/>
      <c r="X90" s="21"/>
      <c r="Y90" s="21"/>
      <c r="Z90" s="21"/>
      <c r="AA90" s="21"/>
    </row>
    <row r="91" spans="1:27" ht="15" x14ac:dyDescent="0.15">
      <c r="A91" s="21"/>
      <c r="B91" s="64"/>
      <c r="C91" s="43"/>
      <c r="D91" s="43"/>
      <c r="E91" s="21"/>
      <c r="F91" s="21"/>
      <c r="G91" s="21"/>
      <c r="H91" s="21"/>
      <c r="I91" s="21"/>
      <c r="J91" s="21"/>
      <c r="K91" s="21"/>
      <c r="L91" s="21"/>
      <c r="M91" s="21"/>
      <c r="N91" s="21"/>
      <c r="O91" s="21"/>
      <c r="P91" s="21"/>
      <c r="Q91" s="21"/>
      <c r="R91" s="21"/>
      <c r="S91" s="21"/>
      <c r="T91" s="21"/>
      <c r="U91" s="21"/>
      <c r="V91" s="21"/>
      <c r="W91" s="21"/>
      <c r="X91" s="21"/>
      <c r="Y91" s="21"/>
      <c r="Z91" s="21"/>
      <c r="AA91" s="21"/>
    </row>
    <row r="92" spans="1:27" ht="15" x14ac:dyDescent="0.15">
      <c r="A92" s="21"/>
      <c r="B92" s="64"/>
      <c r="C92" s="43"/>
      <c r="D92" s="43"/>
      <c r="E92" s="21"/>
      <c r="F92" s="21"/>
      <c r="G92" s="21"/>
      <c r="H92" s="21"/>
      <c r="I92" s="21"/>
      <c r="J92" s="21"/>
      <c r="K92" s="21"/>
      <c r="L92" s="21"/>
      <c r="M92" s="21"/>
      <c r="N92" s="21"/>
      <c r="O92" s="21"/>
      <c r="P92" s="21"/>
      <c r="Q92" s="21"/>
      <c r="R92" s="21"/>
      <c r="S92" s="21"/>
      <c r="T92" s="21"/>
      <c r="U92" s="21"/>
      <c r="V92" s="21"/>
      <c r="W92" s="21"/>
      <c r="X92" s="21"/>
      <c r="Y92" s="21"/>
      <c r="Z92" s="21"/>
      <c r="AA92" s="21"/>
    </row>
    <row r="93" spans="1:27" ht="15" x14ac:dyDescent="0.15">
      <c r="A93" s="21"/>
      <c r="B93" s="64"/>
      <c r="C93" s="43"/>
      <c r="D93" s="43"/>
      <c r="E93" s="21"/>
      <c r="F93" s="21"/>
      <c r="G93" s="21"/>
      <c r="H93" s="21"/>
      <c r="I93" s="21"/>
      <c r="J93" s="21"/>
      <c r="K93" s="21"/>
      <c r="L93" s="21"/>
      <c r="M93" s="21"/>
      <c r="N93" s="21"/>
      <c r="O93" s="21"/>
      <c r="P93" s="21"/>
      <c r="Q93" s="21"/>
      <c r="R93" s="21"/>
      <c r="S93" s="21"/>
      <c r="T93" s="21"/>
      <c r="U93" s="21"/>
      <c r="V93" s="21"/>
      <c r="W93" s="21"/>
      <c r="X93" s="21"/>
      <c r="Y93" s="21"/>
      <c r="Z93" s="21"/>
      <c r="AA93" s="21"/>
    </row>
    <row r="94" spans="1:27" ht="15" x14ac:dyDescent="0.15">
      <c r="A94" s="21"/>
      <c r="B94" s="64"/>
      <c r="C94" s="43"/>
      <c r="D94" s="43"/>
      <c r="E94" s="21"/>
      <c r="F94" s="21"/>
      <c r="G94" s="21"/>
      <c r="H94" s="21"/>
      <c r="I94" s="21"/>
      <c r="J94" s="21"/>
      <c r="K94" s="21"/>
      <c r="L94" s="21"/>
      <c r="M94" s="21"/>
      <c r="N94" s="21"/>
      <c r="O94" s="21"/>
      <c r="P94" s="21"/>
      <c r="Q94" s="21"/>
      <c r="R94" s="21"/>
      <c r="S94" s="21"/>
      <c r="T94" s="21"/>
      <c r="U94" s="21"/>
      <c r="V94" s="21"/>
      <c r="W94" s="21"/>
      <c r="X94" s="21"/>
      <c r="Y94" s="21"/>
      <c r="Z94" s="21"/>
      <c r="AA94" s="21"/>
    </row>
    <row r="95" spans="1:27" ht="15" x14ac:dyDescent="0.15">
      <c r="A95" s="21"/>
      <c r="B95" s="64"/>
      <c r="C95" s="43"/>
      <c r="D95" s="43"/>
      <c r="E95" s="21"/>
      <c r="F95" s="21"/>
      <c r="G95" s="21"/>
      <c r="H95" s="21"/>
      <c r="I95" s="21"/>
      <c r="J95" s="21"/>
      <c r="K95" s="21"/>
      <c r="L95" s="21"/>
      <c r="M95" s="21"/>
      <c r="N95" s="21"/>
      <c r="O95" s="21"/>
      <c r="P95" s="21"/>
      <c r="Q95" s="21"/>
      <c r="R95" s="21"/>
      <c r="S95" s="21"/>
      <c r="T95" s="21"/>
      <c r="U95" s="21"/>
      <c r="V95" s="21"/>
      <c r="W95" s="21"/>
      <c r="X95" s="21"/>
      <c r="Y95" s="21"/>
      <c r="Z95" s="21"/>
      <c r="AA95" s="21"/>
    </row>
    <row r="96" spans="1:27" ht="15" x14ac:dyDescent="0.15">
      <c r="A96" s="21"/>
      <c r="B96" s="64"/>
      <c r="C96" s="43"/>
      <c r="D96" s="43"/>
      <c r="E96" s="21"/>
      <c r="F96" s="21"/>
      <c r="G96" s="21"/>
      <c r="H96" s="21"/>
      <c r="I96" s="21"/>
      <c r="J96" s="21"/>
      <c r="K96" s="21"/>
      <c r="L96" s="21"/>
      <c r="M96" s="21"/>
      <c r="N96" s="21"/>
      <c r="O96" s="21"/>
      <c r="P96" s="21"/>
      <c r="Q96" s="21"/>
      <c r="R96" s="21"/>
      <c r="S96" s="21"/>
      <c r="T96" s="21"/>
      <c r="U96" s="21"/>
      <c r="V96" s="21"/>
      <c r="W96" s="21"/>
      <c r="X96" s="21"/>
      <c r="Y96" s="21"/>
      <c r="Z96" s="21"/>
      <c r="AA96" s="21"/>
    </row>
    <row r="97" spans="1:27" ht="15" x14ac:dyDescent="0.15">
      <c r="A97" s="21"/>
      <c r="B97" s="64"/>
      <c r="C97" s="43"/>
      <c r="D97" s="43"/>
      <c r="E97" s="21"/>
      <c r="F97" s="21"/>
      <c r="G97" s="21"/>
      <c r="H97" s="21"/>
      <c r="I97" s="21"/>
      <c r="J97" s="21"/>
      <c r="K97" s="21"/>
      <c r="L97" s="21"/>
      <c r="M97" s="21"/>
      <c r="N97" s="21"/>
      <c r="O97" s="21"/>
      <c r="P97" s="21"/>
      <c r="Q97" s="21"/>
      <c r="R97" s="21"/>
      <c r="S97" s="21"/>
      <c r="T97" s="21"/>
      <c r="U97" s="21"/>
      <c r="V97" s="21"/>
      <c r="W97" s="21"/>
      <c r="X97" s="21"/>
      <c r="Y97" s="21"/>
      <c r="Z97" s="21"/>
      <c r="AA97" s="21"/>
    </row>
    <row r="98" spans="1:27" ht="15" x14ac:dyDescent="0.15">
      <c r="A98" s="21"/>
      <c r="B98" s="64"/>
      <c r="C98" s="43"/>
      <c r="D98" s="43"/>
      <c r="E98" s="21"/>
      <c r="F98" s="21"/>
      <c r="G98" s="21"/>
      <c r="H98" s="21"/>
      <c r="I98" s="21"/>
      <c r="J98" s="21"/>
      <c r="K98" s="21"/>
      <c r="L98" s="21"/>
      <c r="M98" s="21"/>
      <c r="N98" s="21"/>
      <c r="O98" s="21"/>
      <c r="P98" s="21"/>
      <c r="Q98" s="21"/>
      <c r="R98" s="21"/>
      <c r="S98" s="21"/>
      <c r="T98" s="21"/>
      <c r="U98" s="21"/>
      <c r="V98" s="21"/>
      <c r="W98" s="21"/>
      <c r="X98" s="21"/>
      <c r="Y98" s="21"/>
      <c r="Z98" s="21"/>
      <c r="AA98" s="21"/>
    </row>
    <row r="99" spans="1:27" ht="15" x14ac:dyDescent="0.15">
      <c r="A99" s="21"/>
      <c r="B99" s="64"/>
      <c r="C99" s="43"/>
      <c r="D99" s="43"/>
      <c r="E99" s="21"/>
      <c r="F99" s="21"/>
      <c r="G99" s="21"/>
      <c r="H99" s="21"/>
      <c r="I99" s="21"/>
      <c r="J99" s="21"/>
      <c r="K99" s="21"/>
      <c r="L99" s="21"/>
      <c r="M99" s="21"/>
      <c r="N99" s="21"/>
      <c r="O99" s="21"/>
      <c r="P99" s="21"/>
      <c r="Q99" s="21"/>
      <c r="R99" s="21"/>
      <c r="S99" s="21"/>
      <c r="T99" s="21"/>
      <c r="U99" s="21"/>
      <c r="V99" s="21"/>
      <c r="W99" s="21"/>
      <c r="X99" s="21"/>
      <c r="Y99" s="21"/>
      <c r="Z99" s="21"/>
      <c r="AA99" s="21"/>
    </row>
    <row r="100" spans="1:27" ht="15" x14ac:dyDescent="0.15">
      <c r="A100" s="21"/>
      <c r="B100" s="64"/>
      <c r="C100" s="43"/>
      <c r="D100" s="43"/>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spans="1:27" ht="15" x14ac:dyDescent="0.15">
      <c r="A101" s="21"/>
      <c r="B101" s="64"/>
      <c r="C101" s="43"/>
      <c r="D101" s="43"/>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spans="1:27" ht="15" x14ac:dyDescent="0.15">
      <c r="A102" s="21"/>
      <c r="B102" s="64"/>
      <c r="C102" s="43"/>
      <c r="D102" s="43"/>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spans="1:27" ht="15" x14ac:dyDescent="0.15">
      <c r="A103" s="21"/>
      <c r="B103" s="64"/>
      <c r="C103" s="43"/>
      <c r="D103" s="43"/>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spans="1:27" ht="15" x14ac:dyDescent="0.15">
      <c r="A104" s="21"/>
      <c r="B104" s="64"/>
      <c r="C104" s="43"/>
      <c r="D104" s="43"/>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spans="1:27" ht="15" x14ac:dyDescent="0.15">
      <c r="A105" s="21"/>
      <c r="B105" s="64"/>
      <c r="C105" s="43"/>
      <c r="D105" s="43"/>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spans="1:27" ht="15" x14ac:dyDescent="0.15">
      <c r="A106" s="21"/>
      <c r="B106" s="64"/>
      <c r="C106" s="43"/>
      <c r="D106" s="43"/>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spans="1:27" ht="15" x14ac:dyDescent="0.15">
      <c r="A107" s="21"/>
      <c r="B107" s="64"/>
      <c r="C107" s="43"/>
      <c r="D107" s="43"/>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spans="1:27" ht="15" x14ac:dyDescent="0.15">
      <c r="A108" s="21"/>
      <c r="B108" s="64"/>
      <c r="C108" s="43"/>
      <c r="D108" s="43"/>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spans="1:27" ht="15" x14ac:dyDescent="0.15">
      <c r="A109" s="21"/>
      <c r="B109" s="64"/>
      <c r="C109" s="43"/>
      <c r="D109" s="43"/>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spans="1:27" ht="15" x14ac:dyDescent="0.15">
      <c r="A110" s="21"/>
      <c r="B110" s="64"/>
      <c r="C110" s="43"/>
      <c r="D110" s="43"/>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spans="1:27" ht="15" x14ac:dyDescent="0.15">
      <c r="A111" s="21"/>
      <c r="B111" s="64"/>
      <c r="C111" s="43"/>
      <c r="D111" s="43"/>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spans="1:27" ht="15" x14ac:dyDescent="0.15">
      <c r="A112" s="21"/>
      <c r="B112" s="64"/>
      <c r="C112" s="43"/>
      <c r="D112" s="43"/>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spans="1:27" ht="15" x14ac:dyDescent="0.15">
      <c r="A113" s="21"/>
      <c r="B113" s="64"/>
      <c r="C113" s="43"/>
      <c r="D113" s="43"/>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spans="1:27" ht="15" x14ac:dyDescent="0.15">
      <c r="A114" s="21"/>
      <c r="B114" s="64"/>
      <c r="C114" s="43"/>
      <c r="D114" s="43"/>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spans="1:27" ht="15" x14ac:dyDescent="0.15">
      <c r="A115" s="21"/>
      <c r="B115" s="64"/>
      <c r="C115" s="43"/>
      <c r="D115" s="43"/>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spans="1:27" ht="15" x14ac:dyDescent="0.15">
      <c r="A116" s="21"/>
      <c r="B116" s="64"/>
      <c r="C116" s="43"/>
      <c r="D116" s="43"/>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spans="1:27" ht="15" x14ac:dyDescent="0.15">
      <c r="A117" s="21"/>
      <c r="B117" s="64"/>
      <c r="C117" s="43"/>
      <c r="D117" s="43"/>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spans="1:27" ht="15" x14ac:dyDescent="0.15">
      <c r="A118" s="21"/>
      <c r="B118" s="64"/>
      <c r="C118" s="43"/>
      <c r="D118" s="43"/>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spans="1:27" ht="15" x14ac:dyDescent="0.15">
      <c r="A119" s="21"/>
      <c r="B119" s="64"/>
      <c r="C119" s="43"/>
      <c r="D119" s="43"/>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spans="1:27" ht="15" x14ac:dyDescent="0.15">
      <c r="A120" s="21"/>
      <c r="B120" s="64"/>
      <c r="C120" s="43"/>
      <c r="D120" s="43"/>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spans="1:27" ht="15" x14ac:dyDescent="0.15">
      <c r="A121" s="21"/>
      <c r="B121" s="64"/>
      <c r="C121" s="43"/>
      <c r="D121" s="43"/>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spans="1:27" ht="15" x14ac:dyDescent="0.15">
      <c r="A122" s="21"/>
      <c r="B122" s="64"/>
      <c r="C122" s="43"/>
      <c r="D122" s="43"/>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spans="1:27" ht="15" x14ac:dyDescent="0.15">
      <c r="A123" s="21"/>
      <c r="B123" s="64"/>
      <c r="C123" s="43"/>
      <c r="D123" s="43"/>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spans="1:27" ht="15" x14ac:dyDescent="0.15">
      <c r="A124" s="21"/>
      <c r="B124" s="64"/>
      <c r="C124" s="43"/>
      <c r="D124" s="43"/>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spans="1:27" ht="15" x14ac:dyDescent="0.15">
      <c r="A125" s="21"/>
      <c r="B125" s="64"/>
      <c r="C125" s="43"/>
      <c r="D125" s="43"/>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spans="1:27" ht="15" x14ac:dyDescent="0.15">
      <c r="A126" s="21"/>
      <c r="B126" s="64"/>
      <c r="C126" s="43"/>
      <c r="D126" s="43"/>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spans="1:27" ht="15" x14ac:dyDescent="0.15">
      <c r="A127" s="21"/>
      <c r="B127" s="64"/>
      <c r="C127" s="43"/>
      <c r="D127" s="43"/>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spans="1:27" ht="15" x14ac:dyDescent="0.15">
      <c r="A128" s="21"/>
      <c r="B128" s="64"/>
      <c r="C128" s="43"/>
      <c r="D128" s="43"/>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spans="1:27" ht="15" x14ac:dyDescent="0.15">
      <c r="A129" s="21"/>
      <c r="B129" s="64"/>
      <c r="C129" s="43"/>
      <c r="D129" s="43"/>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spans="1:27" ht="15" x14ac:dyDescent="0.15">
      <c r="A130" s="21"/>
      <c r="B130" s="64"/>
      <c r="C130" s="43"/>
      <c r="D130" s="43"/>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spans="1:27" ht="15" x14ac:dyDescent="0.15">
      <c r="A131" s="21"/>
      <c r="B131" s="64"/>
      <c r="C131" s="43"/>
      <c r="D131" s="43"/>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spans="1:27" ht="15" x14ac:dyDescent="0.15">
      <c r="A132" s="21"/>
      <c r="B132" s="64"/>
      <c r="C132" s="43"/>
      <c r="D132" s="43"/>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spans="1:27" ht="15" x14ac:dyDescent="0.15">
      <c r="A133" s="21"/>
      <c r="B133" s="64"/>
      <c r="C133" s="43"/>
      <c r="D133" s="43"/>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spans="1:27" ht="15" x14ac:dyDescent="0.15">
      <c r="A134" s="21"/>
      <c r="B134" s="64"/>
      <c r="C134" s="43"/>
      <c r="D134" s="43"/>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spans="1:27" ht="15" x14ac:dyDescent="0.15">
      <c r="A135" s="21"/>
      <c r="B135" s="64"/>
      <c r="C135" s="43"/>
      <c r="D135" s="43"/>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spans="1:27" ht="15" x14ac:dyDescent="0.15">
      <c r="A136" s="21"/>
      <c r="B136" s="64"/>
      <c r="C136" s="43"/>
      <c r="D136" s="43"/>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spans="1:27" ht="15" x14ac:dyDescent="0.15">
      <c r="A137" s="21"/>
      <c r="B137" s="64"/>
      <c r="C137" s="43"/>
      <c r="D137" s="43"/>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spans="1:27" ht="15" x14ac:dyDescent="0.15">
      <c r="A138" s="21"/>
      <c r="B138" s="64"/>
      <c r="C138" s="43"/>
      <c r="D138" s="43"/>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spans="1:27" ht="15" x14ac:dyDescent="0.15">
      <c r="A139" s="21"/>
      <c r="B139" s="64"/>
      <c r="C139" s="43"/>
      <c r="D139" s="43"/>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spans="1:27" ht="15" x14ac:dyDescent="0.15">
      <c r="A140" s="21"/>
      <c r="B140" s="64"/>
      <c r="C140" s="43"/>
      <c r="D140" s="43"/>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spans="1:27" ht="15" x14ac:dyDescent="0.15">
      <c r="A141" s="21"/>
      <c r="B141" s="64"/>
      <c r="C141" s="43"/>
      <c r="D141" s="43"/>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spans="1:27" ht="15" x14ac:dyDescent="0.15">
      <c r="A142" s="21"/>
      <c r="B142" s="64"/>
      <c r="C142" s="43"/>
      <c r="D142" s="43"/>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spans="1:27" ht="15" x14ac:dyDescent="0.15">
      <c r="A143" s="21"/>
      <c r="B143" s="64"/>
      <c r="C143" s="43"/>
      <c r="D143" s="43"/>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spans="1:27" ht="15" x14ac:dyDescent="0.15">
      <c r="A144" s="21"/>
      <c r="B144" s="64"/>
      <c r="C144" s="43"/>
      <c r="D144" s="43"/>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spans="1:27" ht="15" x14ac:dyDescent="0.15">
      <c r="A145" s="21"/>
      <c r="B145" s="64"/>
      <c r="C145" s="43"/>
      <c r="D145" s="43"/>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spans="1:27" ht="15" x14ac:dyDescent="0.15">
      <c r="A146" s="21"/>
      <c r="B146" s="64"/>
      <c r="C146" s="43"/>
      <c r="D146" s="43"/>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spans="1:27" ht="15" x14ac:dyDescent="0.15">
      <c r="A147" s="21"/>
      <c r="B147" s="64"/>
      <c r="C147" s="43"/>
      <c r="D147" s="43"/>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spans="1:27" ht="15" x14ac:dyDescent="0.15">
      <c r="A148" s="21"/>
      <c r="B148" s="64"/>
      <c r="C148" s="43"/>
      <c r="D148" s="43"/>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spans="1:27" ht="15" x14ac:dyDescent="0.15">
      <c r="A149" s="21"/>
      <c r="B149" s="64"/>
      <c r="C149" s="43"/>
      <c r="D149" s="43"/>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spans="1:27" ht="15" x14ac:dyDescent="0.15">
      <c r="A150" s="21"/>
      <c r="B150" s="64"/>
      <c r="C150" s="43"/>
      <c r="D150" s="43"/>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spans="1:27" ht="15" x14ac:dyDescent="0.15">
      <c r="A151" s="21"/>
      <c r="B151" s="64"/>
      <c r="C151" s="43"/>
      <c r="D151" s="43"/>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spans="1:27" ht="15" x14ac:dyDescent="0.15">
      <c r="A152" s="21"/>
      <c r="B152" s="64"/>
      <c r="C152" s="43"/>
      <c r="D152" s="43"/>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spans="1:27" ht="15" x14ac:dyDescent="0.15">
      <c r="A153" s="21"/>
      <c r="B153" s="64"/>
      <c r="C153" s="43"/>
      <c r="D153" s="43"/>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spans="1:27" ht="15" x14ac:dyDescent="0.15">
      <c r="A154" s="21"/>
      <c r="B154" s="64"/>
      <c r="C154" s="43"/>
      <c r="D154" s="43"/>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spans="1:27" ht="15" x14ac:dyDescent="0.15">
      <c r="A155" s="21"/>
      <c r="B155" s="64"/>
      <c r="C155" s="43"/>
      <c r="D155" s="43"/>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spans="1:27" ht="15" x14ac:dyDescent="0.15">
      <c r="A156" s="21"/>
      <c r="B156" s="64"/>
      <c r="C156" s="43"/>
      <c r="D156" s="43"/>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spans="1:27" ht="15" x14ac:dyDescent="0.15">
      <c r="A157" s="21"/>
      <c r="B157" s="64"/>
      <c r="C157" s="43"/>
      <c r="D157" s="43"/>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spans="1:27" ht="15" x14ac:dyDescent="0.15">
      <c r="A158" s="21"/>
      <c r="B158" s="64"/>
      <c r="C158" s="43"/>
      <c r="D158" s="43"/>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spans="1:27" ht="15" x14ac:dyDescent="0.15">
      <c r="A159" s="21"/>
      <c r="B159" s="64"/>
      <c r="C159" s="43"/>
      <c r="D159" s="43"/>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spans="1:27" ht="15" x14ac:dyDescent="0.15">
      <c r="A160" s="21"/>
      <c r="B160" s="64"/>
      <c r="C160" s="43"/>
      <c r="D160" s="43"/>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spans="1:27" ht="15" x14ac:dyDescent="0.15">
      <c r="A161" s="21"/>
      <c r="B161" s="64"/>
      <c r="C161" s="43"/>
      <c r="D161" s="43"/>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spans="1:27" ht="15" x14ac:dyDescent="0.15">
      <c r="A162" s="21"/>
      <c r="B162" s="64"/>
      <c r="C162" s="43"/>
      <c r="D162" s="43"/>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spans="1:27" ht="15" x14ac:dyDescent="0.15">
      <c r="A163" s="21"/>
      <c r="B163" s="64"/>
      <c r="C163" s="43"/>
      <c r="D163" s="43"/>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spans="1:27" ht="15" x14ac:dyDescent="0.15">
      <c r="A164" s="21"/>
      <c r="B164" s="64"/>
      <c r="C164" s="43"/>
      <c r="D164" s="43"/>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spans="1:27" ht="15" x14ac:dyDescent="0.15">
      <c r="A165" s="21"/>
      <c r="B165" s="64"/>
      <c r="C165" s="43"/>
      <c r="D165" s="43"/>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spans="1:27" ht="15" x14ac:dyDescent="0.15">
      <c r="A166" s="21"/>
      <c r="B166" s="64"/>
      <c r="C166" s="43"/>
      <c r="D166" s="43"/>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spans="1:27" ht="15" x14ac:dyDescent="0.15">
      <c r="A167" s="21"/>
      <c r="B167" s="64"/>
      <c r="C167" s="43"/>
      <c r="D167" s="43"/>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spans="1:27" ht="15" x14ac:dyDescent="0.15">
      <c r="A168" s="21"/>
      <c r="B168" s="64"/>
      <c r="C168" s="43"/>
      <c r="D168" s="43"/>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spans="1:27" ht="15" x14ac:dyDescent="0.15">
      <c r="A169" s="21"/>
      <c r="B169" s="64"/>
      <c r="C169" s="43"/>
      <c r="D169" s="43"/>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spans="1:27" ht="15" x14ac:dyDescent="0.15">
      <c r="A170" s="21"/>
      <c r="B170" s="64"/>
      <c r="C170" s="43"/>
      <c r="D170" s="43"/>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spans="1:27" ht="15" x14ac:dyDescent="0.15">
      <c r="A171" s="21"/>
      <c r="B171" s="64"/>
      <c r="C171" s="43"/>
      <c r="D171" s="43"/>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spans="1:27" ht="15" x14ac:dyDescent="0.15">
      <c r="A172" s="21"/>
      <c r="B172" s="64"/>
      <c r="C172" s="43"/>
      <c r="D172" s="43"/>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spans="1:27" ht="15" x14ac:dyDescent="0.15">
      <c r="A173" s="21"/>
      <c r="B173" s="64"/>
      <c r="C173" s="43"/>
      <c r="D173" s="43"/>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spans="1:27" ht="15" x14ac:dyDescent="0.15">
      <c r="A174" s="21"/>
      <c r="B174" s="64"/>
      <c r="C174" s="43"/>
      <c r="D174" s="43"/>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spans="1:27" ht="15" x14ac:dyDescent="0.15">
      <c r="A175" s="21"/>
      <c r="B175" s="64"/>
      <c r="C175" s="43"/>
      <c r="D175" s="43"/>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spans="1:27" ht="15" x14ac:dyDescent="0.15">
      <c r="A176" s="21"/>
      <c r="B176" s="64"/>
      <c r="C176" s="43"/>
      <c r="D176" s="43"/>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spans="1:27" ht="15" x14ac:dyDescent="0.15">
      <c r="A177" s="21"/>
      <c r="B177" s="64"/>
      <c r="C177" s="43"/>
      <c r="D177" s="43"/>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spans="1:27" ht="15" x14ac:dyDescent="0.15">
      <c r="A178" s="21"/>
      <c r="B178" s="64"/>
      <c r="C178" s="43"/>
      <c r="D178" s="43"/>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spans="1:27" ht="15" x14ac:dyDescent="0.15">
      <c r="A179" s="21"/>
      <c r="B179" s="64"/>
      <c r="C179" s="43"/>
      <c r="D179" s="43"/>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spans="1:27" ht="15" x14ac:dyDescent="0.15">
      <c r="A180" s="21"/>
      <c r="B180" s="64"/>
      <c r="C180" s="43"/>
      <c r="D180" s="43"/>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spans="1:27" ht="15" x14ac:dyDescent="0.15">
      <c r="A181" s="21"/>
      <c r="B181" s="64"/>
      <c r="C181" s="43"/>
      <c r="D181" s="43"/>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spans="1:27" ht="15" x14ac:dyDescent="0.15">
      <c r="A182" s="21"/>
      <c r="B182" s="64"/>
      <c r="C182" s="43"/>
      <c r="D182" s="43"/>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spans="1:27" ht="15" x14ac:dyDescent="0.15">
      <c r="A183" s="21"/>
      <c r="B183" s="64"/>
      <c r="C183" s="43"/>
      <c r="D183" s="43"/>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spans="1:27" ht="15" x14ac:dyDescent="0.15">
      <c r="A184" s="21"/>
      <c r="B184" s="64"/>
      <c r="C184" s="43"/>
      <c r="D184" s="43"/>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spans="1:27" ht="15" x14ac:dyDescent="0.15">
      <c r="A185" s="21"/>
      <c r="B185" s="64"/>
      <c r="C185" s="43"/>
      <c r="D185" s="43"/>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spans="1:27" ht="15" x14ac:dyDescent="0.15">
      <c r="A186" s="21"/>
      <c r="B186" s="64"/>
      <c r="C186" s="43"/>
      <c r="D186" s="43"/>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spans="1:27" ht="15" x14ac:dyDescent="0.15">
      <c r="A187" s="21"/>
      <c r="B187" s="64"/>
      <c r="C187" s="43"/>
      <c r="D187" s="43"/>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spans="1:27" ht="15" x14ac:dyDescent="0.15">
      <c r="A188" s="21"/>
      <c r="B188" s="64"/>
      <c r="C188" s="43"/>
      <c r="D188" s="43"/>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spans="1:27" ht="15" x14ac:dyDescent="0.15">
      <c r="A189" s="21"/>
      <c r="B189" s="64"/>
      <c r="C189" s="43"/>
      <c r="D189" s="43"/>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spans="1:27" ht="15" x14ac:dyDescent="0.15">
      <c r="A190" s="21"/>
      <c r="B190" s="64"/>
      <c r="C190" s="43"/>
      <c r="D190" s="43"/>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spans="1:27" ht="15" x14ac:dyDescent="0.15">
      <c r="A191" s="21"/>
      <c r="B191" s="64"/>
      <c r="C191" s="43"/>
      <c r="D191" s="43"/>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spans="1:27" ht="15" x14ac:dyDescent="0.15">
      <c r="A192" s="21"/>
      <c r="B192" s="64"/>
      <c r="C192" s="43"/>
      <c r="D192" s="43"/>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spans="1:27" ht="15" x14ac:dyDescent="0.15">
      <c r="A193" s="21"/>
      <c r="B193" s="64"/>
      <c r="C193" s="43"/>
      <c r="D193" s="43"/>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spans="1:27" ht="15" x14ac:dyDescent="0.15">
      <c r="A194" s="21"/>
      <c r="B194" s="64"/>
      <c r="C194" s="43"/>
      <c r="D194" s="43"/>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spans="1:27" ht="15" x14ac:dyDescent="0.15">
      <c r="A195" s="21"/>
      <c r="B195" s="64"/>
      <c r="C195" s="43"/>
      <c r="D195" s="43"/>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spans="1:27" ht="15" x14ac:dyDescent="0.15">
      <c r="A196" s="21"/>
      <c r="B196" s="64"/>
      <c r="C196" s="43"/>
      <c r="D196" s="43"/>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spans="1:27" ht="15" x14ac:dyDescent="0.15">
      <c r="A197" s="21"/>
      <c r="B197" s="64"/>
      <c r="C197" s="43"/>
      <c r="D197" s="43"/>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spans="1:27" ht="15" x14ac:dyDescent="0.15">
      <c r="A198" s="21"/>
      <c r="B198" s="64"/>
      <c r="C198" s="43"/>
      <c r="D198" s="43"/>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spans="1:27" ht="15" x14ac:dyDescent="0.15">
      <c r="A199" s="21"/>
      <c r="B199" s="64"/>
      <c r="C199" s="43"/>
      <c r="D199" s="43"/>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spans="1:27" ht="15" x14ac:dyDescent="0.15">
      <c r="A200" s="21"/>
      <c r="B200" s="64"/>
      <c r="C200" s="43"/>
      <c r="D200" s="43"/>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spans="1:27" ht="15" x14ac:dyDescent="0.15">
      <c r="A201" s="21"/>
      <c r="B201" s="64"/>
      <c r="C201" s="43"/>
      <c r="D201" s="43"/>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spans="1:27" ht="15" x14ac:dyDescent="0.15">
      <c r="A202" s="21"/>
      <c r="B202" s="64"/>
      <c r="C202" s="43"/>
      <c r="D202" s="43"/>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spans="1:27" ht="15" x14ac:dyDescent="0.15">
      <c r="A203" s="21"/>
      <c r="B203" s="64"/>
      <c r="C203" s="43"/>
      <c r="D203" s="43"/>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spans="1:27" ht="15" x14ac:dyDescent="0.15">
      <c r="A204" s="21"/>
      <c r="B204" s="64"/>
      <c r="C204" s="43"/>
      <c r="D204" s="43"/>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spans="1:27" ht="15" x14ac:dyDescent="0.15">
      <c r="A205" s="21"/>
      <c r="B205" s="64"/>
      <c r="C205" s="43"/>
      <c r="D205" s="43"/>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spans="1:27" ht="15" x14ac:dyDescent="0.15">
      <c r="A206" s="21"/>
      <c r="B206" s="64"/>
      <c r="C206" s="43"/>
      <c r="D206" s="43"/>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spans="1:27" ht="15" x14ac:dyDescent="0.15">
      <c r="A207" s="21"/>
      <c r="B207" s="64"/>
      <c r="C207" s="43"/>
      <c r="D207" s="43"/>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spans="1:27" ht="15" x14ac:dyDescent="0.15">
      <c r="A208" s="21"/>
      <c r="B208" s="64"/>
      <c r="C208" s="43"/>
      <c r="D208" s="43"/>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spans="1:27" ht="15" x14ac:dyDescent="0.15">
      <c r="A209" s="21"/>
      <c r="B209" s="64"/>
      <c r="C209" s="43"/>
      <c r="D209" s="43"/>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spans="1:27" ht="15" x14ac:dyDescent="0.15">
      <c r="A210" s="21"/>
      <c r="B210" s="64"/>
      <c r="C210" s="43"/>
      <c r="D210" s="43"/>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spans="1:27" ht="15" x14ac:dyDescent="0.15">
      <c r="A211" s="21"/>
      <c r="B211" s="64"/>
      <c r="C211" s="43"/>
      <c r="D211" s="43"/>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spans="1:27" ht="15" x14ac:dyDescent="0.15">
      <c r="A212" s="21"/>
      <c r="B212" s="64"/>
      <c r="C212" s="43"/>
      <c r="D212" s="43"/>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spans="1:27" ht="15" x14ac:dyDescent="0.15">
      <c r="A213" s="21"/>
      <c r="B213" s="64"/>
      <c r="C213" s="43"/>
      <c r="D213" s="43"/>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spans="1:27" ht="15" x14ac:dyDescent="0.15">
      <c r="A214" s="21"/>
      <c r="B214" s="64"/>
      <c r="C214" s="43"/>
      <c r="D214" s="43"/>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spans="1:27" ht="15" x14ac:dyDescent="0.15">
      <c r="A215" s="21"/>
      <c r="B215" s="64"/>
      <c r="C215" s="43"/>
      <c r="D215" s="43"/>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spans="1:27" ht="15" x14ac:dyDescent="0.15">
      <c r="A216" s="21"/>
      <c r="B216" s="64"/>
      <c r="C216" s="43"/>
      <c r="D216" s="43"/>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spans="1:27" ht="15" x14ac:dyDescent="0.15">
      <c r="A217" s="21"/>
      <c r="B217" s="64"/>
      <c r="C217" s="43"/>
      <c r="D217" s="43"/>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spans="1:27" ht="15" x14ac:dyDescent="0.15">
      <c r="A218" s="21"/>
      <c r="B218" s="64"/>
      <c r="C218" s="43"/>
      <c r="D218" s="43"/>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spans="1:27" ht="15" x14ac:dyDescent="0.15">
      <c r="A219" s="21"/>
      <c r="B219" s="64"/>
      <c r="C219" s="43"/>
      <c r="D219" s="43"/>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spans="1:27" ht="15" x14ac:dyDescent="0.15">
      <c r="A220" s="21"/>
      <c r="B220" s="64"/>
      <c r="C220" s="43"/>
      <c r="D220" s="43"/>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spans="1:27" ht="15" x14ac:dyDescent="0.15">
      <c r="A221" s="21"/>
      <c r="B221" s="64"/>
      <c r="C221" s="43"/>
      <c r="D221" s="43"/>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spans="1:27" ht="15" x14ac:dyDescent="0.15">
      <c r="A222" s="21"/>
      <c r="B222" s="64"/>
      <c r="C222" s="43"/>
      <c r="D222" s="43"/>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spans="1:27" ht="15" x14ac:dyDescent="0.15">
      <c r="A223" s="21"/>
      <c r="B223" s="64"/>
      <c r="C223" s="43"/>
      <c r="D223" s="43"/>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spans="1:27" ht="15" x14ac:dyDescent="0.15">
      <c r="A224" s="21"/>
      <c r="B224" s="64"/>
      <c r="C224" s="43"/>
      <c r="D224" s="43"/>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spans="1:27" ht="15" x14ac:dyDescent="0.15">
      <c r="A225" s="21"/>
      <c r="B225" s="64"/>
      <c r="C225" s="43"/>
      <c r="D225" s="43"/>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spans="1:27" ht="15" x14ac:dyDescent="0.15">
      <c r="A226" s="21"/>
      <c r="B226" s="64"/>
      <c r="C226" s="43"/>
      <c r="D226" s="43"/>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spans="1:27" ht="15" x14ac:dyDescent="0.15">
      <c r="A227" s="21"/>
      <c r="B227" s="64"/>
      <c r="C227" s="43"/>
      <c r="D227" s="43"/>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spans="1:27" ht="15" x14ac:dyDescent="0.15">
      <c r="A228" s="21"/>
      <c r="B228" s="64"/>
      <c r="C228" s="43"/>
      <c r="D228" s="43"/>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spans="1:27" ht="15" x14ac:dyDescent="0.15">
      <c r="A229" s="21"/>
      <c r="B229" s="64"/>
      <c r="C229" s="43"/>
      <c r="D229" s="43"/>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spans="1:27" ht="15" x14ac:dyDescent="0.15">
      <c r="A230" s="21"/>
      <c r="B230" s="64"/>
      <c r="C230" s="43"/>
      <c r="D230" s="43"/>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spans="1:27" ht="15" x14ac:dyDescent="0.15">
      <c r="A231" s="21"/>
      <c r="B231" s="64"/>
      <c r="C231" s="43"/>
      <c r="D231" s="43"/>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spans="1:27" ht="15" x14ac:dyDescent="0.15">
      <c r="A232" s="21"/>
      <c r="B232" s="64"/>
      <c r="C232" s="43"/>
      <c r="D232" s="43"/>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spans="1:27" ht="15" x14ac:dyDescent="0.15">
      <c r="A233" s="21"/>
      <c r="B233" s="64"/>
      <c r="C233" s="43"/>
      <c r="D233" s="43"/>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spans="1:27" ht="15" x14ac:dyDescent="0.15">
      <c r="A234" s="21"/>
      <c r="B234" s="64"/>
      <c r="C234" s="43"/>
      <c r="D234" s="43"/>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spans="1:27" ht="15" x14ac:dyDescent="0.15">
      <c r="A235" s="21"/>
      <c r="B235" s="64"/>
      <c r="C235" s="43"/>
      <c r="D235" s="43"/>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spans="1:27" ht="15" x14ac:dyDescent="0.15">
      <c r="A236" s="21"/>
      <c r="B236" s="64"/>
      <c r="C236" s="43"/>
      <c r="D236" s="43"/>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spans="1:27" ht="15" x14ac:dyDescent="0.15">
      <c r="A237" s="21"/>
      <c r="B237" s="64"/>
      <c r="C237" s="43"/>
      <c r="D237" s="43"/>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1:27" ht="15" x14ac:dyDescent="0.15">
      <c r="A238" s="21"/>
      <c r="B238" s="64"/>
      <c r="C238" s="43"/>
      <c r="D238" s="43"/>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1:27" ht="15" x14ac:dyDescent="0.15">
      <c r="A239" s="21"/>
      <c r="B239" s="64"/>
      <c r="C239" s="43"/>
      <c r="D239" s="43"/>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spans="1:27" ht="15" x14ac:dyDescent="0.15">
      <c r="A240" s="21"/>
      <c r="B240" s="64"/>
      <c r="C240" s="43"/>
      <c r="D240" s="43"/>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spans="1:27" ht="15" x14ac:dyDescent="0.15">
      <c r="A241" s="21"/>
      <c r="B241" s="64"/>
      <c r="C241" s="43"/>
      <c r="D241" s="43"/>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spans="1:27" ht="15" x14ac:dyDescent="0.15">
      <c r="A242" s="21"/>
      <c r="B242" s="64"/>
      <c r="C242" s="43"/>
      <c r="D242" s="43"/>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spans="1:27" ht="15" x14ac:dyDescent="0.15">
      <c r="A243" s="21"/>
      <c r="B243" s="64"/>
      <c r="C243" s="43"/>
      <c r="D243" s="43"/>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spans="1:27" ht="15" x14ac:dyDescent="0.15">
      <c r="A244" s="21"/>
      <c r="B244" s="64"/>
      <c r="C244" s="43"/>
      <c r="D244" s="43"/>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ht="15" x14ac:dyDescent="0.15">
      <c r="A245" s="21"/>
      <c r="B245" s="64"/>
      <c r="C245" s="43"/>
      <c r="D245" s="43"/>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ht="15" x14ac:dyDescent="0.15">
      <c r="A246" s="21"/>
      <c r="B246" s="64"/>
      <c r="C246" s="43"/>
      <c r="D246" s="43"/>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ht="15" x14ac:dyDescent="0.15">
      <c r="A247" s="21"/>
      <c r="B247" s="64"/>
      <c r="C247" s="43"/>
      <c r="D247" s="43"/>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ht="15" x14ac:dyDescent="0.15">
      <c r="A248" s="21"/>
      <c r="B248" s="64"/>
      <c r="C248" s="43"/>
      <c r="D248" s="43"/>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ht="15" x14ac:dyDescent="0.15">
      <c r="A249" s="21"/>
      <c r="B249" s="64"/>
      <c r="C249" s="43"/>
      <c r="D249" s="43"/>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ht="15" x14ac:dyDescent="0.15">
      <c r="A250" s="21"/>
      <c r="B250" s="64"/>
      <c r="C250" s="43"/>
      <c r="D250" s="43"/>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ht="15" x14ac:dyDescent="0.15">
      <c r="A251" s="21"/>
      <c r="B251" s="64"/>
      <c r="C251" s="43"/>
      <c r="D251" s="43"/>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ht="15" x14ac:dyDescent="0.15">
      <c r="A252" s="21"/>
      <c r="B252" s="64"/>
      <c r="C252" s="43"/>
      <c r="D252" s="43"/>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ht="15" x14ac:dyDescent="0.15">
      <c r="A253" s="21"/>
      <c r="B253" s="64"/>
      <c r="C253" s="43"/>
      <c r="D253" s="43"/>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ht="15" x14ac:dyDescent="0.15">
      <c r="A254" s="21"/>
      <c r="B254" s="64"/>
      <c r="C254" s="43"/>
      <c r="D254" s="43"/>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ht="15" x14ac:dyDescent="0.15">
      <c r="A255" s="21"/>
      <c r="B255" s="64"/>
      <c r="C255" s="43"/>
      <c r="D255" s="43"/>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ht="15" x14ac:dyDescent="0.15">
      <c r="A256" s="21"/>
      <c r="B256" s="64"/>
      <c r="C256" s="43"/>
      <c r="D256" s="43"/>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ht="15" x14ac:dyDescent="0.15">
      <c r="A257" s="21"/>
      <c r="B257" s="64"/>
      <c r="C257" s="43"/>
      <c r="D257" s="43"/>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ht="15" x14ac:dyDescent="0.15">
      <c r="A258" s="21"/>
      <c r="B258" s="64"/>
      <c r="C258" s="43"/>
      <c r="D258" s="43"/>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ht="15" x14ac:dyDescent="0.15">
      <c r="A259" s="21"/>
      <c r="B259" s="64"/>
      <c r="C259" s="43"/>
      <c r="D259" s="43"/>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ht="15" x14ac:dyDescent="0.15">
      <c r="A260" s="21"/>
      <c r="B260" s="64"/>
      <c r="C260" s="43"/>
      <c r="D260" s="43"/>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ht="15" x14ac:dyDescent="0.15">
      <c r="A261" s="21"/>
      <c r="B261" s="64"/>
      <c r="C261" s="43"/>
      <c r="D261" s="43"/>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ht="15" x14ac:dyDescent="0.15">
      <c r="A262" s="21"/>
      <c r="B262" s="64"/>
      <c r="C262" s="43"/>
      <c r="D262" s="43"/>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ht="15" x14ac:dyDescent="0.15">
      <c r="A263" s="21"/>
      <c r="B263" s="64"/>
      <c r="C263" s="43"/>
      <c r="D263" s="43"/>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ht="15" x14ac:dyDescent="0.15">
      <c r="A264" s="21"/>
      <c r="B264" s="64"/>
      <c r="C264" s="43"/>
      <c r="D264" s="43"/>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ht="15" x14ac:dyDescent="0.15">
      <c r="A265" s="21"/>
      <c r="B265" s="64"/>
      <c r="C265" s="43"/>
      <c r="D265" s="43"/>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ht="15" x14ac:dyDescent="0.15">
      <c r="A266" s="21"/>
      <c r="B266" s="64"/>
      <c r="C266" s="43"/>
      <c r="D266" s="43"/>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ht="15" x14ac:dyDescent="0.15">
      <c r="A267" s="21"/>
      <c r="B267" s="64"/>
      <c r="C267" s="43"/>
      <c r="D267" s="43"/>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ht="15" x14ac:dyDescent="0.15">
      <c r="A268" s="21"/>
      <c r="B268" s="64"/>
      <c r="C268" s="43"/>
      <c r="D268" s="43"/>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ht="15" x14ac:dyDescent="0.15">
      <c r="A269" s="21"/>
      <c r="B269" s="64"/>
      <c r="C269" s="43"/>
      <c r="D269" s="43"/>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ht="15" x14ac:dyDescent="0.15">
      <c r="A270" s="21"/>
      <c r="B270" s="64"/>
      <c r="C270" s="43"/>
      <c r="D270" s="43"/>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ht="15" x14ac:dyDescent="0.15">
      <c r="A271" s="21"/>
      <c r="B271" s="64"/>
      <c r="C271" s="43"/>
      <c r="D271" s="43"/>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ht="15" x14ac:dyDescent="0.15">
      <c r="A272" s="21"/>
      <c r="B272" s="64"/>
      <c r="C272" s="43"/>
      <c r="D272" s="43"/>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ht="15" x14ac:dyDescent="0.15">
      <c r="A273" s="21"/>
      <c r="B273" s="64"/>
      <c r="C273" s="43"/>
      <c r="D273" s="43"/>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ht="15" x14ac:dyDescent="0.15">
      <c r="A274" s="21"/>
      <c r="B274" s="64"/>
      <c r="C274" s="43"/>
      <c r="D274" s="43"/>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ht="15" x14ac:dyDescent="0.15">
      <c r="A275" s="21"/>
      <c r="B275" s="64"/>
      <c r="C275" s="43"/>
      <c r="D275" s="43"/>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ht="15" x14ac:dyDescent="0.15">
      <c r="A276" s="21"/>
      <c r="B276" s="64"/>
      <c r="C276" s="43"/>
      <c r="D276" s="43"/>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ht="15" x14ac:dyDescent="0.15">
      <c r="A277" s="21"/>
      <c r="B277" s="64"/>
      <c r="C277" s="43"/>
      <c r="D277" s="43"/>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ht="15" x14ac:dyDescent="0.15">
      <c r="A278" s="21"/>
      <c r="B278" s="64"/>
      <c r="C278" s="43"/>
      <c r="D278" s="43"/>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ht="15" x14ac:dyDescent="0.15">
      <c r="A279" s="21"/>
      <c r="B279" s="64"/>
      <c r="C279" s="43"/>
      <c r="D279" s="43"/>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ht="15" x14ac:dyDescent="0.15">
      <c r="A280" s="21"/>
      <c r="B280" s="64"/>
      <c r="C280" s="43"/>
      <c r="D280" s="43"/>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ht="15" x14ac:dyDescent="0.15">
      <c r="A281" s="21"/>
      <c r="B281" s="64"/>
      <c r="C281" s="43"/>
      <c r="D281" s="43"/>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ht="15" x14ac:dyDescent="0.15">
      <c r="A282" s="21"/>
      <c r="B282" s="64"/>
      <c r="C282" s="43"/>
      <c r="D282" s="43"/>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ht="15" x14ac:dyDescent="0.15">
      <c r="A283" s="21"/>
      <c r="B283" s="64"/>
      <c r="C283" s="43"/>
      <c r="D283" s="43"/>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ht="15" x14ac:dyDescent="0.15">
      <c r="A284" s="21"/>
      <c r="B284" s="64"/>
      <c r="C284" s="43"/>
      <c r="D284" s="43"/>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ht="15" x14ac:dyDescent="0.15">
      <c r="A285" s="21"/>
      <c r="B285" s="64"/>
      <c r="C285" s="43"/>
      <c r="D285" s="43"/>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ht="15" x14ac:dyDescent="0.15">
      <c r="A286" s="21"/>
      <c r="B286" s="64"/>
      <c r="C286" s="43"/>
      <c r="D286" s="43"/>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ht="15" x14ac:dyDescent="0.15">
      <c r="A287" s="21"/>
      <c r="B287" s="64"/>
      <c r="C287" s="43"/>
      <c r="D287" s="43"/>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ht="15" x14ac:dyDescent="0.15">
      <c r="A288" s="21"/>
      <c r="B288" s="64"/>
      <c r="C288" s="43"/>
      <c r="D288" s="43"/>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ht="15" x14ac:dyDescent="0.15">
      <c r="A289" s="21"/>
      <c r="B289" s="64"/>
      <c r="C289" s="43"/>
      <c r="D289" s="43"/>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ht="15" x14ac:dyDescent="0.15">
      <c r="A290" s="21"/>
      <c r="B290" s="64"/>
      <c r="C290" s="43"/>
      <c r="D290" s="43"/>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ht="15" x14ac:dyDescent="0.15">
      <c r="A291" s="21"/>
      <c r="B291" s="64"/>
      <c r="C291" s="43"/>
      <c r="D291" s="43"/>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ht="15" x14ac:dyDescent="0.15">
      <c r="A292" s="21"/>
      <c r="B292" s="64"/>
      <c r="C292" s="43"/>
      <c r="D292" s="43"/>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ht="15" x14ac:dyDescent="0.15">
      <c r="A293" s="21"/>
      <c r="B293" s="64"/>
      <c r="C293" s="43"/>
      <c r="D293" s="43"/>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ht="15" x14ac:dyDescent="0.15">
      <c r="A294" s="21"/>
      <c r="B294" s="64"/>
      <c r="C294" s="43"/>
      <c r="D294" s="43"/>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ht="15" x14ac:dyDescent="0.15">
      <c r="A295" s="21"/>
      <c r="B295" s="64"/>
      <c r="C295" s="43"/>
      <c r="D295" s="43"/>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ht="15" x14ac:dyDescent="0.15">
      <c r="A296" s="21"/>
      <c r="B296" s="64"/>
      <c r="C296" s="43"/>
      <c r="D296" s="43"/>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ht="15" x14ac:dyDescent="0.15">
      <c r="A297" s="21"/>
      <c r="B297" s="64"/>
      <c r="C297" s="43"/>
      <c r="D297" s="43"/>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ht="15" x14ac:dyDescent="0.15">
      <c r="A298" s="21"/>
      <c r="B298" s="64"/>
      <c r="C298" s="43"/>
      <c r="D298" s="43"/>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ht="15" x14ac:dyDescent="0.15">
      <c r="A299" s="21"/>
      <c r="B299" s="64"/>
      <c r="C299" s="43"/>
      <c r="D299" s="43"/>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ht="15" x14ac:dyDescent="0.15">
      <c r="A300" s="21"/>
      <c r="B300" s="64"/>
      <c r="C300" s="43"/>
      <c r="D300" s="43"/>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ht="15" x14ac:dyDescent="0.15">
      <c r="A301" s="21"/>
      <c r="B301" s="64"/>
      <c r="C301" s="43"/>
      <c r="D301" s="43"/>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ht="15" x14ac:dyDescent="0.15">
      <c r="A302" s="21"/>
      <c r="B302" s="64"/>
      <c r="C302" s="43"/>
      <c r="D302" s="43"/>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ht="15" x14ac:dyDescent="0.15">
      <c r="A303" s="21"/>
      <c r="B303" s="64"/>
      <c r="C303" s="43"/>
      <c r="D303" s="43"/>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ht="15" x14ac:dyDescent="0.15">
      <c r="A304" s="21"/>
      <c r="B304" s="64"/>
      <c r="C304" s="43"/>
      <c r="D304" s="43"/>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ht="15" x14ac:dyDescent="0.15">
      <c r="A305" s="21"/>
      <c r="B305" s="64"/>
      <c r="C305" s="43"/>
      <c r="D305" s="43"/>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ht="15" x14ac:dyDescent="0.15">
      <c r="A306" s="21"/>
      <c r="B306" s="64"/>
      <c r="C306" s="43"/>
      <c r="D306" s="43"/>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ht="15" x14ac:dyDescent="0.15">
      <c r="A307" s="21"/>
      <c r="B307" s="64"/>
      <c r="C307" s="43"/>
      <c r="D307" s="43"/>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ht="15" x14ac:dyDescent="0.15">
      <c r="A308" s="21"/>
      <c r="B308" s="64"/>
      <c r="C308" s="43"/>
      <c r="D308" s="43"/>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ht="15" x14ac:dyDescent="0.15">
      <c r="A309" s="21"/>
      <c r="B309" s="64"/>
      <c r="C309" s="43"/>
      <c r="D309" s="43"/>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ht="15" x14ac:dyDescent="0.15">
      <c r="A310" s="21"/>
      <c r="B310" s="64"/>
      <c r="C310" s="43"/>
      <c r="D310" s="43"/>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ht="15" x14ac:dyDescent="0.15">
      <c r="A311" s="21"/>
      <c r="B311" s="64"/>
      <c r="C311" s="43"/>
      <c r="D311" s="43"/>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ht="15" x14ac:dyDescent="0.15">
      <c r="A312" s="21"/>
      <c r="B312" s="64"/>
      <c r="C312" s="43"/>
      <c r="D312" s="43"/>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ht="15" x14ac:dyDescent="0.15">
      <c r="A313" s="21"/>
      <c r="B313" s="64"/>
      <c r="C313" s="43"/>
      <c r="D313" s="43"/>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ht="15" x14ac:dyDescent="0.15">
      <c r="A314" s="21"/>
      <c r="B314" s="64"/>
      <c r="C314" s="43"/>
      <c r="D314" s="43"/>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ht="15" x14ac:dyDescent="0.15">
      <c r="A315" s="21"/>
      <c r="B315" s="64"/>
      <c r="C315" s="43"/>
      <c r="D315" s="43"/>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ht="15" x14ac:dyDescent="0.15">
      <c r="A316" s="21"/>
      <c r="B316" s="64"/>
      <c r="C316" s="43"/>
      <c r="D316" s="43"/>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ht="15" x14ac:dyDescent="0.15">
      <c r="A317" s="21"/>
      <c r="B317" s="64"/>
      <c r="C317" s="43"/>
      <c r="D317" s="43"/>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ht="15" x14ac:dyDescent="0.15">
      <c r="A318" s="21"/>
      <c r="B318" s="64"/>
      <c r="C318" s="43"/>
      <c r="D318" s="43"/>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ht="15" x14ac:dyDescent="0.15">
      <c r="A319" s="21"/>
      <c r="B319" s="64"/>
      <c r="C319" s="43"/>
      <c r="D319" s="43"/>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ht="15" x14ac:dyDescent="0.15">
      <c r="A320" s="21"/>
      <c r="B320" s="64"/>
      <c r="C320" s="43"/>
      <c r="D320" s="43"/>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ht="15" x14ac:dyDescent="0.15">
      <c r="A321" s="21"/>
      <c r="B321" s="64"/>
      <c r="C321" s="43"/>
      <c r="D321" s="43"/>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ht="15" x14ac:dyDescent="0.15">
      <c r="A322" s="21"/>
      <c r="B322" s="64"/>
      <c r="C322" s="43"/>
      <c r="D322" s="43"/>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ht="15" x14ac:dyDescent="0.15">
      <c r="A323" s="21"/>
      <c r="B323" s="64"/>
      <c r="C323" s="43"/>
      <c r="D323" s="43"/>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ht="15" x14ac:dyDescent="0.15">
      <c r="A324" s="21"/>
      <c r="B324" s="64"/>
      <c r="C324" s="43"/>
      <c r="D324" s="43"/>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ht="15" x14ac:dyDescent="0.15">
      <c r="A325" s="21"/>
      <c r="B325" s="64"/>
      <c r="C325" s="43"/>
      <c r="D325" s="43"/>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ht="15" x14ac:dyDescent="0.15">
      <c r="A326" s="21"/>
      <c r="B326" s="64"/>
      <c r="C326" s="43"/>
      <c r="D326" s="43"/>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ht="15" x14ac:dyDescent="0.15">
      <c r="A327" s="21"/>
      <c r="B327" s="64"/>
      <c r="C327" s="43"/>
      <c r="D327" s="43"/>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ht="15" x14ac:dyDescent="0.15">
      <c r="A328" s="21"/>
      <c r="B328" s="64"/>
      <c r="C328" s="43"/>
      <c r="D328" s="43"/>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ht="15" x14ac:dyDescent="0.15">
      <c r="A329" s="21"/>
      <c r="B329" s="64"/>
      <c r="C329" s="43"/>
      <c r="D329" s="43"/>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ht="15" x14ac:dyDescent="0.15">
      <c r="A330" s="21"/>
      <c r="B330" s="64"/>
      <c r="C330" s="43"/>
      <c r="D330" s="43"/>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ht="15" x14ac:dyDescent="0.15">
      <c r="A331" s="21"/>
      <c r="B331" s="64"/>
      <c r="C331" s="43"/>
      <c r="D331" s="43"/>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ht="15" x14ac:dyDescent="0.15">
      <c r="A332" s="21"/>
      <c r="B332" s="64"/>
      <c r="C332" s="43"/>
      <c r="D332" s="43"/>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ht="15" x14ac:dyDescent="0.15">
      <c r="A333" s="21"/>
      <c r="B333" s="64"/>
      <c r="C333" s="43"/>
      <c r="D333" s="43"/>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ht="15" x14ac:dyDescent="0.15">
      <c r="A334" s="21"/>
      <c r="B334" s="64"/>
      <c r="C334" s="43"/>
      <c r="D334" s="43"/>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ht="15" x14ac:dyDescent="0.15">
      <c r="A335" s="21"/>
      <c r="B335" s="64"/>
      <c r="C335" s="43"/>
      <c r="D335" s="43"/>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ht="15" x14ac:dyDescent="0.15">
      <c r="A336" s="21"/>
      <c r="B336" s="64"/>
      <c r="C336" s="43"/>
      <c r="D336" s="43"/>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ht="15" x14ac:dyDescent="0.15">
      <c r="A337" s="21"/>
      <c r="B337" s="64"/>
      <c r="C337" s="43"/>
      <c r="D337" s="43"/>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ht="15" x14ac:dyDescent="0.15">
      <c r="A338" s="21"/>
      <c r="B338" s="64"/>
      <c r="C338" s="43"/>
      <c r="D338" s="43"/>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ht="15" x14ac:dyDescent="0.15">
      <c r="A339" s="21"/>
      <c r="B339" s="64"/>
      <c r="C339" s="43"/>
      <c r="D339" s="43"/>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ht="15" x14ac:dyDescent="0.15">
      <c r="A340" s="21"/>
      <c r="B340" s="64"/>
      <c r="C340" s="43"/>
      <c r="D340" s="43"/>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ht="15" x14ac:dyDescent="0.15">
      <c r="A341" s="21"/>
      <c r="B341" s="64"/>
      <c r="C341" s="43"/>
      <c r="D341" s="43"/>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ht="15" x14ac:dyDescent="0.15">
      <c r="A342" s="21"/>
      <c r="B342" s="64"/>
      <c r="C342" s="43"/>
      <c r="D342" s="43"/>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ht="15" x14ac:dyDescent="0.15">
      <c r="A343" s="21"/>
      <c r="B343" s="64"/>
      <c r="C343" s="43"/>
      <c r="D343" s="43"/>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ht="15" x14ac:dyDescent="0.15">
      <c r="A344" s="21"/>
      <c r="B344" s="64"/>
      <c r="C344" s="43"/>
      <c r="D344" s="43"/>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ht="15" x14ac:dyDescent="0.15">
      <c r="A345" s="21"/>
      <c r="B345" s="64"/>
      <c r="C345" s="43"/>
      <c r="D345" s="43"/>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ht="15" x14ac:dyDescent="0.15">
      <c r="A346" s="21"/>
      <c r="B346" s="64"/>
      <c r="C346" s="43"/>
      <c r="D346" s="43"/>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ht="15" x14ac:dyDescent="0.15">
      <c r="A347" s="21"/>
      <c r="B347" s="64"/>
      <c r="C347" s="43"/>
      <c r="D347" s="43"/>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ht="15" x14ac:dyDescent="0.15">
      <c r="A348" s="21"/>
      <c r="B348" s="64"/>
      <c r="C348" s="43"/>
      <c r="D348" s="43"/>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ht="15" x14ac:dyDescent="0.15">
      <c r="A349" s="21"/>
      <c r="B349" s="64"/>
      <c r="C349" s="43"/>
      <c r="D349" s="43"/>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ht="15" x14ac:dyDescent="0.15">
      <c r="A350" s="21"/>
      <c r="B350" s="64"/>
      <c r="C350" s="43"/>
      <c r="D350" s="43"/>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ht="15" x14ac:dyDescent="0.15">
      <c r="A351" s="21"/>
      <c r="B351" s="64"/>
      <c r="C351" s="43"/>
      <c r="D351" s="43"/>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ht="15" x14ac:dyDescent="0.15">
      <c r="A352" s="21"/>
      <c r="B352" s="64"/>
      <c r="C352" s="43"/>
      <c r="D352" s="43"/>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ht="15" x14ac:dyDescent="0.15">
      <c r="A353" s="21"/>
      <c r="B353" s="64"/>
      <c r="C353" s="43"/>
      <c r="D353" s="43"/>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ht="15" x14ac:dyDescent="0.15">
      <c r="A354" s="21"/>
      <c r="B354" s="64"/>
      <c r="C354" s="43"/>
      <c r="D354" s="43"/>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ht="15" x14ac:dyDescent="0.15">
      <c r="A355" s="21"/>
      <c r="B355" s="64"/>
      <c r="C355" s="43"/>
      <c r="D355" s="43"/>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ht="15" x14ac:dyDescent="0.15">
      <c r="A356" s="21"/>
      <c r="B356" s="64"/>
      <c r="C356" s="43"/>
      <c r="D356" s="43"/>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ht="15" x14ac:dyDescent="0.15">
      <c r="A357" s="21"/>
      <c r="B357" s="64"/>
      <c r="C357" s="43"/>
      <c r="D357" s="43"/>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ht="15" x14ac:dyDescent="0.15">
      <c r="A358" s="21"/>
      <c r="B358" s="64"/>
      <c r="C358" s="43"/>
      <c r="D358" s="43"/>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ht="15" x14ac:dyDescent="0.15">
      <c r="A359" s="21"/>
      <c r="B359" s="64"/>
      <c r="C359" s="43"/>
      <c r="D359" s="43"/>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ht="15" x14ac:dyDescent="0.15">
      <c r="A360" s="21"/>
      <c r="B360" s="64"/>
      <c r="C360" s="43"/>
      <c r="D360" s="43"/>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ht="15" x14ac:dyDescent="0.15">
      <c r="A361" s="21"/>
      <c r="B361" s="64"/>
      <c r="C361" s="43"/>
      <c r="D361" s="43"/>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1:27" ht="15" x14ac:dyDescent="0.15">
      <c r="A362" s="21"/>
      <c r="B362" s="64"/>
      <c r="C362" s="43"/>
      <c r="D362" s="43"/>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1:27" ht="15" x14ac:dyDescent="0.15">
      <c r="A363" s="21"/>
      <c r="B363" s="64"/>
      <c r="C363" s="43"/>
      <c r="D363" s="43"/>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spans="1:27" ht="15" x14ac:dyDescent="0.15">
      <c r="A364" s="21"/>
      <c r="B364" s="64"/>
      <c r="C364" s="43"/>
      <c r="D364" s="43"/>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spans="1:27" ht="15" x14ac:dyDescent="0.15">
      <c r="A365" s="21"/>
      <c r="B365" s="64"/>
      <c r="C365" s="43"/>
      <c r="D365" s="43"/>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spans="1:27" ht="15" x14ac:dyDescent="0.15">
      <c r="A366" s="21"/>
      <c r="B366" s="64"/>
      <c r="C366" s="43"/>
      <c r="D366" s="43"/>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spans="1:27" ht="15" x14ac:dyDescent="0.15">
      <c r="A367" s="21"/>
      <c r="B367" s="64"/>
      <c r="C367" s="43"/>
      <c r="D367" s="43"/>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spans="1:27" ht="15" x14ac:dyDescent="0.15">
      <c r="A368" s="21"/>
      <c r="B368" s="64"/>
      <c r="C368" s="43"/>
      <c r="D368" s="43"/>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spans="1:27" ht="15" x14ac:dyDescent="0.15">
      <c r="A369" s="21"/>
      <c r="B369" s="64"/>
      <c r="C369" s="43"/>
      <c r="D369" s="43"/>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spans="1:27" ht="15" x14ac:dyDescent="0.15">
      <c r="A370" s="21"/>
      <c r="B370" s="64"/>
      <c r="C370" s="43"/>
      <c r="D370" s="43"/>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spans="1:27" ht="15" x14ac:dyDescent="0.15">
      <c r="A371" s="21"/>
      <c r="B371" s="64"/>
      <c r="C371" s="43"/>
      <c r="D371" s="43"/>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spans="1:27" ht="15" x14ac:dyDescent="0.15">
      <c r="A372" s="21"/>
      <c r="B372" s="64"/>
      <c r="C372" s="43"/>
      <c r="D372" s="43"/>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spans="1:27" ht="15" x14ac:dyDescent="0.15">
      <c r="A373" s="21"/>
      <c r="B373" s="64"/>
      <c r="C373" s="43"/>
      <c r="D373" s="43"/>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spans="1:27" ht="15" x14ac:dyDescent="0.15">
      <c r="A374" s="21"/>
      <c r="B374" s="64"/>
      <c r="C374" s="43"/>
      <c r="D374" s="43"/>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spans="1:27" ht="15" x14ac:dyDescent="0.15">
      <c r="A375" s="21"/>
      <c r="B375" s="64"/>
      <c r="C375" s="43"/>
      <c r="D375" s="43"/>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spans="1:27" ht="15" x14ac:dyDescent="0.15">
      <c r="A376" s="21"/>
      <c r="B376" s="64"/>
      <c r="C376" s="43"/>
      <c r="D376" s="43"/>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spans="1:27" ht="15" x14ac:dyDescent="0.15">
      <c r="A377" s="21"/>
      <c r="B377" s="64"/>
      <c r="C377" s="43"/>
      <c r="D377" s="43"/>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spans="1:27" ht="15" x14ac:dyDescent="0.15">
      <c r="A378" s="21"/>
      <c r="B378" s="64"/>
      <c r="C378" s="43"/>
      <c r="D378" s="43"/>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spans="1:27" ht="15" x14ac:dyDescent="0.15">
      <c r="A379" s="21"/>
      <c r="B379" s="64"/>
      <c r="C379" s="43"/>
      <c r="D379" s="43"/>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spans="1:27" ht="15" x14ac:dyDescent="0.15">
      <c r="A380" s="21"/>
      <c r="B380" s="64"/>
      <c r="C380" s="43"/>
      <c r="D380" s="43"/>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1:27" ht="15" x14ac:dyDescent="0.15">
      <c r="A381" s="21"/>
      <c r="B381" s="64"/>
      <c r="C381" s="43"/>
      <c r="D381" s="43"/>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1:27" ht="15" x14ac:dyDescent="0.15">
      <c r="A382" s="21"/>
      <c r="B382" s="64"/>
      <c r="C382" s="43"/>
      <c r="D382" s="43"/>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spans="1:27" ht="15" x14ac:dyDescent="0.15">
      <c r="A383" s="21"/>
      <c r="B383" s="64"/>
      <c r="C383" s="43"/>
      <c r="D383" s="43"/>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spans="1:27" ht="15" x14ac:dyDescent="0.15">
      <c r="A384" s="21"/>
      <c r="B384" s="64"/>
      <c r="C384" s="43"/>
      <c r="D384" s="43"/>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spans="1:27" ht="15" x14ac:dyDescent="0.15">
      <c r="A385" s="21"/>
      <c r="B385" s="64"/>
      <c r="C385" s="43"/>
      <c r="D385" s="43"/>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spans="1:27" ht="15" x14ac:dyDescent="0.15">
      <c r="A386" s="21"/>
      <c r="B386" s="64"/>
      <c r="C386" s="43"/>
      <c r="D386" s="43"/>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spans="1:27" ht="15" x14ac:dyDescent="0.15">
      <c r="A387" s="21"/>
      <c r="B387" s="64"/>
      <c r="C387" s="43"/>
      <c r="D387" s="43"/>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pans="1:27" ht="15" x14ac:dyDescent="0.15">
      <c r="A388" s="21"/>
      <c r="B388" s="64"/>
      <c r="C388" s="43"/>
      <c r="D388" s="43"/>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spans="1:27" ht="15" x14ac:dyDescent="0.15">
      <c r="A389" s="21"/>
      <c r="B389" s="64"/>
      <c r="C389" s="43"/>
      <c r="D389" s="43"/>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1:27" ht="15" x14ac:dyDescent="0.15">
      <c r="A390" s="21"/>
      <c r="B390" s="64"/>
      <c r="C390" s="43"/>
      <c r="D390" s="43"/>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1:27" ht="15" x14ac:dyDescent="0.15">
      <c r="A391" s="21"/>
      <c r="B391" s="64"/>
      <c r="C391" s="43"/>
      <c r="D391" s="43"/>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1:27" ht="15" x14ac:dyDescent="0.15">
      <c r="A392" s="21"/>
      <c r="B392" s="64"/>
      <c r="C392" s="43"/>
      <c r="D392" s="43"/>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spans="1:27" ht="15" x14ac:dyDescent="0.15">
      <c r="A393" s="21"/>
      <c r="B393" s="64"/>
      <c r="C393" s="43"/>
      <c r="D393" s="43"/>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spans="1:27" ht="15" x14ac:dyDescent="0.15">
      <c r="A394" s="21"/>
      <c r="B394" s="64"/>
      <c r="C394" s="43"/>
      <c r="D394" s="43"/>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spans="1:27" ht="15" x14ac:dyDescent="0.15">
      <c r="A395" s="21"/>
      <c r="B395" s="64"/>
      <c r="C395" s="43"/>
      <c r="D395" s="43"/>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spans="1:27" ht="15" x14ac:dyDescent="0.15">
      <c r="A396" s="21"/>
      <c r="B396" s="64"/>
      <c r="C396" s="43"/>
      <c r="D396" s="43"/>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spans="1:27" ht="15" x14ac:dyDescent="0.15">
      <c r="A397" s="21"/>
      <c r="B397" s="64"/>
      <c r="C397" s="43"/>
      <c r="D397" s="43"/>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spans="1:27" ht="15" x14ac:dyDescent="0.15">
      <c r="A398" s="21"/>
      <c r="B398" s="64"/>
      <c r="C398" s="43"/>
      <c r="D398" s="43"/>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spans="1:27" ht="15" x14ac:dyDescent="0.15">
      <c r="A399" s="21"/>
      <c r="B399" s="64"/>
      <c r="C399" s="43"/>
      <c r="D399" s="43"/>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spans="1:27" ht="15" x14ac:dyDescent="0.15">
      <c r="A400" s="21"/>
      <c r="B400" s="64"/>
      <c r="C400" s="43"/>
      <c r="D400" s="43"/>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spans="1:27" ht="15" x14ac:dyDescent="0.15">
      <c r="A401" s="21"/>
      <c r="B401" s="64"/>
      <c r="C401" s="43"/>
      <c r="D401" s="43"/>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spans="1:27" ht="15" x14ac:dyDescent="0.15">
      <c r="A402" s="21"/>
      <c r="B402" s="64"/>
      <c r="C402" s="43"/>
      <c r="D402" s="43"/>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spans="1:27" ht="15" x14ac:dyDescent="0.15">
      <c r="A403" s="21"/>
      <c r="B403" s="64"/>
      <c r="C403" s="43"/>
      <c r="D403" s="43"/>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spans="1:27" ht="15" x14ac:dyDescent="0.15">
      <c r="A404" s="21"/>
      <c r="B404" s="64"/>
      <c r="C404" s="43"/>
      <c r="D404" s="43"/>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spans="1:27" ht="15" x14ac:dyDescent="0.15">
      <c r="A405" s="21"/>
      <c r="B405" s="64"/>
      <c r="C405" s="43"/>
      <c r="D405" s="43"/>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spans="1:27" ht="15" x14ac:dyDescent="0.15">
      <c r="A406" s="21"/>
      <c r="B406" s="64"/>
      <c r="C406" s="43"/>
      <c r="D406" s="43"/>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spans="1:27" ht="15" x14ac:dyDescent="0.15">
      <c r="A407" s="21"/>
      <c r="B407" s="64"/>
      <c r="C407" s="43"/>
      <c r="D407" s="43"/>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spans="1:27" ht="15" x14ac:dyDescent="0.15">
      <c r="A408" s="21"/>
      <c r="B408" s="64"/>
      <c r="C408" s="43"/>
      <c r="D408" s="43"/>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spans="1:27" ht="15" x14ac:dyDescent="0.15">
      <c r="A409" s="21"/>
      <c r="B409" s="64"/>
      <c r="C409" s="43"/>
      <c r="D409" s="43"/>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spans="1:27" ht="15" x14ac:dyDescent="0.15">
      <c r="A410" s="21"/>
      <c r="B410" s="64"/>
      <c r="C410" s="43"/>
      <c r="D410" s="43"/>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spans="1:27" ht="15" x14ac:dyDescent="0.15">
      <c r="A411" s="21"/>
      <c r="B411" s="64"/>
      <c r="C411" s="43"/>
      <c r="D411" s="43"/>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spans="1:27" ht="15" x14ac:dyDescent="0.15">
      <c r="A412" s="21"/>
      <c r="B412" s="64"/>
      <c r="C412" s="43"/>
      <c r="D412" s="43"/>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spans="1:27" ht="15" x14ac:dyDescent="0.15">
      <c r="A413" s="21"/>
      <c r="B413" s="64"/>
      <c r="C413" s="43"/>
      <c r="D413" s="43"/>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spans="1:27" ht="15" x14ac:dyDescent="0.15">
      <c r="A414" s="21"/>
      <c r="B414" s="64"/>
      <c r="C414" s="43"/>
      <c r="D414" s="43"/>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spans="1:27" ht="15" x14ac:dyDescent="0.15">
      <c r="A415" s="21"/>
      <c r="B415" s="64"/>
      <c r="C415" s="43"/>
      <c r="D415" s="43"/>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spans="1:27" ht="15" x14ac:dyDescent="0.15">
      <c r="A416" s="21"/>
      <c r="B416" s="64"/>
      <c r="C416" s="43"/>
      <c r="D416" s="43"/>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spans="1:27" ht="15" x14ac:dyDescent="0.15">
      <c r="A417" s="21"/>
      <c r="B417" s="64"/>
      <c r="C417" s="43"/>
      <c r="D417" s="43"/>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spans="1:27" ht="15" x14ac:dyDescent="0.15">
      <c r="A418" s="21"/>
      <c r="B418" s="64"/>
      <c r="C418" s="43"/>
      <c r="D418" s="43"/>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spans="1:27" ht="15" x14ac:dyDescent="0.15">
      <c r="A419" s="21"/>
      <c r="B419" s="64"/>
      <c r="C419" s="43"/>
      <c r="D419" s="43"/>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spans="1:27" ht="15" x14ac:dyDescent="0.15">
      <c r="A420" s="21"/>
      <c r="B420" s="64"/>
      <c r="C420" s="43"/>
      <c r="D420" s="43"/>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spans="1:27" ht="15" x14ac:dyDescent="0.15">
      <c r="A421" s="21"/>
      <c r="B421" s="64"/>
      <c r="C421" s="43"/>
      <c r="D421" s="43"/>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spans="1:27" ht="15" x14ac:dyDescent="0.15">
      <c r="A422" s="21"/>
      <c r="B422" s="64"/>
      <c r="C422" s="43"/>
      <c r="D422" s="43"/>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spans="1:27" ht="15" x14ac:dyDescent="0.15">
      <c r="A423" s="21"/>
      <c r="B423" s="64"/>
      <c r="C423" s="43"/>
      <c r="D423" s="43"/>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spans="1:27" ht="15" x14ac:dyDescent="0.15">
      <c r="A424" s="21"/>
      <c r="B424" s="64"/>
      <c r="C424" s="43"/>
      <c r="D424" s="43"/>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spans="1:27" ht="15" x14ac:dyDescent="0.15">
      <c r="A425" s="21"/>
      <c r="B425" s="64"/>
      <c r="C425" s="43"/>
      <c r="D425" s="43"/>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spans="1:27" ht="15" x14ac:dyDescent="0.15">
      <c r="A426" s="21"/>
      <c r="B426" s="64"/>
      <c r="C426" s="43"/>
      <c r="D426" s="43"/>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spans="1:27" ht="15" x14ac:dyDescent="0.15">
      <c r="A427" s="21"/>
      <c r="B427" s="64"/>
      <c r="C427" s="43"/>
      <c r="D427" s="43"/>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spans="1:27" ht="15" x14ac:dyDescent="0.15">
      <c r="A428" s="21"/>
      <c r="B428" s="64"/>
      <c r="C428" s="43"/>
      <c r="D428" s="43"/>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spans="1:27" ht="15" x14ac:dyDescent="0.15">
      <c r="A429" s="21"/>
      <c r="B429" s="64"/>
      <c r="C429" s="43"/>
      <c r="D429" s="43"/>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spans="1:27" ht="15" x14ac:dyDescent="0.15">
      <c r="A430" s="21"/>
      <c r="B430" s="64"/>
      <c r="C430" s="43"/>
      <c r="D430" s="43"/>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spans="1:27" ht="15" x14ac:dyDescent="0.15">
      <c r="A431" s="21"/>
      <c r="B431" s="64"/>
      <c r="C431" s="43"/>
      <c r="D431" s="43"/>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spans="1:27" ht="15" x14ac:dyDescent="0.15">
      <c r="A432" s="21"/>
      <c r="B432" s="64"/>
      <c r="C432" s="43"/>
      <c r="D432" s="43"/>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spans="1:27" ht="15" x14ac:dyDescent="0.15">
      <c r="A433" s="21"/>
      <c r="B433" s="64"/>
      <c r="C433" s="43"/>
      <c r="D433" s="43"/>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spans="1:27" ht="15" x14ac:dyDescent="0.15">
      <c r="A434" s="21"/>
      <c r="B434" s="64"/>
      <c r="C434" s="43"/>
      <c r="D434" s="43"/>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spans="1:27" ht="15" x14ac:dyDescent="0.15">
      <c r="A435" s="21"/>
      <c r="B435" s="64"/>
      <c r="C435" s="43"/>
      <c r="D435" s="43"/>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spans="1:27" ht="15" x14ac:dyDescent="0.15">
      <c r="A436" s="21"/>
      <c r="B436" s="64"/>
      <c r="C436" s="43"/>
      <c r="D436" s="43"/>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spans="1:27" ht="15" x14ac:dyDescent="0.15">
      <c r="A437" s="21"/>
      <c r="B437" s="64"/>
      <c r="C437" s="43"/>
      <c r="D437" s="43"/>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spans="1:27" ht="15" x14ac:dyDescent="0.15">
      <c r="A438" s="21"/>
      <c r="B438" s="64"/>
      <c r="C438" s="43"/>
      <c r="D438" s="43"/>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spans="1:27" ht="15" x14ac:dyDescent="0.15">
      <c r="A439" s="21"/>
      <c r="B439" s="64"/>
      <c r="C439" s="43"/>
      <c r="D439" s="43"/>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spans="1:27" ht="15" x14ac:dyDescent="0.15">
      <c r="A440" s="21"/>
      <c r="B440" s="64"/>
      <c r="C440" s="43"/>
      <c r="D440" s="43"/>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spans="1:27" ht="15" x14ac:dyDescent="0.15">
      <c r="A441" s="21"/>
      <c r="B441" s="64"/>
      <c r="C441" s="43"/>
      <c r="D441" s="43"/>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spans="1:27" ht="15" x14ac:dyDescent="0.15">
      <c r="A442" s="21"/>
      <c r="B442" s="64"/>
      <c r="C442" s="43"/>
      <c r="D442" s="43"/>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spans="1:27" ht="15" x14ac:dyDescent="0.15">
      <c r="A443" s="21"/>
      <c r="B443" s="64"/>
      <c r="C443" s="43"/>
      <c r="D443" s="43"/>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spans="1:27" ht="15" x14ac:dyDescent="0.15">
      <c r="A444" s="21"/>
      <c r="B444" s="64"/>
      <c r="C444" s="43"/>
      <c r="D444" s="43"/>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spans="1:27" ht="15" x14ac:dyDescent="0.15">
      <c r="A445" s="21"/>
      <c r="B445" s="64"/>
      <c r="C445" s="43"/>
      <c r="D445" s="43"/>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spans="1:27" ht="15" x14ac:dyDescent="0.15">
      <c r="A446" s="21"/>
      <c r="B446" s="64"/>
      <c r="C446" s="43"/>
      <c r="D446" s="43"/>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spans="1:27" ht="15" x14ac:dyDescent="0.15">
      <c r="A447" s="21"/>
      <c r="B447" s="64"/>
      <c r="C447" s="43"/>
      <c r="D447" s="43"/>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spans="1:27" ht="15" x14ac:dyDescent="0.15">
      <c r="A448" s="21"/>
      <c r="B448" s="64"/>
      <c r="C448" s="43"/>
      <c r="D448" s="43"/>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spans="1:27" ht="15" x14ac:dyDescent="0.15">
      <c r="A449" s="21"/>
      <c r="B449" s="64"/>
      <c r="C449" s="43"/>
      <c r="D449" s="43"/>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spans="1:27" ht="15" x14ac:dyDescent="0.15">
      <c r="A450" s="21"/>
      <c r="B450" s="64"/>
      <c r="C450" s="43"/>
      <c r="D450" s="43"/>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spans="1:27" ht="15" x14ac:dyDescent="0.15">
      <c r="A451" s="21"/>
      <c r="B451" s="64"/>
      <c r="C451" s="43"/>
      <c r="D451" s="43"/>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spans="1:27" ht="15" x14ac:dyDescent="0.15">
      <c r="A452" s="21"/>
      <c r="B452" s="64"/>
      <c r="C452" s="43"/>
      <c r="D452" s="43"/>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spans="1:27" ht="15" x14ac:dyDescent="0.15">
      <c r="A453" s="21"/>
      <c r="B453" s="64"/>
      <c r="C453" s="43"/>
      <c r="D453" s="43"/>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spans="1:27" ht="15" x14ac:dyDescent="0.15">
      <c r="A454" s="21"/>
      <c r="B454" s="64"/>
      <c r="C454" s="43"/>
      <c r="D454" s="43"/>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spans="1:27" ht="15" x14ac:dyDescent="0.15">
      <c r="A455" s="21"/>
      <c r="B455" s="64"/>
      <c r="C455" s="43"/>
      <c r="D455" s="43"/>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spans="1:27" ht="15" x14ac:dyDescent="0.15">
      <c r="A456" s="21"/>
      <c r="B456" s="64"/>
      <c r="C456" s="43"/>
      <c r="D456" s="43"/>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1:27" ht="15" x14ac:dyDescent="0.15">
      <c r="A457" s="21"/>
      <c r="B457" s="64"/>
      <c r="C457" s="43"/>
      <c r="D457" s="43"/>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pans="1:27" ht="15" x14ac:dyDescent="0.15">
      <c r="A458" s="21"/>
      <c r="B458" s="64"/>
      <c r="C458" s="43"/>
      <c r="D458" s="43"/>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spans="1:27" ht="15" x14ac:dyDescent="0.15">
      <c r="A459" s="21"/>
      <c r="B459" s="64"/>
      <c r="C459" s="43"/>
      <c r="D459" s="43"/>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spans="1:27" ht="15" x14ac:dyDescent="0.15">
      <c r="A460" s="21"/>
      <c r="B460" s="64"/>
      <c r="C460" s="43"/>
      <c r="D460" s="43"/>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pans="1:27" ht="15" x14ac:dyDescent="0.15">
      <c r="A461" s="21"/>
      <c r="B461" s="64"/>
      <c r="C461" s="43"/>
      <c r="D461" s="43"/>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spans="1:27" ht="15" x14ac:dyDescent="0.15">
      <c r="A462" s="21"/>
      <c r="B462" s="64"/>
      <c r="C462" s="43"/>
      <c r="D462" s="43"/>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spans="1:27" ht="15" x14ac:dyDescent="0.15">
      <c r="A463" s="21"/>
      <c r="B463" s="64"/>
      <c r="C463" s="43"/>
      <c r="D463" s="43"/>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spans="1:27" ht="15" x14ac:dyDescent="0.15">
      <c r="A464" s="21"/>
      <c r="B464" s="64"/>
      <c r="C464" s="43"/>
      <c r="D464" s="43"/>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spans="1:27" ht="15" x14ac:dyDescent="0.15">
      <c r="A465" s="21"/>
      <c r="B465" s="64"/>
      <c r="C465" s="43"/>
      <c r="D465" s="43"/>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spans="1:27" ht="15" x14ac:dyDescent="0.15">
      <c r="A466" s="21"/>
      <c r="B466" s="64"/>
      <c r="C466" s="43"/>
      <c r="D466" s="43"/>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spans="1:27" ht="15" x14ac:dyDescent="0.15">
      <c r="A467" s="21"/>
      <c r="B467" s="64"/>
      <c r="C467" s="43"/>
      <c r="D467" s="43"/>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spans="1:27" ht="15" x14ac:dyDescent="0.15">
      <c r="A468" s="21"/>
      <c r="B468" s="64"/>
      <c r="C468" s="43"/>
      <c r="D468" s="43"/>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1:27" ht="15" x14ac:dyDescent="0.15">
      <c r="A469" s="21"/>
      <c r="B469" s="64"/>
      <c r="C469" s="43"/>
      <c r="D469" s="43"/>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1:27" ht="15" x14ac:dyDescent="0.15">
      <c r="A470" s="21"/>
      <c r="B470" s="64"/>
      <c r="C470" s="43"/>
      <c r="D470" s="43"/>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1:27" ht="15" x14ac:dyDescent="0.15">
      <c r="A471" s="21"/>
      <c r="B471" s="64"/>
      <c r="C471" s="43"/>
      <c r="D471" s="43"/>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pans="1:27" ht="15" x14ac:dyDescent="0.15">
      <c r="A472" s="21"/>
      <c r="B472" s="64"/>
      <c r="C472" s="43"/>
      <c r="D472" s="43"/>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spans="1:27" ht="15" x14ac:dyDescent="0.15">
      <c r="A473" s="21"/>
      <c r="B473" s="64"/>
      <c r="C473" s="43"/>
      <c r="D473" s="43"/>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spans="1:27" ht="15" x14ac:dyDescent="0.15">
      <c r="A474" s="21"/>
      <c r="B474" s="64"/>
      <c r="C474" s="43"/>
      <c r="D474" s="43"/>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1:27" ht="15" x14ac:dyDescent="0.15">
      <c r="A475" s="21"/>
      <c r="B475" s="64"/>
      <c r="C475" s="43"/>
      <c r="D475" s="43"/>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1:27" ht="15" x14ac:dyDescent="0.15">
      <c r="A476" s="21"/>
      <c r="B476" s="64"/>
      <c r="C476" s="43"/>
      <c r="D476" s="43"/>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spans="1:27" ht="15" x14ac:dyDescent="0.15">
      <c r="A477" s="21"/>
      <c r="B477" s="64"/>
      <c r="C477" s="43"/>
      <c r="D477" s="43"/>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spans="1:27" ht="15" x14ac:dyDescent="0.15">
      <c r="A478" s="21"/>
      <c r="B478" s="64"/>
      <c r="C478" s="43"/>
      <c r="D478" s="43"/>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spans="1:27" ht="15" x14ac:dyDescent="0.15">
      <c r="A479" s="21"/>
      <c r="B479" s="64"/>
      <c r="C479" s="43"/>
      <c r="D479" s="43"/>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spans="1:27" ht="15" x14ac:dyDescent="0.15">
      <c r="A480" s="21"/>
      <c r="B480" s="64"/>
      <c r="C480" s="43"/>
      <c r="D480" s="43"/>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spans="1:27" ht="15" x14ac:dyDescent="0.15">
      <c r="A481" s="21"/>
      <c r="B481" s="64"/>
      <c r="C481" s="43"/>
      <c r="D481" s="43"/>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spans="1:27" ht="15" x14ac:dyDescent="0.15">
      <c r="A482" s="21"/>
      <c r="B482" s="64"/>
      <c r="C482" s="43"/>
      <c r="D482" s="43"/>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spans="1:27" ht="15" x14ac:dyDescent="0.15">
      <c r="A483" s="21"/>
      <c r="B483" s="64"/>
      <c r="C483" s="43"/>
      <c r="D483" s="43"/>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1:27" ht="15" x14ac:dyDescent="0.15">
      <c r="A484" s="21"/>
      <c r="B484" s="64"/>
      <c r="C484" s="43"/>
      <c r="D484" s="43"/>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1:27" ht="15" x14ac:dyDescent="0.15">
      <c r="A485" s="21"/>
      <c r="B485" s="64"/>
      <c r="C485" s="43"/>
      <c r="D485" s="43"/>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pans="1:27" ht="15" x14ac:dyDescent="0.15">
      <c r="A486" s="21"/>
      <c r="B486" s="64"/>
      <c r="C486" s="43"/>
      <c r="D486" s="43"/>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spans="1:27" ht="15" x14ac:dyDescent="0.15">
      <c r="A487" s="21"/>
      <c r="B487" s="64"/>
      <c r="C487" s="43"/>
      <c r="D487" s="43"/>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spans="1:27" ht="15" x14ac:dyDescent="0.15">
      <c r="A488" s="21"/>
      <c r="B488" s="64"/>
      <c r="C488" s="43"/>
      <c r="D488" s="43"/>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spans="1:27" ht="15" x14ac:dyDescent="0.15">
      <c r="A489" s="21"/>
      <c r="B489" s="64"/>
      <c r="C489" s="43"/>
      <c r="D489" s="43"/>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spans="1:27" ht="15" x14ac:dyDescent="0.15">
      <c r="A490" s="21"/>
      <c r="B490" s="64"/>
      <c r="C490" s="43"/>
      <c r="D490" s="43"/>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pans="1:27" ht="15" x14ac:dyDescent="0.15">
      <c r="A491" s="21"/>
      <c r="B491" s="64"/>
      <c r="C491" s="43"/>
      <c r="D491" s="43"/>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spans="1:27" ht="15" x14ac:dyDescent="0.15">
      <c r="A492" s="21"/>
      <c r="B492" s="64"/>
      <c r="C492" s="43"/>
      <c r="D492" s="43"/>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1:27" ht="15" x14ac:dyDescent="0.15">
      <c r="A493" s="21"/>
      <c r="B493" s="64"/>
      <c r="C493" s="43"/>
      <c r="D493" s="43"/>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spans="1:27" ht="15" x14ac:dyDescent="0.15">
      <c r="A494" s="21"/>
      <c r="B494" s="64"/>
      <c r="C494" s="43"/>
      <c r="D494" s="43"/>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spans="1:27" ht="15" x14ac:dyDescent="0.15">
      <c r="A495" s="21"/>
      <c r="B495" s="64"/>
      <c r="C495" s="43"/>
      <c r="D495" s="43"/>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spans="1:27" ht="15" x14ac:dyDescent="0.15">
      <c r="A496" s="21"/>
      <c r="B496" s="64"/>
      <c r="C496" s="43"/>
      <c r="D496" s="43"/>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spans="1:27" ht="15" x14ac:dyDescent="0.15">
      <c r="A497" s="21"/>
      <c r="B497" s="64"/>
      <c r="C497" s="43"/>
      <c r="D497" s="43"/>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spans="1:27" ht="15" x14ac:dyDescent="0.15">
      <c r="A498" s="21"/>
      <c r="B498" s="64"/>
      <c r="C498" s="43"/>
      <c r="D498" s="43"/>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spans="1:27" ht="15" x14ac:dyDescent="0.15">
      <c r="A499" s="21"/>
      <c r="B499" s="64"/>
      <c r="C499" s="43"/>
      <c r="D499" s="43"/>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spans="1:27" ht="15" x14ac:dyDescent="0.15">
      <c r="A500" s="21"/>
      <c r="B500" s="64"/>
      <c r="C500" s="43"/>
      <c r="D500" s="43"/>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spans="1:27" ht="15" x14ac:dyDescent="0.15">
      <c r="A501" s="21"/>
      <c r="B501" s="64"/>
      <c r="C501" s="43"/>
      <c r="D501" s="43"/>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spans="1:27" ht="15" x14ac:dyDescent="0.15">
      <c r="A502" s="21"/>
      <c r="B502" s="64"/>
      <c r="C502" s="43"/>
      <c r="D502" s="43"/>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spans="1:27" ht="15" x14ac:dyDescent="0.15">
      <c r="A503" s="21"/>
      <c r="B503" s="64"/>
      <c r="C503" s="43"/>
      <c r="D503" s="43"/>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pans="1:27" ht="15" x14ac:dyDescent="0.15">
      <c r="A504" s="21"/>
      <c r="B504" s="64"/>
      <c r="C504" s="43"/>
      <c r="D504" s="43"/>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spans="1:27" ht="15" x14ac:dyDescent="0.15">
      <c r="A505" s="21"/>
      <c r="B505" s="64"/>
      <c r="C505" s="43"/>
      <c r="D505" s="43"/>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1:27" ht="15" x14ac:dyDescent="0.15">
      <c r="A506" s="21"/>
      <c r="B506" s="64"/>
      <c r="C506" s="43"/>
      <c r="D506" s="43"/>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1:27" ht="15" x14ac:dyDescent="0.15">
      <c r="A507" s="21"/>
      <c r="B507" s="64"/>
      <c r="C507" s="43"/>
      <c r="D507" s="43"/>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1:27" ht="15" x14ac:dyDescent="0.15">
      <c r="A508" s="21"/>
      <c r="B508" s="64"/>
      <c r="C508" s="43"/>
      <c r="D508" s="43"/>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spans="1:27" ht="15" x14ac:dyDescent="0.15">
      <c r="A509" s="21"/>
      <c r="B509" s="64"/>
      <c r="C509" s="43"/>
      <c r="D509" s="43"/>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spans="1:27" ht="15" x14ac:dyDescent="0.15">
      <c r="A510" s="21"/>
      <c r="B510" s="64"/>
      <c r="C510" s="43"/>
      <c r="D510" s="43"/>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spans="1:27" ht="15" x14ac:dyDescent="0.15">
      <c r="A511" s="21"/>
      <c r="B511" s="64"/>
      <c r="C511" s="43"/>
      <c r="D511" s="43"/>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spans="1:27" ht="15" x14ac:dyDescent="0.15">
      <c r="A512" s="21"/>
      <c r="B512" s="64"/>
      <c r="C512" s="43"/>
      <c r="D512" s="43"/>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spans="1:27" ht="15" x14ac:dyDescent="0.15">
      <c r="A513" s="21"/>
      <c r="B513" s="64"/>
      <c r="C513" s="43"/>
      <c r="D513" s="43"/>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spans="1:27" ht="15" x14ac:dyDescent="0.15">
      <c r="A514" s="21"/>
      <c r="B514" s="64"/>
      <c r="C514" s="43"/>
      <c r="D514" s="43"/>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spans="1:27" ht="15" x14ac:dyDescent="0.15">
      <c r="A515" s="21"/>
      <c r="B515" s="64"/>
      <c r="C515" s="43"/>
      <c r="D515" s="43"/>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spans="1:27" ht="15" x14ac:dyDescent="0.15">
      <c r="A516" s="21"/>
      <c r="B516" s="64"/>
      <c r="C516" s="43"/>
      <c r="D516" s="43"/>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spans="1:27" ht="15" x14ac:dyDescent="0.15">
      <c r="A517" s="21"/>
      <c r="B517" s="64"/>
      <c r="C517" s="43"/>
      <c r="D517" s="43"/>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spans="1:27" ht="15" x14ac:dyDescent="0.15">
      <c r="A518" s="21"/>
      <c r="B518" s="64"/>
      <c r="C518" s="43"/>
      <c r="D518" s="43"/>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spans="1:27" ht="15" x14ac:dyDescent="0.15">
      <c r="A519" s="21"/>
      <c r="B519" s="64"/>
      <c r="C519" s="43"/>
      <c r="D519" s="43"/>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spans="1:27" ht="15" x14ac:dyDescent="0.15">
      <c r="A520" s="21"/>
      <c r="B520" s="64"/>
      <c r="C520" s="43"/>
      <c r="D520" s="43"/>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spans="1:27" ht="15" x14ac:dyDescent="0.15">
      <c r="A521" s="21"/>
      <c r="B521" s="64"/>
      <c r="C521" s="43"/>
      <c r="D521" s="43"/>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spans="1:27" ht="15" x14ac:dyDescent="0.15">
      <c r="A522" s="21"/>
      <c r="B522" s="64"/>
      <c r="C522" s="43"/>
      <c r="D522" s="43"/>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spans="1:27" ht="15" x14ac:dyDescent="0.15">
      <c r="A523" s="21"/>
      <c r="B523" s="64"/>
      <c r="C523" s="43"/>
      <c r="D523" s="43"/>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spans="1:27" ht="15" x14ac:dyDescent="0.15">
      <c r="A524" s="21"/>
      <c r="B524" s="64"/>
      <c r="C524" s="43"/>
      <c r="D524" s="43"/>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spans="1:27" ht="15" x14ac:dyDescent="0.15">
      <c r="A525" s="21"/>
      <c r="B525" s="64"/>
      <c r="C525" s="43"/>
      <c r="D525" s="43"/>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1:27" ht="15" x14ac:dyDescent="0.15">
      <c r="A526" s="21"/>
      <c r="B526" s="64"/>
      <c r="C526" s="43"/>
      <c r="D526" s="43"/>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1:27" ht="15" x14ac:dyDescent="0.15">
      <c r="A527" s="21"/>
      <c r="B527" s="64"/>
      <c r="C527" s="43"/>
      <c r="D527" s="43"/>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1:27" ht="15" x14ac:dyDescent="0.15">
      <c r="A528" s="21"/>
      <c r="B528" s="64"/>
      <c r="C528" s="43"/>
      <c r="D528" s="43"/>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1:27" ht="15" x14ac:dyDescent="0.15">
      <c r="A529" s="21"/>
      <c r="B529" s="64"/>
      <c r="C529" s="43"/>
      <c r="D529" s="43"/>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pans="1:27" ht="15" x14ac:dyDescent="0.15">
      <c r="A530" s="21"/>
      <c r="B530" s="64"/>
      <c r="C530" s="43"/>
      <c r="D530" s="43"/>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spans="1:27" ht="15" x14ac:dyDescent="0.15">
      <c r="A531" s="21"/>
      <c r="B531" s="64"/>
      <c r="C531" s="43"/>
      <c r="D531" s="43"/>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spans="1:27" ht="15" x14ac:dyDescent="0.15">
      <c r="A532" s="21"/>
      <c r="B532" s="64"/>
      <c r="C532" s="43"/>
      <c r="D532" s="43"/>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spans="1:27" ht="15" x14ac:dyDescent="0.15">
      <c r="A533" s="21"/>
      <c r="B533" s="64"/>
      <c r="C533" s="43"/>
      <c r="D533" s="43"/>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spans="1:27" ht="15" x14ac:dyDescent="0.15">
      <c r="A534" s="21"/>
      <c r="B534" s="64"/>
      <c r="C534" s="43"/>
      <c r="D534" s="43"/>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spans="1:27" ht="15" x14ac:dyDescent="0.15">
      <c r="A535" s="21"/>
      <c r="B535" s="64"/>
      <c r="C535" s="43"/>
      <c r="D535" s="43"/>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spans="1:27" ht="15" x14ac:dyDescent="0.15">
      <c r="A536" s="21"/>
      <c r="B536" s="64"/>
      <c r="C536" s="43"/>
      <c r="D536" s="43"/>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spans="1:27" ht="15" x14ac:dyDescent="0.15">
      <c r="A537" s="21"/>
      <c r="B537" s="64"/>
      <c r="C537" s="43"/>
      <c r="D537" s="43"/>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spans="1:27" ht="15" x14ac:dyDescent="0.15">
      <c r="A538" s="21"/>
      <c r="B538" s="64"/>
      <c r="C538" s="43"/>
      <c r="D538" s="43"/>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1:27" ht="15" x14ac:dyDescent="0.15">
      <c r="A539" s="21"/>
      <c r="B539" s="64"/>
      <c r="C539" s="43"/>
      <c r="D539" s="43"/>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pans="1:27" ht="15" x14ac:dyDescent="0.15">
      <c r="A540" s="21"/>
      <c r="B540" s="64"/>
      <c r="C540" s="43"/>
      <c r="D540" s="43"/>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spans="1:27" ht="15" x14ac:dyDescent="0.15">
      <c r="A541" s="21"/>
      <c r="B541" s="64"/>
      <c r="C541" s="43"/>
      <c r="D541" s="43"/>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spans="1:27" ht="15" x14ac:dyDescent="0.15">
      <c r="A542" s="21"/>
      <c r="B542" s="64"/>
      <c r="C542" s="43"/>
      <c r="D542" s="43"/>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1:27" ht="15" x14ac:dyDescent="0.15">
      <c r="A543" s="21"/>
      <c r="B543" s="64"/>
      <c r="C543" s="43"/>
      <c r="D543" s="43"/>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spans="1:27" ht="15" x14ac:dyDescent="0.15">
      <c r="A544" s="21"/>
      <c r="B544" s="64"/>
      <c r="C544" s="43"/>
      <c r="D544" s="43"/>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spans="1:27" ht="15" x14ac:dyDescent="0.15">
      <c r="A545" s="21"/>
      <c r="B545" s="64"/>
      <c r="C545" s="43"/>
      <c r="D545" s="43"/>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spans="1:27" ht="15" x14ac:dyDescent="0.15">
      <c r="A546" s="21"/>
      <c r="B546" s="64"/>
      <c r="C546" s="43"/>
      <c r="D546" s="43"/>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spans="1:27" ht="15" x14ac:dyDescent="0.15">
      <c r="A547" s="21"/>
      <c r="B547" s="64"/>
      <c r="C547" s="43"/>
      <c r="D547" s="43"/>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1:27" ht="15" x14ac:dyDescent="0.15">
      <c r="A548" s="21"/>
      <c r="B548" s="64"/>
      <c r="C548" s="43"/>
      <c r="D548" s="43"/>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1:27" ht="15" x14ac:dyDescent="0.15">
      <c r="A549" s="21"/>
      <c r="B549" s="64"/>
      <c r="C549" s="43"/>
      <c r="D549" s="43"/>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spans="1:27" ht="15" x14ac:dyDescent="0.15">
      <c r="A550" s="21"/>
      <c r="B550" s="64"/>
      <c r="C550" s="43"/>
      <c r="D550" s="43"/>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pans="1:27" ht="15" x14ac:dyDescent="0.15">
      <c r="A551" s="21"/>
      <c r="B551" s="64"/>
      <c r="C551" s="43"/>
      <c r="D551" s="43"/>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spans="1:27" ht="15" x14ac:dyDescent="0.15">
      <c r="A552" s="21"/>
      <c r="B552" s="64"/>
      <c r="C552" s="43"/>
      <c r="D552" s="43"/>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spans="1:27" ht="15" x14ac:dyDescent="0.15">
      <c r="A553" s="21"/>
      <c r="B553" s="64"/>
      <c r="C553" s="43"/>
      <c r="D553" s="43"/>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spans="1:27" ht="15" x14ac:dyDescent="0.15">
      <c r="A554" s="21"/>
      <c r="B554" s="64"/>
      <c r="C554" s="43"/>
      <c r="D554" s="43"/>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spans="1:27" ht="15" x14ac:dyDescent="0.15">
      <c r="A555" s="21"/>
      <c r="B555" s="64"/>
      <c r="C555" s="43"/>
      <c r="D555" s="43"/>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spans="1:27" ht="15" x14ac:dyDescent="0.15">
      <c r="A556" s="21"/>
      <c r="B556" s="64"/>
      <c r="C556" s="43"/>
      <c r="D556" s="43"/>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spans="1:27" ht="15" x14ac:dyDescent="0.15">
      <c r="A557" s="21"/>
      <c r="B557" s="64"/>
      <c r="C557" s="43"/>
      <c r="D557" s="43"/>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1:27" ht="15" x14ac:dyDescent="0.15">
      <c r="A558" s="21"/>
      <c r="B558" s="64"/>
      <c r="C558" s="43"/>
      <c r="D558" s="43"/>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spans="1:27" ht="15" x14ac:dyDescent="0.15">
      <c r="A559" s="21"/>
      <c r="B559" s="64"/>
      <c r="C559" s="43"/>
      <c r="D559" s="43"/>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pans="1:27" ht="15" x14ac:dyDescent="0.15">
      <c r="A560" s="21"/>
      <c r="B560" s="64"/>
      <c r="C560" s="43"/>
      <c r="D560" s="43"/>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spans="1:27" ht="15" x14ac:dyDescent="0.15">
      <c r="A561" s="21"/>
      <c r="B561" s="64"/>
      <c r="C561" s="43"/>
      <c r="D561" s="43"/>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1:27" ht="15" x14ac:dyDescent="0.15">
      <c r="A562" s="21"/>
      <c r="B562" s="64"/>
      <c r="C562" s="43"/>
      <c r="D562" s="43"/>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1:27" ht="15" x14ac:dyDescent="0.15">
      <c r="A563" s="21"/>
      <c r="B563" s="64"/>
      <c r="C563" s="43"/>
      <c r="D563" s="43"/>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1:27" ht="15" x14ac:dyDescent="0.15">
      <c r="A564" s="21"/>
      <c r="B564" s="64"/>
      <c r="C564" s="43"/>
      <c r="D564" s="43"/>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1:27" ht="15" x14ac:dyDescent="0.15">
      <c r="A565" s="21"/>
      <c r="B565" s="64"/>
      <c r="C565" s="43"/>
      <c r="D565" s="43"/>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spans="1:27" ht="15" x14ac:dyDescent="0.15">
      <c r="A566" s="21"/>
      <c r="B566" s="64"/>
      <c r="C566" s="43"/>
      <c r="D566" s="43"/>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spans="1:27" ht="15" x14ac:dyDescent="0.15">
      <c r="A567" s="21"/>
      <c r="B567" s="64"/>
      <c r="C567" s="43"/>
      <c r="D567" s="43"/>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spans="1:27" ht="15" x14ac:dyDescent="0.15">
      <c r="A568" s="21"/>
      <c r="B568" s="64"/>
      <c r="C568" s="43"/>
      <c r="D568" s="43"/>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spans="1:27" ht="15" x14ac:dyDescent="0.15">
      <c r="A569" s="21"/>
      <c r="B569" s="64"/>
      <c r="C569" s="43"/>
      <c r="D569" s="43"/>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1:27" ht="15" x14ac:dyDescent="0.15">
      <c r="A570" s="21"/>
      <c r="B570" s="64"/>
      <c r="C570" s="43"/>
      <c r="D570" s="43"/>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1:27" ht="15" x14ac:dyDescent="0.15">
      <c r="A571" s="21"/>
      <c r="B571" s="64"/>
      <c r="C571" s="43"/>
      <c r="D571" s="43"/>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1:27" ht="15" x14ac:dyDescent="0.15">
      <c r="A572" s="21"/>
      <c r="B572" s="64"/>
      <c r="C572" s="43"/>
      <c r="D572" s="43"/>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1:27" ht="15" x14ac:dyDescent="0.15">
      <c r="A573" s="21"/>
      <c r="B573" s="64"/>
      <c r="C573" s="43"/>
      <c r="D573" s="43"/>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pans="1:27" ht="15" x14ac:dyDescent="0.15">
      <c r="A574" s="21"/>
      <c r="B574" s="64"/>
      <c r="C574" s="43"/>
      <c r="D574" s="43"/>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spans="1:27" ht="15" x14ac:dyDescent="0.15">
      <c r="A575" s="21"/>
      <c r="B575" s="64"/>
      <c r="C575" s="43"/>
      <c r="D575" s="43"/>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spans="1:27" ht="15" x14ac:dyDescent="0.15">
      <c r="A576" s="21"/>
      <c r="B576" s="64"/>
      <c r="C576" s="43"/>
      <c r="D576" s="43"/>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spans="1:27" ht="15" x14ac:dyDescent="0.15">
      <c r="A577" s="21"/>
      <c r="B577" s="64"/>
      <c r="C577" s="43"/>
      <c r="D577" s="43"/>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spans="1:27" ht="15" x14ac:dyDescent="0.15">
      <c r="A578" s="21"/>
      <c r="B578" s="64"/>
      <c r="C578" s="43"/>
      <c r="D578" s="43"/>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spans="1:27" ht="15" x14ac:dyDescent="0.15">
      <c r="A579" s="21"/>
      <c r="B579" s="64"/>
      <c r="C579" s="43"/>
      <c r="D579" s="43"/>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spans="1:27" ht="15" x14ac:dyDescent="0.15">
      <c r="A580" s="21"/>
      <c r="B580" s="64"/>
      <c r="C580" s="43"/>
      <c r="D580" s="43"/>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spans="1:27" ht="15" x14ac:dyDescent="0.15">
      <c r="A581" s="21"/>
      <c r="B581" s="64"/>
      <c r="C581" s="43"/>
      <c r="D581" s="43"/>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spans="1:27" ht="15" x14ac:dyDescent="0.15">
      <c r="A582" s="21"/>
      <c r="B582" s="64"/>
      <c r="C582" s="43"/>
      <c r="D582" s="43"/>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spans="1:27" ht="15" x14ac:dyDescent="0.15">
      <c r="A583" s="21"/>
      <c r="B583" s="64"/>
      <c r="C583" s="43"/>
      <c r="D583" s="43"/>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spans="1:27" ht="15" x14ac:dyDescent="0.15">
      <c r="A584" s="21"/>
      <c r="B584" s="64"/>
      <c r="C584" s="43"/>
      <c r="D584" s="43"/>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spans="1:27" ht="15" x14ac:dyDescent="0.15">
      <c r="A585" s="21"/>
      <c r="B585" s="64"/>
      <c r="C585" s="43"/>
      <c r="D585" s="43"/>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1:27" ht="15" x14ac:dyDescent="0.15">
      <c r="A586" s="21"/>
      <c r="B586" s="64"/>
      <c r="C586" s="43"/>
      <c r="D586" s="43"/>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1:27" ht="15" x14ac:dyDescent="0.15">
      <c r="A587" s="21"/>
      <c r="B587" s="64"/>
      <c r="C587" s="43"/>
      <c r="D587" s="43"/>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1:27" ht="15" x14ac:dyDescent="0.15">
      <c r="A588" s="21"/>
      <c r="B588" s="64"/>
      <c r="C588" s="43"/>
      <c r="D588" s="43"/>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pans="1:27" ht="15" x14ac:dyDescent="0.15">
      <c r="A589" s="21"/>
      <c r="B589" s="64"/>
      <c r="C589" s="43"/>
      <c r="D589" s="43"/>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spans="1:27" ht="15" x14ac:dyDescent="0.15">
      <c r="A590" s="21"/>
      <c r="B590" s="64"/>
      <c r="C590" s="43"/>
      <c r="D590" s="43"/>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spans="1:27" ht="15" x14ac:dyDescent="0.15">
      <c r="A591" s="21"/>
      <c r="B591" s="64"/>
      <c r="C591" s="43"/>
      <c r="D591" s="43"/>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spans="1:27" ht="15" x14ac:dyDescent="0.15">
      <c r="A592" s="21"/>
      <c r="B592" s="64"/>
      <c r="C592" s="43"/>
      <c r="D592" s="43"/>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spans="1:27" ht="15" x14ac:dyDescent="0.15">
      <c r="A593" s="21"/>
      <c r="B593" s="64"/>
      <c r="C593" s="43"/>
      <c r="D593" s="43"/>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spans="1:27" ht="15" x14ac:dyDescent="0.15">
      <c r="A594" s="21"/>
      <c r="B594" s="64"/>
      <c r="C594" s="43"/>
      <c r="D594" s="43"/>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spans="1:27" ht="15" x14ac:dyDescent="0.15">
      <c r="A595" s="21"/>
      <c r="B595" s="64"/>
      <c r="C595" s="43"/>
      <c r="D595" s="43"/>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spans="1:27" ht="15" x14ac:dyDescent="0.15">
      <c r="A596" s="21"/>
      <c r="B596" s="64"/>
      <c r="C596" s="43"/>
      <c r="D596" s="43"/>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spans="1:27" ht="15" x14ac:dyDescent="0.15">
      <c r="A597" s="21"/>
      <c r="B597" s="64"/>
      <c r="C597" s="43"/>
      <c r="D597" s="43"/>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1:27" ht="15" x14ac:dyDescent="0.15">
      <c r="A598" s="21"/>
      <c r="B598" s="64"/>
      <c r="C598" s="43"/>
      <c r="D598" s="43"/>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1:27" ht="15" x14ac:dyDescent="0.15">
      <c r="A599" s="21"/>
      <c r="B599" s="64"/>
      <c r="C599" s="43"/>
      <c r="D599" s="43"/>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spans="1:27" ht="15" x14ac:dyDescent="0.15">
      <c r="A600" s="21"/>
      <c r="B600" s="64"/>
      <c r="C600" s="43"/>
      <c r="D600" s="43"/>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pans="1:27" ht="15" x14ac:dyDescent="0.15">
      <c r="A601" s="21"/>
      <c r="B601" s="64"/>
      <c r="C601" s="43"/>
      <c r="D601" s="43"/>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spans="1:27" ht="15" x14ac:dyDescent="0.15">
      <c r="A602" s="21"/>
      <c r="B602" s="64"/>
      <c r="C602" s="43"/>
      <c r="D602" s="43"/>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spans="1:27" ht="15" x14ac:dyDescent="0.15">
      <c r="A603" s="21"/>
      <c r="B603" s="64"/>
      <c r="C603" s="43"/>
      <c r="D603" s="43"/>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spans="1:27" ht="15" x14ac:dyDescent="0.15">
      <c r="A604" s="21"/>
      <c r="B604" s="64"/>
      <c r="C604" s="43"/>
      <c r="D604" s="43"/>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spans="1:27" ht="15" x14ac:dyDescent="0.15">
      <c r="A605" s="21"/>
      <c r="B605" s="64"/>
      <c r="C605" s="43"/>
      <c r="D605" s="43"/>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spans="1:27" ht="15" x14ac:dyDescent="0.15">
      <c r="A606" s="21"/>
      <c r="B606" s="64"/>
      <c r="C606" s="43"/>
      <c r="D606" s="43"/>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spans="1:27" ht="15" x14ac:dyDescent="0.15">
      <c r="A607" s="21"/>
      <c r="B607" s="64"/>
      <c r="C607" s="43"/>
      <c r="D607" s="43"/>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spans="1:27" ht="15" x14ac:dyDescent="0.15">
      <c r="A608" s="21"/>
      <c r="B608" s="64"/>
      <c r="C608" s="43"/>
      <c r="D608" s="43"/>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spans="1:27" ht="15" x14ac:dyDescent="0.15">
      <c r="A609" s="21"/>
      <c r="B609" s="64"/>
      <c r="C609" s="43"/>
      <c r="D609" s="43"/>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spans="1:27" ht="15" x14ac:dyDescent="0.15">
      <c r="A610" s="21"/>
      <c r="B610" s="64"/>
      <c r="C610" s="43"/>
      <c r="D610" s="43"/>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spans="1:27" ht="15" x14ac:dyDescent="0.15">
      <c r="A611" s="21"/>
      <c r="B611" s="64"/>
      <c r="C611" s="43"/>
      <c r="D611" s="43"/>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spans="1:27" ht="15" x14ac:dyDescent="0.15">
      <c r="A612" s="21"/>
      <c r="B612" s="64"/>
      <c r="C612" s="43"/>
      <c r="D612" s="43"/>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spans="1:27" ht="15" x14ac:dyDescent="0.15">
      <c r="A613" s="21"/>
      <c r="B613" s="64"/>
      <c r="C613" s="43"/>
      <c r="D613" s="43"/>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spans="1:27" ht="15" x14ac:dyDescent="0.15">
      <c r="A614" s="21"/>
      <c r="B614" s="64"/>
      <c r="C614" s="43"/>
      <c r="D614" s="43"/>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spans="1:27" ht="15" x14ac:dyDescent="0.15">
      <c r="A615" s="21"/>
      <c r="B615" s="64"/>
      <c r="C615" s="43"/>
      <c r="D615" s="43"/>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spans="1:27" ht="15" x14ac:dyDescent="0.15">
      <c r="A616" s="21"/>
      <c r="B616" s="64"/>
      <c r="C616" s="43"/>
      <c r="D616" s="43"/>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spans="1:27" ht="15" x14ac:dyDescent="0.15">
      <c r="A617" s="21"/>
      <c r="B617" s="64"/>
      <c r="C617" s="43"/>
      <c r="D617" s="43"/>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spans="1:27" ht="15" x14ac:dyDescent="0.15">
      <c r="A618" s="21"/>
      <c r="B618" s="64"/>
      <c r="C618" s="43"/>
      <c r="D618" s="43"/>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spans="1:27" ht="15" x14ac:dyDescent="0.15">
      <c r="A619" s="21"/>
      <c r="B619" s="64"/>
      <c r="C619" s="43"/>
      <c r="D619" s="43"/>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spans="1:27" ht="15" x14ac:dyDescent="0.15">
      <c r="A620" s="21"/>
      <c r="B620" s="64"/>
      <c r="C620" s="43"/>
      <c r="D620" s="43"/>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spans="1:27" ht="15" x14ac:dyDescent="0.15">
      <c r="A621" s="21"/>
      <c r="B621" s="64"/>
      <c r="C621" s="43"/>
      <c r="D621" s="43"/>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spans="1:27" ht="15" x14ac:dyDescent="0.15">
      <c r="A622" s="21"/>
      <c r="B622" s="64"/>
      <c r="C622" s="43"/>
      <c r="D622" s="43"/>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spans="1:27" ht="15" x14ac:dyDescent="0.15">
      <c r="A623" s="21"/>
      <c r="B623" s="64"/>
      <c r="C623" s="43"/>
      <c r="D623" s="43"/>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spans="1:27" ht="15" x14ac:dyDescent="0.15">
      <c r="A624" s="21"/>
      <c r="B624" s="64"/>
      <c r="C624" s="43"/>
      <c r="D624" s="43"/>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spans="1:27" ht="15" x14ac:dyDescent="0.15">
      <c r="A625" s="21"/>
      <c r="B625" s="64"/>
      <c r="C625" s="43"/>
      <c r="D625" s="43"/>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1:27" ht="15" x14ac:dyDescent="0.15">
      <c r="A626" s="21"/>
      <c r="B626" s="64"/>
      <c r="C626" s="43"/>
      <c r="D626" s="43"/>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spans="1:27" ht="15" x14ac:dyDescent="0.15">
      <c r="A627" s="21"/>
      <c r="B627" s="64"/>
      <c r="C627" s="43"/>
      <c r="D627" s="43"/>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pans="1:27" ht="15" x14ac:dyDescent="0.15">
      <c r="A628" s="21"/>
      <c r="B628" s="64"/>
      <c r="C628" s="43"/>
      <c r="D628" s="43"/>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spans="1:27" ht="15" x14ac:dyDescent="0.15">
      <c r="A629" s="21"/>
      <c r="B629" s="64"/>
      <c r="C629" s="43"/>
      <c r="D629" s="43"/>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spans="1:27" ht="15" x14ac:dyDescent="0.15">
      <c r="A630" s="21"/>
      <c r="B630" s="64"/>
      <c r="C630" s="43"/>
      <c r="D630" s="43"/>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spans="1:27" ht="15" x14ac:dyDescent="0.15">
      <c r="A631" s="21"/>
      <c r="B631" s="64"/>
      <c r="C631" s="43"/>
      <c r="D631" s="43"/>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spans="1:27" ht="15" x14ac:dyDescent="0.15">
      <c r="A632" s="21"/>
      <c r="B632" s="64"/>
      <c r="C632" s="43"/>
      <c r="D632" s="43"/>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spans="1:27" ht="15" x14ac:dyDescent="0.15">
      <c r="A633" s="21"/>
      <c r="B633" s="64"/>
      <c r="C633" s="43"/>
      <c r="D633" s="43"/>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spans="1:27" ht="15" x14ac:dyDescent="0.15">
      <c r="A634" s="21"/>
      <c r="B634" s="64"/>
      <c r="C634" s="43"/>
      <c r="D634" s="43"/>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spans="1:27" ht="15" x14ac:dyDescent="0.15">
      <c r="A635" s="21"/>
      <c r="B635" s="64"/>
      <c r="C635" s="43"/>
      <c r="D635" s="43"/>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spans="1:27" ht="15" x14ac:dyDescent="0.15">
      <c r="A636" s="21"/>
      <c r="B636" s="64"/>
      <c r="C636" s="43"/>
      <c r="D636" s="43"/>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1:27" ht="15" x14ac:dyDescent="0.15">
      <c r="A637" s="21"/>
      <c r="B637" s="64"/>
      <c r="C637" s="43"/>
      <c r="D637" s="43"/>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1:27" ht="15" x14ac:dyDescent="0.15">
      <c r="A638" s="21"/>
      <c r="B638" s="64"/>
      <c r="C638" s="43"/>
      <c r="D638" s="43"/>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1:27" ht="15" x14ac:dyDescent="0.15">
      <c r="A639" s="21"/>
      <c r="B639" s="64"/>
      <c r="C639" s="43"/>
      <c r="D639" s="43"/>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1:27" ht="15" x14ac:dyDescent="0.15">
      <c r="A640" s="21"/>
      <c r="B640" s="64"/>
      <c r="C640" s="43"/>
      <c r="D640" s="43"/>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1:27" ht="15" x14ac:dyDescent="0.15">
      <c r="A641" s="21"/>
      <c r="B641" s="64"/>
      <c r="C641" s="43"/>
      <c r="D641" s="43"/>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1:27" ht="15" x14ac:dyDescent="0.15">
      <c r="A642" s="21"/>
      <c r="B642" s="64"/>
      <c r="C642" s="43"/>
      <c r="D642" s="43"/>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1:27" ht="15" x14ac:dyDescent="0.15">
      <c r="A643" s="21"/>
      <c r="B643" s="64"/>
      <c r="C643" s="43"/>
      <c r="D643" s="43"/>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1:27" ht="15" x14ac:dyDescent="0.15">
      <c r="A644" s="21"/>
      <c r="B644" s="64"/>
      <c r="C644" s="43"/>
      <c r="D644" s="43"/>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1:27" ht="15" x14ac:dyDescent="0.15">
      <c r="A645" s="21"/>
      <c r="B645" s="64"/>
      <c r="C645" s="43"/>
      <c r="D645" s="43"/>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pans="1:27" ht="15" x14ac:dyDescent="0.15">
      <c r="A646" s="21"/>
      <c r="B646" s="64"/>
      <c r="C646" s="43"/>
      <c r="D646" s="43"/>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spans="1:27" ht="15" x14ac:dyDescent="0.15">
      <c r="A647" s="21"/>
      <c r="B647" s="64"/>
      <c r="C647" s="43"/>
      <c r="D647" s="43"/>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spans="1:27" ht="15" x14ac:dyDescent="0.15">
      <c r="A648" s="21"/>
      <c r="B648" s="64"/>
      <c r="C648" s="43"/>
      <c r="D648" s="43"/>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spans="1:27" ht="15" x14ac:dyDescent="0.15">
      <c r="A649" s="21"/>
      <c r="B649" s="64"/>
      <c r="C649" s="43"/>
      <c r="D649" s="43"/>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spans="1:27" ht="15" x14ac:dyDescent="0.15">
      <c r="A650" s="21"/>
      <c r="B650" s="64"/>
      <c r="C650" s="43"/>
      <c r="D650" s="43"/>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1:27" ht="15" x14ac:dyDescent="0.15">
      <c r="A651" s="21"/>
      <c r="B651" s="64"/>
      <c r="C651" s="43"/>
      <c r="D651" s="43"/>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pans="1:27" ht="15" x14ac:dyDescent="0.15">
      <c r="A652" s="21"/>
      <c r="B652" s="64"/>
      <c r="C652" s="43"/>
      <c r="D652" s="43"/>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spans="1:27" ht="15" x14ac:dyDescent="0.15">
      <c r="A653" s="21"/>
      <c r="B653" s="64"/>
      <c r="C653" s="43"/>
      <c r="D653" s="43"/>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1:27" ht="15" x14ac:dyDescent="0.15">
      <c r="A654" s="21"/>
      <c r="B654" s="64"/>
      <c r="C654" s="43"/>
      <c r="D654" s="43"/>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1:27" ht="15" x14ac:dyDescent="0.15">
      <c r="A655" s="21"/>
      <c r="B655" s="64"/>
      <c r="C655" s="43"/>
      <c r="D655" s="43"/>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1:27" ht="15" x14ac:dyDescent="0.15">
      <c r="A656" s="21"/>
      <c r="B656" s="64"/>
      <c r="C656" s="43"/>
      <c r="D656" s="43"/>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spans="1:27" ht="15" x14ac:dyDescent="0.15">
      <c r="A657" s="21"/>
      <c r="B657" s="64"/>
      <c r="C657" s="43"/>
      <c r="D657" s="43"/>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spans="1:27" ht="15" x14ac:dyDescent="0.15">
      <c r="A658" s="21"/>
      <c r="B658" s="64"/>
      <c r="C658" s="43"/>
      <c r="D658" s="43"/>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spans="1:27" ht="15" x14ac:dyDescent="0.15">
      <c r="A659" s="21"/>
      <c r="B659" s="64"/>
      <c r="C659" s="43"/>
      <c r="D659" s="43"/>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spans="1:27" ht="15" x14ac:dyDescent="0.15">
      <c r="A660" s="21"/>
      <c r="B660" s="64"/>
      <c r="C660" s="43"/>
      <c r="D660" s="43"/>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spans="1:27" ht="15" x14ac:dyDescent="0.15">
      <c r="A661" s="21"/>
      <c r="B661" s="64"/>
      <c r="C661" s="43"/>
      <c r="D661" s="43"/>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spans="1:27" ht="15" x14ac:dyDescent="0.15">
      <c r="A662" s="21"/>
      <c r="B662" s="64"/>
      <c r="C662" s="43"/>
      <c r="D662" s="43"/>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spans="1:27" ht="15" x14ac:dyDescent="0.15">
      <c r="A663" s="21"/>
      <c r="B663" s="64"/>
      <c r="C663" s="43"/>
      <c r="D663" s="43"/>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spans="1:27" ht="15" x14ac:dyDescent="0.15">
      <c r="A664" s="21"/>
      <c r="B664" s="64"/>
      <c r="C664" s="43"/>
      <c r="D664" s="43"/>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spans="1:27" ht="15" x14ac:dyDescent="0.15">
      <c r="A665" s="21"/>
      <c r="B665" s="64"/>
      <c r="C665" s="43"/>
      <c r="D665" s="43"/>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spans="1:27" ht="15" x14ac:dyDescent="0.15">
      <c r="A666" s="21"/>
      <c r="B666" s="64"/>
      <c r="C666" s="43"/>
      <c r="D666" s="43"/>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spans="1:27" ht="15" x14ac:dyDescent="0.15">
      <c r="A667" s="21"/>
      <c r="B667" s="64"/>
      <c r="C667" s="43"/>
      <c r="D667" s="43"/>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spans="1:27" ht="15" x14ac:dyDescent="0.15">
      <c r="A668" s="21"/>
      <c r="B668" s="64"/>
      <c r="C668" s="43"/>
      <c r="D668" s="43"/>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spans="1:27" ht="15" x14ac:dyDescent="0.15">
      <c r="A669" s="21"/>
      <c r="B669" s="64"/>
      <c r="C669" s="43"/>
      <c r="D669" s="43"/>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spans="1:27" ht="15" x14ac:dyDescent="0.15">
      <c r="A670" s="21"/>
      <c r="B670" s="64"/>
      <c r="C670" s="43"/>
      <c r="D670" s="43"/>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spans="1:27" ht="15" x14ac:dyDescent="0.15">
      <c r="A671" s="21"/>
      <c r="B671" s="64"/>
      <c r="C671" s="43"/>
      <c r="D671" s="43"/>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spans="1:27" ht="15" x14ac:dyDescent="0.15">
      <c r="A672" s="21"/>
      <c r="B672" s="64"/>
      <c r="C672" s="43"/>
      <c r="D672" s="43"/>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spans="1:27" ht="15" x14ac:dyDescent="0.15">
      <c r="A673" s="21"/>
      <c r="B673" s="64"/>
      <c r="C673" s="43"/>
      <c r="D673" s="43"/>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spans="1:27" ht="15" x14ac:dyDescent="0.15">
      <c r="A674" s="21"/>
      <c r="B674" s="64"/>
      <c r="C674" s="43"/>
      <c r="D674" s="43"/>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spans="1:27" ht="15" x14ac:dyDescent="0.15">
      <c r="A675" s="21"/>
      <c r="B675" s="64"/>
      <c r="C675" s="43"/>
      <c r="D675" s="43"/>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spans="1:27" ht="15" x14ac:dyDescent="0.15">
      <c r="A676" s="21"/>
      <c r="B676" s="64"/>
      <c r="C676" s="43"/>
      <c r="D676" s="43"/>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spans="1:27" ht="15" x14ac:dyDescent="0.15">
      <c r="A677" s="21"/>
      <c r="B677" s="64"/>
      <c r="C677" s="43"/>
      <c r="D677" s="43"/>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1:27" ht="15" x14ac:dyDescent="0.15">
      <c r="A678" s="21"/>
      <c r="B678" s="64"/>
      <c r="C678" s="43"/>
      <c r="D678" s="43"/>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1:27" ht="15" x14ac:dyDescent="0.15">
      <c r="A679" s="21"/>
      <c r="B679" s="64"/>
      <c r="C679" s="43"/>
      <c r="D679" s="43"/>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1:27" ht="15" x14ac:dyDescent="0.15">
      <c r="A680" s="21"/>
      <c r="B680" s="64"/>
      <c r="C680" s="43"/>
      <c r="D680" s="43"/>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1:27" ht="15" x14ac:dyDescent="0.15">
      <c r="A681" s="21"/>
      <c r="B681" s="64"/>
      <c r="C681" s="43"/>
      <c r="D681" s="43"/>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pans="1:27" ht="15" x14ac:dyDescent="0.15">
      <c r="A682" s="21"/>
      <c r="B682" s="64"/>
      <c r="C682" s="43"/>
      <c r="D682" s="43"/>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spans="1:27" ht="15" x14ac:dyDescent="0.15">
      <c r="A683" s="21"/>
      <c r="B683" s="64"/>
      <c r="C683" s="43"/>
      <c r="D683" s="43"/>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spans="1:27" ht="15" x14ac:dyDescent="0.15">
      <c r="A684" s="21"/>
      <c r="B684" s="64"/>
      <c r="C684" s="43"/>
      <c r="D684" s="43"/>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1:27" ht="15" x14ac:dyDescent="0.15">
      <c r="A685" s="21"/>
      <c r="B685" s="64"/>
      <c r="C685" s="43"/>
      <c r="D685" s="43"/>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spans="1:27" ht="15" x14ac:dyDescent="0.15">
      <c r="A686" s="21"/>
      <c r="B686" s="64"/>
      <c r="C686" s="43"/>
      <c r="D686" s="43"/>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spans="1:27" ht="15" x14ac:dyDescent="0.15">
      <c r="A687" s="21"/>
      <c r="B687" s="64"/>
      <c r="C687" s="43"/>
      <c r="D687" s="43"/>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spans="1:27" ht="15" x14ac:dyDescent="0.15">
      <c r="A688" s="21"/>
      <c r="B688" s="64"/>
      <c r="C688" s="43"/>
      <c r="D688" s="43"/>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spans="1:27" ht="15" x14ac:dyDescent="0.15">
      <c r="A689" s="21"/>
      <c r="B689" s="64"/>
      <c r="C689" s="43"/>
      <c r="D689" s="43"/>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spans="1:27" ht="15" x14ac:dyDescent="0.15">
      <c r="A690" s="21"/>
      <c r="B690" s="64"/>
      <c r="C690" s="43"/>
      <c r="D690" s="43"/>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spans="1:27" ht="15" x14ac:dyDescent="0.15">
      <c r="A691" s="21"/>
      <c r="B691" s="64"/>
      <c r="C691" s="43"/>
      <c r="D691" s="43"/>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spans="1:27" ht="15" x14ac:dyDescent="0.15">
      <c r="A692" s="21"/>
      <c r="B692" s="64"/>
      <c r="C692" s="43"/>
      <c r="D692" s="43"/>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spans="1:27" ht="15" x14ac:dyDescent="0.15">
      <c r="A693" s="21"/>
      <c r="B693" s="64"/>
      <c r="C693" s="43"/>
      <c r="D693" s="43"/>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spans="1:27" ht="15" x14ac:dyDescent="0.15">
      <c r="A694" s="21"/>
      <c r="B694" s="64"/>
      <c r="C694" s="43"/>
      <c r="D694" s="43"/>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spans="1:27" ht="15" x14ac:dyDescent="0.15">
      <c r="A695" s="21"/>
      <c r="B695" s="64"/>
      <c r="C695" s="43"/>
      <c r="D695" s="43"/>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spans="1:27" ht="15" x14ac:dyDescent="0.15">
      <c r="A696" s="21"/>
      <c r="B696" s="64"/>
      <c r="C696" s="43"/>
      <c r="D696" s="43"/>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spans="1:27" ht="15" x14ac:dyDescent="0.15">
      <c r="A697" s="21"/>
      <c r="B697" s="64"/>
      <c r="C697" s="43"/>
      <c r="D697" s="43"/>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spans="1:27" ht="15" x14ac:dyDescent="0.15">
      <c r="A698" s="21"/>
      <c r="B698" s="64"/>
      <c r="C698" s="43"/>
      <c r="D698" s="43"/>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spans="1:27" ht="15" x14ac:dyDescent="0.15">
      <c r="A699" s="21"/>
      <c r="B699" s="64"/>
      <c r="C699" s="43"/>
      <c r="D699" s="43"/>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spans="1:27" ht="15" x14ac:dyDescent="0.15">
      <c r="A700" s="21"/>
      <c r="B700" s="64"/>
      <c r="C700" s="43"/>
      <c r="D700" s="43"/>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spans="1:27" ht="15" x14ac:dyDescent="0.15">
      <c r="A701" s="21"/>
      <c r="B701" s="64"/>
      <c r="C701" s="43"/>
      <c r="D701" s="43"/>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spans="1:27" ht="15" x14ac:dyDescent="0.15">
      <c r="A702" s="21"/>
      <c r="B702" s="64"/>
      <c r="C702" s="43"/>
      <c r="D702" s="43"/>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spans="1:27" ht="15" x14ac:dyDescent="0.15">
      <c r="A703" s="21"/>
      <c r="B703" s="64"/>
      <c r="C703" s="43"/>
      <c r="D703" s="43"/>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spans="1:27" ht="15" x14ac:dyDescent="0.15">
      <c r="A704" s="21"/>
      <c r="B704" s="64"/>
      <c r="C704" s="43"/>
      <c r="D704" s="43"/>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spans="1:27" ht="15" x14ac:dyDescent="0.15">
      <c r="A705" s="21"/>
      <c r="B705" s="64"/>
      <c r="C705" s="43"/>
      <c r="D705" s="43"/>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spans="1:27" ht="15" x14ac:dyDescent="0.15">
      <c r="A706" s="21"/>
      <c r="B706" s="64"/>
      <c r="C706" s="43"/>
      <c r="D706" s="43"/>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spans="1:27" ht="15" x14ac:dyDescent="0.15">
      <c r="A707" s="21"/>
      <c r="B707" s="64"/>
      <c r="C707" s="43"/>
      <c r="D707" s="43"/>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1:27" ht="15" x14ac:dyDescent="0.15">
      <c r="A708" s="21"/>
      <c r="B708" s="64"/>
      <c r="C708" s="43"/>
      <c r="D708" s="43"/>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1:27" ht="15" x14ac:dyDescent="0.15">
      <c r="A709" s="21"/>
      <c r="B709" s="64"/>
      <c r="C709" s="43"/>
      <c r="D709" s="43"/>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1:27" ht="15" x14ac:dyDescent="0.15">
      <c r="A710" s="21"/>
      <c r="B710" s="64"/>
      <c r="C710" s="43"/>
      <c r="D710" s="43"/>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pans="1:27" ht="15" x14ac:dyDescent="0.15">
      <c r="A711" s="21"/>
      <c r="B711" s="64"/>
      <c r="C711" s="43"/>
      <c r="D711" s="43"/>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spans="1:27" ht="15" x14ac:dyDescent="0.15">
      <c r="A712" s="21"/>
      <c r="B712" s="64"/>
      <c r="C712" s="43"/>
      <c r="D712" s="43"/>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spans="1:27" ht="15" x14ac:dyDescent="0.15">
      <c r="A713" s="21"/>
      <c r="B713" s="64"/>
      <c r="C713" s="43"/>
      <c r="D713" s="43"/>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spans="1:27" ht="15" x14ac:dyDescent="0.15">
      <c r="A714" s="21"/>
      <c r="B714" s="64"/>
      <c r="C714" s="43"/>
      <c r="D714" s="43"/>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spans="1:27" ht="15" x14ac:dyDescent="0.15">
      <c r="A715" s="21"/>
      <c r="B715" s="64"/>
      <c r="C715" s="43"/>
      <c r="D715" s="43"/>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spans="1:27" ht="15" x14ac:dyDescent="0.15">
      <c r="A716" s="21"/>
      <c r="B716" s="64"/>
      <c r="C716" s="43"/>
      <c r="D716" s="43"/>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spans="1:27" ht="15" x14ac:dyDescent="0.15">
      <c r="A717" s="21"/>
      <c r="B717" s="64"/>
      <c r="C717" s="43"/>
      <c r="D717" s="43"/>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spans="1:27" ht="15" x14ac:dyDescent="0.15">
      <c r="A718" s="21"/>
      <c r="B718" s="64"/>
      <c r="C718" s="43"/>
      <c r="D718" s="43"/>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spans="1:27" ht="15" x14ac:dyDescent="0.15">
      <c r="A719" s="21"/>
      <c r="B719" s="64"/>
      <c r="C719" s="43"/>
      <c r="D719" s="43"/>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spans="1:27" ht="15" x14ac:dyDescent="0.15">
      <c r="A720" s="21"/>
      <c r="B720" s="64"/>
      <c r="C720" s="43"/>
      <c r="D720" s="43"/>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spans="1:27" ht="15" x14ac:dyDescent="0.15">
      <c r="A721" s="21"/>
      <c r="B721" s="64"/>
      <c r="C721" s="43"/>
      <c r="D721" s="43"/>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spans="1:27" ht="15" x14ac:dyDescent="0.15">
      <c r="A722" s="21"/>
      <c r="B722" s="64"/>
      <c r="C722" s="43"/>
      <c r="D722" s="43"/>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spans="1:27" ht="15" x14ac:dyDescent="0.15">
      <c r="A723" s="21"/>
      <c r="B723" s="64"/>
      <c r="C723" s="43"/>
      <c r="D723" s="43"/>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spans="1:27" ht="15" x14ac:dyDescent="0.15">
      <c r="A724" s="21"/>
      <c r="B724" s="64"/>
      <c r="C724" s="43"/>
      <c r="D724" s="43"/>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spans="1:27" ht="15" x14ac:dyDescent="0.15">
      <c r="A725" s="21"/>
      <c r="B725" s="64"/>
      <c r="C725" s="43"/>
      <c r="D725" s="43"/>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spans="1:27" ht="15" x14ac:dyDescent="0.15">
      <c r="A726" s="21"/>
      <c r="B726" s="64"/>
      <c r="C726" s="43"/>
      <c r="D726" s="43"/>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spans="1:27" ht="15" x14ac:dyDescent="0.15">
      <c r="A727" s="21"/>
      <c r="B727" s="64"/>
      <c r="C727" s="43"/>
      <c r="D727" s="43"/>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spans="1:27" ht="15" x14ac:dyDescent="0.15">
      <c r="A728" s="21"/>
      <c r="B728" s="64"/>
      <c r="C728" s="43"/>
      <c r="D728" s="43"/>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spans="1:27" ht="15" x14ac:dyDescent="0.15">
      <c r="A729" s="21"/>
      <c r="B729" s="64"/>
      <c r="C729" s="43"/>
      <c r="D729" s="43"/>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spans="1:27" ht="15" x14ac:dyDescent="0.15">
      <c r="A730" s="21"/>
      <c r="B730" s="64"/>
      <c r="C730" s="43"/>
      <c r="D730" s="43"/>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spans="1:27" ht="15" x14ac:dyDescent="0.15">
      <c r="A731" s="21"/>
      <c r="B731" s="64"/>
      <c r="C731" s="43"/>
      <c r="D731" s="43"/>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spans="1:27" ht="15" x14ac:dyDescent="0.15">
      <c r="A732" s="21"/>
      <c r="B732" s="64"/>
      <c r="C732" s="43"/>
      <c r="D732" s="43"/>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spans="1:27" ht="15" x14ac:dyDescent="0.15">
      <c r="A733" s="21"/>
      <c r="B733" s="64"/>
      <c r="C733" s="43"/>
      <c r="D733" s="43"/>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spans="1:27" ht="15" x14ac:dyDescent="0.15">
      <c r="A734" s="21"/>
      <c r="B734" s="64"/>
      <c r="C734" s="43"/>
      <c r="D734" s="43"/>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spans="1:27" ht="15" x14ac:dyDescent="0.15">
      <c r="A735" s="21"/>
      <c r="B735" s="64"/>
      <c r="C735" s="43"/>
      <c r="D735" s="43"/>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spans="1:27" ht="15" x14ac:dyDescent="0.15">
      <c r="A736" s="21"/>
      <c r="B736" s="64"/>
      <c r="C736" s="43"/>
      <c r="D736" s="43"/>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spans="1:27" ht="15" x14ac:dyDescent="0.15">
      <c r="A737" s="21"/>
      <c r="B737" s="64"/>
      <c r="C737" s="43"/>
      <c r="D737" s="43"/>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spans="1:27" ht="15" x14ac:dyDescent="0.15">
      <c r="A738" s="21"/>
      <c r="B738" s="64"/>
      <c r="C738" s="43"/>
      <c r="D738" s="43"/>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spans="1:27" ht="15" x14ac:dyDescent="0.15">
      <c r="A739" s="21"/>
      <c r="B739" s="64"/>
      <c r="C739" s="43"/>
      <c r="D739" s="43"/>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spans="1:27" ht="15" x14ac:dyDescent="0.15">
      <c r="A740" s="21"/>
      <c r="B740" s="64"/>
      <c r="C740" s="43"/>
      <c r="D740" s="43"/>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spans="1:27" ht="15" x14ac:dyDescent="0.15">
      <c r="A741" s="21"/>
      <c r="B741" s="64"/>
      <c r="C741" s="43"/>
      <c r="D741" s="43"/>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spans="1:27" ht="15" x14ac:dyDescent="0.15">
      <c r="A742" s="21"/>
      <c r="B742" s="64"/>
      <c r="C742" s="43"/>
      <c r="D742" s="43"/>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spans="1:27" ht="15" x14ac:dyDescent="0.15">
      <c r="A743" s="21"/>
      <c r="B743" s="64"/>
      <c r="C743" s="43"/>
      <c r="D743" s="43"/>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spans="1:27" ht="15" x14ac:dyDescent="0.15">
      <c r="A744" s="21"/>
      <c r="B744" s="64"/>
      <c r="C744" s="43"/>
      <c r="D744" s="43"/>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spans="1:27" ht="15" x14ac:dyDescent="0.15">
      <c r="A745" s="21"/>
      <c r="B745" s="64"/>
      <c r="C745" s="43"/>
      <c r="D745" s="43"/>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spans="1:27" ht="15" x14ac:dyDescent="0.15">
      <c r="A746" s="21"/>
      <c r="B746" s="64"/>
      <c r="C746" s="43"/>
      <c r="D746" s="43"/>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spans="1:27" ht="15" x14ac:dyDescent="0.15">
      <c r="A747" s="21"/>
      <c r="B747" s="64"/>
      <c r="C747" s="43"/>
      <c r="D747" s="43"/>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spans="1:27" ht="15" x14ac:dyDescent="0.15">
      <c r="A748" s="21"/>
      <c r="B748" s="64"/>
      <c r="C748" s="43"/>
      <c r="D748" s="43"/>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spans="1:27" ht="15" x14ac:dyDescent="0.15">
      <c r="A749" s="21"/>
      <c r="B749" s="64"/>
      <c r="C749" s="43"/>
      <c r="D749" s="43"/>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spans="1:27" ht="15" x14ac:dyDescent="0.15">
      <c r="A750" s="21"/>
      <c r="B750" s="64"/>
      <c r="C750" s="43"/>
      <c r="D750" s="43"/>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spans="1:27" ht="15" x14ac:dyDescent="0.15">
      <c r="A751" s="21"/>
      <c r="B751" s="64"/>
      <c r="C751" s="43"/>
      <c r="D751" s="43"/>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spans="1:27" ht="15" x14ac:dyDescent="0.15">
      <c r="A752" s="21"/>
      <c r="B752" s="64"/>
      <c r="C752" s="43"/>
      <c r="D752" s="43"/>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spans="1:27" ht="15" x14ac:dyDescent="0.15">
      <c r="A753" s="21"/>
      <c r="B753" s="64"/>
      <c r="C753" s="43"/>
      <c r="D753" s="43"/>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spans="1:27" ht="15" x14ac:dyDescent="0.15">
      <c r="A754" s="21"/>
      <c r="B754" s="64"/>
      <c r="C754" s="43"/>
      <c r="D754" s="43"/>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spans="1:27" ht="15" x14ac:dyDescent="0.15">
      <c r="A755" s="21"/>
      <c r="B755" s="64"/>
      <c r="C755" s="43"/>
      <c r="D755" s="43"/>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spans="1:27" ht="15" x14ac:dyDescent="0.15">
      <c r="A756" s="21"/>
      <c r="B756" s="64"/>
      <c r="C756" s="43"/>
      <c r="D756" s="43"/>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spans="1:27" ht="15" x14ac:dyDescent="0.15">
      <c r="A757" s="21"/>
      <c r="B757" s="64"/>
      <c r="C757" s="43"/>
      <c r="D757" s="43"/>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spans="1:27" ht="15" x14ac:dyDescent="0.15">
      <c r="A758" s="21"/>
      <c r="B758" s="64"/>
      <c r="C758" s="43"/>
      <c r="D758" s="43"/>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spans="1:27" ht="15" x14ac:dyDescent="0.15">
      <c r="A759" s="21"/>
      <c r="B759" s="64"/>
      <c r="C759" s="43"/>
      <c r="D759" s="43"/>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spans="1:27" ht="15" x14ac:dyDescent="0.15">
      <c r="A760" s="21"/>
      <c r="B760" s="64"/>
      <c r="C760" s="43"/>
      <c r="D760" s="43"/>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spans="1:27" ht="15" x14ac:dyDescent="0.15">
      <c r="A761" s="21"/>
      <c r="B761" s="64"/>
      <c r="C761" s="43"/>
      <c r="D761" s="43"/>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spans="1:27" ht="15" x14ac:dyDescent="0.15">
      <c r="A762" s="21"/>
      <c r="B762" s="64"/>
      <c r="C762" s="43"/>
      <c r="D762" s="43"/>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spans="1:27" ht="15" x14ac:dyDescent="0.15">
      <c r="A763" s="21"/>
      <c r="B763" s="64"/>
      <c r="C763" s="43"/>
      <c r="D763" s="43"/>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spans="1:27" ht="15" x14ac:dyDescent="0.15">
      <c r="A764" s="21"/>
      <c r="B764" s="64"/>
      <c r="C764" s="43"/>
      <c r="D764" s="43"/>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spans="1:27" ht="15" x14ac:dyDescent="0.15">
      <c r="A765" s="21"/>
      <c r="B765" s="64"/>
      <c r="C765" s="43"/>
      <c r="D765" s="43"/>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spans="1:27" ht="15" x14ac:dyDescent="0.15">
      <c r="A766" s="21"/>
      <c r="B766" s="64"/>
      <c r="C766" s="43"/>
      <c r="D766" s="43"/>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spans="1:27" ht="15" x14ac:dyDescent="0.15">
      <c r="A767" s="21"/>
      <c r="B767" s="64"/>
      <c r="C767" s="43"/>
      <c r="D767" s="43"/>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spans="1:27" ht="15" x14ac:dyDescent="0.15">
      <c r="A768" s="21"/>
      <c r="B768" s="64"/>
      <c r="C768" s="43"/>
      <c r="D768" s="43"/>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spans="1:27" ht="15" x14ac:dyDescent="0.15">
      <c r="A769" s="21"/>
      <c r="B769" s="64"/>
      <c r="C769" s="43"/>
      <c r="D769" s="43"/>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spans="1:27" ht="15" x14ac:dyDescent="0.15">
      <c r="A770" s="21"/>
      <c r="B770" s="64"/>
      <c r="C770" s="43"/>
      <c r="D770" s="43"/>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spans="1:27" ht="15" x14ac:dyDescent="0.15">
      <c r="A771" s="21"/>
      <c r="B771" s="64"/>
      <c r="C771" s="43"/>
      <c r="D771" s="43"/>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spans="1:27" ht="15" x14ac:dyDescent="0.15">
      <c r="A772" s="21"/>
      <c r="B772" s="64"/>
      <c r="C772" s="43"/>
      <c r="D772" s="43"/>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spans="1:27" ht="15" x14ac:dyDescent="0.15">
      <c r="A773" s="21"/>
      <c r="B773" s="64"/>
      <c r="C773" s="43"/>
      <c r="D773" s="43"/>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spans="1:27" ht="15" x14ac:dyDescent="0.15">
      <c r="A774" s="21"/>
      <c r="B774" s="64"/>
      <c r="C774" s="43"/>
      <c r="D774" s="43"/>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spans="1:27" ht="15" x14ac:dyDescent="0.15">
      <c r="A775" s="21"/>
      <c r="B775" s="64"/>
      <c r="C775" s="43"/>
      <c r="D775" s="43"/>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spans="1:27" ht="15" x14ac:dyDescent="0.15">
      <c r="A776" s="21"/>
      <c r="B776" s="64"/>
      <c r="C776" s="43"/>
      <c r="D776" s="43"/>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spans="1:27" ht="15" x14ac:dyDescent="0.15">
      <c r="A777" s="21"/>
      <c r="B777" s="64"/>
      <c r="C777" s="43"/>
      <c r="D777" s="43"/>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spans="1:27" ht="15" x14ac:dyDescent="0.15">
      <c r="A778" s="21"/>
      <c r="B778" s="64"/>
      <c r="C778" s="43"/>
      <c r="D778" s="43"/>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spans="1:27" ht="15" x14ac:dyDescent="0.15">
      <c r="A779" s="21"/>
      <c r="B779" s="64"/>
      <c r="C779" s="43"/>
      <c r="D779" s="43"/>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spans="1:27" ht="15" x14ac:dyDescent="0.15">
      <c r="A780" s="21"/>
      <c r="B780" s="64"/>
      <c r="C780" s="43"/>
      <c r="D780" s="43"/>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spans="1:27" ht="15" x14ac:dyDescent="0.15">
      <c r="A781" s="21"/>
      <c r="B781" s="64"/>
      <c r="C781" s="43"/>
      <c r="D781" s="43"/>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spans="1:27" ht="15" x14ac:dyDescent="0.15">
      <c r="A782" s="21"/>
      <c r="B782" s="64"/>
      <c r="C782" s="43"/>
      <c r="D782" s="43"/>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spans="1:27" ht="15" x14ac:dyDescent="0.15">
      <c r="A783" s="21"/>
      <c r="B783" s="64"/>
      <c r="C783" s="43"/>
      <c r="D783" s="43"/>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spans="1:27" ht="15" x14ac:dyDescent="0.15">
      <c r="A784" s="21"/>
      <c r="B784" s="64"/>
      <c r="C784" s="43"/>
      <c r="D784" s="43"/>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spans="1:27" ht="15" x14ac:dyDescent="0.15">
      <c r="A785" s="21"/>
      <c r="B785" s="64"/>
      <c r="C785" s="43"/>
      <c r="D785" s="43"/>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spans="1:27" ht="15" x14ac:dyDescent="0.15">
      <c r="A786" s="21"/>
      <c r="B786" s="64"/>
      <c r="C786" s="43"/>
      <c r="D786" s="43"/>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spans="1:27" ht="15" x14ac:dyDescent="0.15">
      <c r="A787" s="21"/>
      <c r="B787" s="64"/>
      <c r="C787" s="43"/>
      <c r="D787" s="43"/>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spans="1:27" ht="15" x14ac:dyDescent="0.15">
      <c r="A788" s="21"/>
      <c r="B788" s="64"/>
      <c r="C788" s="43"/>
      <c r="D788" s="43"/>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spans="1:27" ht="15" x14ac:dyDescent="0.15">
      <c r="A789" s="21"/>
      <c r="B789" s="64"/>
      <c r="C789" s="43"/>
      <c r="D789" s="43"/>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spans="1:27" ht="15" x14ac:dyDescent="0.15">
      <c r="A790" s="21"/>
      <c r="B790" s="64"/>
      <c r="C790" s="43"/>
      <c r="D790" s="43"/>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spans="1:27" ht="15" x14ac:dyDescent="0.15">
      <c r="A791" s="21"/>
      <c r="B791" s="64"/>
      <c r="C791" s="43"/>
      <c r="D791" s="43"/>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spans="1:27" ht="15" x14ac:dyDescent="0.15">
      <c r="A792" s="21"/>
      <c r="B792" s="64"/>
      <c r="C792" s="43"/>
      <c r="D792" s="43"/>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spans="1:27" ht="15" x14ac:dyDescent="0.15">
      <c r="A793" s="21"/>
      <c r="B793" s="64"/>
      <c r="C793" s="43"/>
      <c r="D793" s="43"/>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spans="1:27" ht="15" x14ac:dyDescent="0.15">
      <c r="A794" s="21"/>
      <c r="B794" s="64"/>
      <c r="C794" s="43"/>
      <c r="D794" s="43"/>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spans="1:27" ht="15" x14ac:dyDescent="0.15">
      <c r="A795" s="21"/>
      <c r="B795" s="64"/>
      <c r="C795" s="43"/>
      <c r="D795" s="43"/>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spans="1:27" ht="15" x14ac:dyDescent="0.15">
      <c r="A796" s="21"/>
      <c r="B796" s="64"/>
      <c r="C796" s="43"/>
      <c r="D796" s="43"/>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spans="1:27" ht="15" x14ac:dyDescent="0.15">
      <c r="A797" s="21"/>
      <c r="B797" s="64"/>
      <c r="C797" s="43"/>
      <c r="D797" s="43"/>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spans="1:27" ht="15" x14ac:dyDescent="0.15">
      <c r="A798" s="21"/>
      <c r="B798" s="64"/>
      <c r="C798" s="43"/>
      <c r="D798" s="43"/>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spans="1:27" ht="15" x14ac:dyDescent="0.15">
      <c r="A799" s="21"/>
      <c r="B799" s="64"/>
      <c r="C799" s="43"/>
      <c r="D799" s="43"/>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spans="1:27" ht="15" x14ac:dyDescent="0.15">
      <c r="A800" s="21"/>
      <c r="B800" s="64"/>
      <c r="C800" s="43"/>
      <c r="D800" s="43"/>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spans="1:27" ht="15" x14ac:dyDescent="0.15">
      <c r="A801" s="21"/>
      <c r="B801" s="64"/>
      <c r="C801" s="43"/>
      <c r="D801" s="43"/>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spans="1:27" ht="15" x14ac:dyDescent="0.15">
      <c r="A802" s="21"/>
      <c r="B802" s="64"/>
      <c r="C802" s="43"/>
      <c r="D802" s="43"/>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spans="1:27" ht="15" x14ac:dyDescent="0.15">
      <c r="A803" s="21"/>
      <c r="B803" s="64"/>
      <c r="C803" s="43"/>
      <c r="D803" s="43"/>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spans="1:27" ht="15" x14ac:dyDescent="0.15">
      <c r="A804" s="21"/>
      <c r="B804" s="64"/>
      <c r="C804" s="43"/>
      <c r="D804" s="43"/>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spans="1:27" ht="15" x14ac:dyDescent="0.15">
      <c r="A805" s="21"/>
      <c r="B805" s="64"/>
      <c r="C805" s="43"/>
      <c r="D805" s="43"/>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spans="1:27" ht="15" x14ac:dyDescent="0.15">
      <c r="A806" s="21"/>
      <c r="B806" s="64"/>
      <c r="C806" s="43"/>
      <c r="D806" s="43"/>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spans="1:27" ht="15" x14ac:dyDescent="0.15">
      <c r="A807" s="21"/>
      <c r="B807" s="64"/>
      <c r="C807" s="43"/>
      <c r="D807" s="43"/>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spans="1:27" ht="15" x14ac:dyDescent="0.15">
      <c r="A808" s="21"/>
      <c r="B808" s="64"/>
      <c r="C808" s="43"/>
      <c r="D808" s="43"/>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spans="1:27" ht="15" x14ac:dyDescent="0.15">
      <c r="A809" s="21"/>
      <c r="B809" s="64"/>
      <c r="C809" s="43"/>
      <c r="D809" s="43"/>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spans="1:27" ht="15" x14ac:dyDescent="0.15">
      <c r="A810" s="21"/>
      <c r="B810" s="64"/>
      <c r="C810" s="43"/>
      <c r="D810" s="43"/>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spans="1:27" ht="15" x14ac:dyDescent="0.15">
      <c r="A811" s="21"/>
      <c r="B811" s="64"/>
      <c r="C811" s="43"/>
      <c r="D811" s="43"/>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spans="1:27" ht="15" x14ac:dyDescent="0.15">
      <c r="A812" s="21"/>
      <c r="B812" s="64"/>
      <c r="C812" s="43"/>
      <c r="D812" s="43"/>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spans="1:27" ht="15" x14ac:dyDescent="0.15">
      <c r="A813" s="21"/>
      <c r="B813" s="64"/>
      <c r="C813" s="43"/>
      <c r="D813" s="43"/>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spans="1:27" ht="15" x14ac:dyDescent="0.15">
      <c r="A814" s="21"/>
      <c r="B814" s="64"/>
      <c r="C814" s="43"/>
      <c r="D814" s="43"/>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spans="1:27" ht="15" x14ac:dyDescent="0.15">
      <c r="A815" s="21"/>
      <c r="B815" s="64"/>
      <c r="C815" s="43"/>
      <c r="D815" s="43"/>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spans="1:27" ht="15" x14ac:dyDescent="0.15">
      <c r="A816" s="21"/>
      <c r="B816" s="64"/>
      <c r="C816" s="43"/>
      <c r="D816" s="43"/>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spans="1:27" ht="15" x14ac:dyDescent="0.15">
      <c r="A817" s="21"/>
      <c r="B817" s="64"/>
      <c r="C817" s="43"/>
      <c r="D817" s="43"/>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spans="1:27" ht="15" x14ac:dyDescent="0.15">
      <c r="A818" s="21"/>
      <c r="B818" s="64"/>
      <c r="C818" s="43"/>
      <c r="D818" s="43"/>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spans="1:27" ht="15" x14ac:dyDescent="0.15">
      <c r="A819" s="21"/>
      <c r="B819" s="64"/>
      <c r="C819" s="43"/>
      <c r="D819" s="43"/>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spans="1:27" ht="15" x14ac:dyDescent="0.15">
      <c r="A820" s="21"/>
      <c r="B820" s="64"/>
      <c r="C820" s="43"/>
      <c r="D820" s="43"/>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spans="1:27" ht="15" x14ac:dyDescent="0.15">
      <c r="A821" s="21"/>
      <c r="B821" s="64"/>
      <c r="C821" s="43"/>
      <c r="D821" s="43"/>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spans="1:27" ht="15" x14ac:dyDescent="0.15">
      <c r="A822" s="21"/>
      <c r="B822" s="64"/>
      <c r="C822" s="43"/>
      <c r="D822" s="43"/>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spans="1:27" ht="15" x14ac:dyDescent="0.15">
      <c r="A823" s="21"/>
      <c r="B823" s="64"/>
      <c r="C823" s="43"/>
      <c r="D823" s="43"/>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spans="1:27" ht="15" x14ac:dyDescent="0.15">
      <c r="A824" s="21"/>
      <c r="B824" s="64"/>
      <c r="C824" s="43"/>
      <c r="D824" s="43"/>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spans="1:27" ht="15" x14ac:dyDescent="0.15">
      <c r="A825" s="21"/>
      <c r="B825" s="64"/>
      <c r="C825" s="43"/>
      <c r="D825" s="43"/>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spans="1:27" ht="15" x14ac:dyDescent="0.15">
      <c r="A826" s="21"/>
      <c r="B826" s="64"/>
      <c r="C826" s="43"/>
      <c r="D826" s="43"/>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spans="1:27" ht="15" x14ac:dyDescent="0.15">
      <c r="A827" s="21"/>
      <c r="B827" s="64"/>
      <c r="C827" s="43"/>
      <c r="D827" s="43"/>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spans="1:27" ht="15" x14ac:dyDescent="0.15">
      <c r="A828" s="21"/>
      <c r="B828" s="64"/>
      <c r="C828" s="43"/>
      <c r="D828" s="43"/>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spans="1:27" ht="15" x14ac:dyDescent="0.15">
      <c r="A829" s="21"/>
      <c r="B829" s="64"/>
      <c r="C829" s="43"/>
      <c r="D829" s="43"/>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spans="1:27" ht="15" x14ac:dyDescent="0.15">
      <c r="A830" s="21"/>
      <c r="B830" s="64"/>
      <c r="C830" s="43"/>
      <c r="D830" s="43"/>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spans="1:27" ht="15" x14ac:dyDescent="0.15">
      <c r="A831" s="21"/>
      <c r="B831" s="64"/>
      <c r="C831" s="43"/>
      <c r="D831" s="43"/>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spans="1:27" ht="15" x14ac:dyDescent="0.15">
      <c r="A832" s="21"/>
      <c r="B832" s="64"/>
      <c r="C832" s="43"/>
      <c r="D832" s="43"/>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spans="1:27" ht="15" x14ac:dyDescent="0.15">
      <c r="A833" s="21"/>
      <c r="B833" s="64"/>
      <c r="C833" s="43"/>
      <c r="D833" s="43"/>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spans="1:27" ht="15" x14ac:dyDescent="0.15">
      <c r="A834" s="21"/>
      <c r="B834" s="64"/>
      <c r="C834" s="43"/>
      <c r="D834" s="43"/>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spans="1:27" ht="15" x14ac:dyDescent="0.15">
      <c r="A835" s="21"/>
      <c r="B835" s="64"/>
      <c r="C835" s="43"/>
      <c r="D835" s="43"/>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spans="1:27" ht="15" x14ac:dyDescent="0.15">
      <c r="A836" s="21"/>
      <c r="B836" s="64"/>
      <c r="C836" s="43"/>
      <c r="D836" s="43"/>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spans="1:27" ht="15" x14ac:dyDescent="0.15">
      <c r="A837" s="21"/>
      <c r="B837" s="64"/>
      <c r="C837" s="43"/>
      <c r="D837" s="43"/>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spans="1:27" ht="15" x14ac:dyDescent="0.15">
      <c r="A838" s="21"/>
      <c r="B838" s="64"/>
      <c r="C838" s="43"/>
      <c r="D838" s="43"/>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spans="1:27" ht="15" x14ac:dyDescent="0.15">
      <c r="A839" s="21"/>
      <c r="B839" s="64"/>
      <c r="C839" s="43"/>
      <c r="D839" s="43"/>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spans="1:27" ht="15" x14ac:dyDescent="0.15">
      <c r="A840" s="21"/>
      <c r="B840" s="64"/>
      <c r="C840" s="43"/>
      <c r="D840" s="43"/>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spans="1:27" ht="15" x14ac:dyDescent="0.15">
      <c r="A841" s="21"/>
      <c r="B841" s="64"/>
      <c r="C841" s="43"/>
      <c r="D841" s="43"/>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spans="1:27" ht="15" x14ac:dyDescent="0.15">
      <c r="A842" s="21"/>
      <c r="B842" s="64"/>
      <c r="C842" s="43"/>
      <c r="D842" s="43"/>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spans="1:27" ht="15" x14ac:dyDescent="0.15">
      <c r="A843" s="21"/>
      <c r="B843" s="64"/>
      <c r="C843" s="43"/>
      <c r="D843" s="43"/>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spans="1:27" ht="15" x14ac:dyDescent="0.15">
      <c r="A844" s="21"/>
      <c r="B844" s="64"/>
      <c r="C844" s="43"/>
      <c r="D844" s="43"/>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spans="1:27" ht="15" x14ac:dyDescent="0.15">
      <c r="A845" s="21"/>
      <c r="B845" s="64"/>
      <c r="C845" s="43"/>
      <c r="D845" s="43"/>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spans="1:27" ht="15" x14ac:dyDescent="0.15">
      <c r="A846" s="21"/>
      <c r="B846" s="64"/>
      <c r="C846" s="43"/>
      <c r="D846" s="43"/>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spans="1:27" ht="15" x14ac:dyDescent="0.15">
      <c r="A847" s="21"/>
      <c r="B847" s="64"/>
      <c r="C847" s="43"/>
      <c r="D847" s="43"/>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spans="1:27" ht="15" x14ac:dyDescent="0.15">
      <c r="A848" s="21"/>
      <c r="B848" s="64"/>
      <c r="C848" s="43"/>
      <c r="D848" s="43"/>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spans="1:27" ht="15" x14ac:dyDescent="0.15">
      <c r="A849" s="21"/>
      <c r="B849" s="64"/>
      <c r="C849" s="43"/>
      <c r="D849" s="43"/>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spans="1:27" ht="15" x14ac:dyDescent="0.15">
      <c r="A850" s="21"/>
      <c r="B850" s="64"/>
      <c r="C850" s="43"/>
      <c r="D850" s="43"/>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spans="1:27" ht="15" x14ac:dyDescent="0.15">
      <c r="A851" s="21"/>
      <c r="B851" s="64"/>
      <c r="C851" s="43"/>
      <c r="D851" s="43"/>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spans="1:27" ht="15" x14ac:dyDescent="0.15">
      <c r="A852" s="21"/>
      <c r="B852" s="64"/>
      <c r="C852" s="43"/>
      <c r="D852" s="43"/>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spans="1:27" ht="15" x14ac:dyDescent="0.15">
      <c r="A853" s="21"/>
      <c r="B853" s="64"/>
      <c r="C853" s="43"/>
      <c r="D853" s="43"/>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spans="1:27" ht="15" x14ac:dyDescent="0.15">
      <c r="A854" s="21"/>
      <c r="B854" s="64"/>
      <c r="C854" s="43"/>
      <c r="D854" s="43"/>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spans="1:27" ht="15" x14ac:dyDescent="0.15">
      <c r="A855" s="21"/>
      <c r="B855" s="64"/>
      <c r="C855" s="43"/>
      <c r="D855" s="43"/>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spans="1:27" ht="15" x14ac:dyDescent="0.15">
      <c r="A856" s="21"/>
      <c r="B856" s="64"/>
      <c r="C856" s="43"/>
      <c r="D856" s="43"/>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spans="1:27" ht="15" x14ac:dyDescent="0.15">
      <c r="A857" s="21"/>
      <c r="B857" s="64"/>
      <c r="C857" s="43"/>
      <c r="D857" s="43"/>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spans="1:27" ht="15" x14ac:dyDescent="0.15">
      <c r="A858" s="21"/>
      <c r="B858" s="64"/>
      <c r="C858" s="43"/>
      <c r="D858" s="43"/>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spans="1:27" ht="15" x14ac:dyDescent="0.15">
      <c r="A859" s="21"/>
      <c r="B859" s="64"/>
      <c r="C859" s="43"/>
      <c r="D859" s="43"/>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spans="1:27" ht="15" x14ac:dyDescent="0.15">
      <c r="A860" s="21"/>
      <c r="B860" s="64"/>
      <c r="C860" s="43"/>
      <c r="D860" s="43"/>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spans="1:27" ht="15" x14ac:dyDescent="0.15">
      <c r="A861" s="21"/>
      <c r="B861" s="64"/>
      <c r="C861" s="43"/>
      <c r="D861" s="43"/>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spans="1:27" ht="15" x14ac:dyDescent="0.15">
      <c r="A862" s="21"/>
      <c r="B862" s="64"/>
      <c r="C862" s="43"/>
      <c r="D862" s="43"/>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spans="1:27" ht="15" x14ac:dyDescent="0.15">
      <c r="A863" s="21"/>
      <c r="B863" s="64"/>
      <c r="C863" s="43"/>
      <c r="D863" s="43"/>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spans="1:27" ht="15" x14ac:dyDescent="0.15">
      <c r="A864" s="21"/>
      <c r="B864" s="64"/>
      <c r="C864" s="43"/>
      <c r="D864" s="43"/>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spans="1:27" ht="15" x14ac:dyDescent="0.15">
      <c r="A865" s="21"/>
      <c r="B865" s="64"/>
      <c r="C865" s="43"/>
      <c r="D865" s="43"/>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spans="1:27" ht="15" x14ac:dyDescent="0.15">
      <c r="A866" s="21"/>
      <c r="B866" s="64"/>
      <c r="C866" s="43"/>
      <c r="D866" s="43"/>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spans="1:27" ht="15" x14ac:dyDescent="0.15">
      <c r="A867" s="21"/>
      <c r="B867" s="64"/>
      <c r="C867" s="43"/>
      <c r="D867" s="43"/>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spans="1:27" ht="15" x14ac:dyDescent="0.15">
      <c r="A868" s="21"/>
      <c r="B868" s="64"/>
      <c r="C868" s="43"/>
      <c r="D868" s="43"/>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spans="1:27" ht="15" x14ac:dyDescent="0.15">
      <c r="A869" s="21"/>
      <c r="B869" s="64"/>
      <c r="C869" s="43"/>
      <c r="D869" s="43"/>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spans="1:27" ht="15" x14ac:dyDescent="0.15">
      <c r="A870" s="21"/>
      <c r="B870" s="64"/>
      <c r="C870" s="43"/>
      <c r="D870" s="43"/>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spans="1:27" ht="15" x14ac:dyDescent="0.15">
      <c r="A871" s="21"/>
      <c r="B871" s="64"/>
      <c r="C871" s="43"/>
      <c r="D871" s="43"/>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spans="1:27" ht="15" x14ac:dyDescent="0.15">
      <c r="A872" s="21"/>
      <c r="B872" s="64"/>
      <c r="C872" s="43"/>
      <c r="D872" s="43"/>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spans="1:27" ht="15" x14ac:dyDescent="0.15">
      <c r="A873" s="21"/>
      <c r="B873" s="64"/>
      <c r="C873" s="43"/>
      <c r="D873" s="43"/>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spans="1:27" ht="15" x14ac:dyDescent="0.15">
      <c r="A874" s="21"/>
      <c r="B874" s="64"/>
      <c r="C874" s="43"/>
      <c r="D874" s="43"/>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spans="1:27" ht="15" x14ac:dyDescent="0.15">
      <c r="A875" s="21"/>
      <c r="B875" s="64"/>
      <c r="C875" s="43"/>
      <c r="D875" s="43"/>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spans="1:27" ht="15" x14ac:dyDescent="0.15">
      <c r="A876" s="21"/>
      <c r="B876" s="64"/>
      <c r="C876" s="43"/>
      <c r="D876" s="43"/>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spans="1:27" ht="15" x14ac:dyDescent="0.15">
      <c r="A877" s="21"/>
      <c r="B877" s="64"/>
      <c r="C877" s="43"/>
      <c r="D877" s="43"/>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spans="1:27" ht="15" x14ac:dyDescent="0.15">
      <c r="A878" s="21"/>
      <c r="B878" s="64"/>
      <c r="C878" s="43"/>
      <c r="D878" s="43"/>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spans="1:27" ht="15" x14ac:dyDescent="0.15">
      <c r="A879" s="21"/>
      <c r="B879" s="64"/>
      <c r="C879" s="43"/>
      <c r="D879" s="43"/>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spans="1:27" ht="15" x14ac:dyDescent="0.15">
      <c r="A880" s="21"/>
      <c r="B880" s="64"/>
      <c r="C880" s="43"/>
      <c r="D880" s="43"/>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spans="1:27" ht="15" x14ac:dyDescent="0.15">
      <c r="A881" s="21"/>
      <c r="B881" s="64"/>
      <c r="C881" s="43"/>
      <c r="D881" s="43"/>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spans="1:27" ht="15" x14ac:dyDescent="0.15">
      <c r="A882" s="21"/>
      <c r="B882" s="64"/>
      <c r="C882" s="43"/>
      <c r="D882" s="43"/>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spans="1:27" ht="15" x14ac:dyDescent="0.15">
      <c r="A883" s="21"/>
      <c r="B883" s="64"/>
      <c r="C883" s="43"/>
      <c r="D883" s="43"/>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spans="1:27" ht="15" x14ac:dyDescent="0.15">
      <c r="A884" s="21"/>
      <c r="B884" s="64"/>
      <c r="C884" s="43"/>
      <c r="D884" s="43"/>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spans="1:27" ht="15" x14ac:dyDescent="0.15">
      <c r="A885" s="21"/>
      <c r="B885" s="64"/>
      <c r="C885" s="43"/>
      <c r="D885" s="43"/>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spans="1:27" ht="15" x14ac:dyDescent="0.15">
      <c r="A886" s="21"/>
      <c r="B886" s="64"/>
      <c r="C886" s="43"/>
      <c r="D886" s="43"/>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spans="1:27" ht="15" x14ac:dyDescent="0.15">
      <c r="A887" s="21"/>
      <c r="B887" s="64"/>
      <c r="C887" s="43"/>
      <c r="D887" s="43"/>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spans="1:27" ht="15" x14ac:dyDescent="0.15">
      <c r="A888" s="21"/>
      <c r="B888" s="64"/>
      <c r="C888" s="43"/>
      <c r="D888" s="43"/>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spans="1:27" ht="15" x14ac:dyDescent="0.15">
      <c r="A889" s="21"/>
      <c r="B889" s="64"/>
      <c r="C889" s="43"/>
      <c r="D889" s="43"/>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spans="1:27" ht="15" x14ac:dyDescent="0.15">
      <c r="A890" s="21"/>
      <c r="B890" s="64"/>
      <c r="C890" s="43"/>
      <c r="D890" s="43"/>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spans="1:27" ht="15" x14ac:dyDescent="0.15">
      <c r="A891" s="21"/>
      <c r="B891" s="64"/>
      <c r="C891" s="43"/>
      <c r="D891" s="43"/>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spans="1:27" ht="15" x14ac:dyDescent="0.15">
      <c r="A892" s="21"/>
      <c r="B892" s="64"/>
      <c r="C892" s="43"/>
      <c r="D892" s="43"/>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spans="1:27" ht="15" x14ac:dyDescent="0.15">
      <c r="A893" s="21"/>
      <c r="B893" s="64"/>
      <c r="C893" s="43"/>
      <c r="D893" s="43"/>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spans="1:27" ht="15" x14ac:dyDescent="0.15">
      <c r="A894" s="21"/>
      <c r="B894" s="64"/>
      <c r="C894" s="43"/>
      <c r="D894" s="43"/>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spans="1:27" ht="15" x14ac:dyDescent="0.15">
      <c r="A895" s="21"/>
      <c r="B895" s="64"/>
      <c r="C895" s="43"/>
      <c r="D895" s="43"/>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spans="1:27" ht="15" x14ac:dyDescent="0.15">
      <c r="A896" s="21"/>
      <c r="B896" s="64"/>
      <c r="C896" s="43"/>
      <c r="D896" s="43"/>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spans="1:27" ht="15" x14ac:dyDescent="0.15">
      <c r="A897" s="21"/>
      <c r="B897" s="64"/>
      <c r="C897" s="43"/>
      <c r="D897" s="43"/>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spans="1:27" ht="15" x14ac:dyDescent="0.15">
      <c r="A898" s="21"/>
      <c r="B898" s="64"/>
      <c r="C898" s="43"/>
      <c r="D898" s="43"/>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sheetData>
  <mergeCells count="1">
    <mergeCell ref="E3:E19"/>
  </mergeCells>
  <printOptions gridLines="1"/>
  <pageMargins left="0.7" right="0.7" top="0.75" bottom="0.75" header="0" footer="0"/>
  <pageSetup paperSize="9" pageOrder="overThenDown"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Z905"/>
  <sheetViews>
    <sheetView topLeftCell="A29" workbookViewId="0">
      <selection activeCell="A5" sqref="A5"/>
    </sheetView>
  </sheetViews>
  <sheetFormatPr baseColWidth="10" defaultColWidth="12.6640625" defaultRowHeight="15.75" customHeight="1" x14ac:dyDescent="0.15"/>
  <cols>
    <col min="1" max="1" width="78.33203125" customWidth="1"/>
    <col min="2" max="2" width="68.6640625" customWidth="1"/>
    <col min="3" max="3" width="58.6640625" customWidth="1"/>
    <col min="4" max="4" width="51.1640625" customWidth="1"/>
  </cols>
  <sheetData>
    <row r="2" spans="1:26" x14ac:dyDescent="0.2">
      <c r="A2" s="47" t="s">
        <v>993</v>
      </c>
      <c r="B2" s="48"/>
      <c r="C2" s="48"/>
      <c r="D2" s="48"/>
      <c r="E2" s="48"/>
      <c r="F2" s="48"/>
      <c r="G2" s="48"/>
      <c r="H2" s="48"/>
      <c r="I2" s="48"/>
      <c r="J2" s="48"/>
      <c r="K2" s="48"/>
      <c r="L2" s="48"/>
      <c r="M2" s="48"/>
      <c r="N2" s="48"/>
      <c r="O2" s="48"/>
      <c r="P2" s="48"/>
      <c r="Q2" s="48"/>
      <c r="R2" s="48"/>
      <c r="S2" s="48"/>
      <c r="T2" s="48"/>
      <c r="U2" s="48"/>
      <c r="V2" s="48"/>
      <c r="W2" s="48"/>
      <c r="X2" s="48"/>
      <c r="Y2" s="48"/>
      <c r="Z2" s="48"/>
    </row>
    <row r="3" spans="1:26" ht="15" x14ac:dyDescent="0.15">
      <c r="A3" s="49" t="s">
        <v>994</v>
      </c>
      <c r="B3" s="49" t="s">
        <v>995</v>
      </c>
    </row>
    <row r="4" spans="1:26" ht="135" x14ac:dyDescent="0.15">
      <c r="A4" s="21" t="s">
        <v>996</v>
      </c>
      <c r="B4" s="21" t="s">
        <v>997</v>
      </c>
    </row>
    <row r="5" spans="1:26" ht="409.6" x14ac:dyDescent="0.15">
      <c r="A5" s="21" t="s">
        <v>998</v>
      </c>
      <c r="B5" s="21" t="s">
        <v>999</v>
      </c>
    </row>
    <row r="6" spans="1:26" ht="328" x14ac:dyDescent="0.15">
      <c r="A6" s="21" t="s">
        <v>1000</v>
      </c>
      <c r="B6" s="21" t="s">
        <v>1001</v>
      </c>
    </row>
    <row r="7" spans="1:26" ht="409.6" x14ac:dyDescent="0.15">
      <c r="A7" s="21" t="s">
        <v>1002</v>
      </c>
      <c r="B7" s="21" t="s">
        <v>1003</v>
      </c>
    </row>
    <row r="8" spans="1:26" ht="135" x14ac:dyDescent="0.15">
      <c r="A8" s="21" t="s">
        <v>1004</v>
      </c>
      <c r="B8" s="21" t="s">
        <v>1005</v>
      </c>
    </row>
    <row r="9" spans="1:26" ht="409.6" x14ac:dyDescent="0.15">
      <c r="A9" s="21" t="s">
        <v>1006</v>
      </c>
      <c r="B9" s="21" t="s">
        <v>1007</v>
      </c>
    </row>
    <row r="10" spans="1:26" ht="165" x14ac:dyDescent="0.15">
      <c r="A10" s="21" t="s">
        <v>1008</v>
      </c>
      <c r="B10" s="21" t="s">
        <v>1009</v>
      </c>
    </row>
    <row r="11" spans="1:26" ht="135" x14ac:dyDescent="0.15">
      <c r="A11" s="21" t="s">
        <v>1010</v>
      </c>
      <c r="B11" s="21" t="s">
        <v>1011</v>
      </c>
    </row>
    <row r="12" spans="1:26" ht="150" x14ac:dyDescent="0.15">
      <c r="A12" s="21" t="s">
        <v>1012</v>
      </c>
      <c r="B12" s="21" t="s">
        <v>1013</v>
      </c>
    </row>
    <row r="13" spans="1:26" ht="150" x14ac:dyDescent="0.15">
      <c r="A13" s="21" t="s">
        <v>1014</v>
      </c>
      <c r="B13" s="21" t="s">
        <v>1015</v>
      </c>
    </row>
    <row r="14" spans="1:26" ht="15.75" customHeight="1" x14ac:dyDescent="0.15">
      <c r="A14" s="21"/>
      <c r="B14" s="21"/>
    </row>
    <row r="15" spans="1:26" ht="15.75" customHeight="1" x14ac:dyDescent="0.15">
      <c r="A15" s="21"/>
      <c r="B15" s="21"/>
      <c r="C15" s="21"/>
      <c r="D15" s="21"/>
      <c r="E15" s="1"/>
      <c r="F15" s="1"/>
      <c r="G15" s="1"/>
      <c r="H15" s="1"/>
      <c r="I15" s="1"/>
      <c r="J15" s="1"/>
      <c r="K15" s="1"/>
      <c r="L15" s="1"/>
      <c r="M15" s="1"/>
      <c r="N15" s="1"/>
      <c r="O15" s="1"/>
      <c r="P15" s="1"/>
      <c r="Q15" s="1"/>
      <c r="R15" s="1"/>
      <c r="S15" s="1"/>
      <c r="T15" s="1"/>
      <c r="U15" s="1"/>
      <c r="V15" s="1"/>
      <c r="W15" s="1"/>
      <c r="X15" s="1"/>
      <c r="Y15" s="1"/>
      <c r="Z15" s="1"/>
    </row>
    <row r="16" spans="1:26" ht="15.75" customHeight="1" x14ac:dyDescent="0.15">
      <c r="A16" s="21"/>
      <c r="B16" s="21"/>
      <c r="C16" s="21"/>
      <c r="D16" s="21"/>
      <c r="E16" s="1"/>
      <c r="F16" s="1"/>
      <c r="G16" s="1"/>
      <c r="H16" s="1"/>
      <c r="I16" s="1"/>
      <c r="J16" s="1"/>
      <c r="K16" s="1"/>
      <c r="L16" s="1"/>
      <c r="M16" s="1"/>
      <c r="N16" s="1"/>
      <c r="O16" s="1"/>
      <c r="P16" s="1"/>
      <c r="Q16" s="1"/>
      <c r="R16" s="1"/>
      <c r="S16" s="1"/>
      <c r="T16" s="1"/>
      <c r="U16" s="1"/>
      <c r="V16" s="1"/>
      <c r="W16" s="1"/>
      <c r="X16" s="1"/>
      <c r="Y16" s="1"/>
      <c r="Z16" s="1"/>
    </row>
    <row r="17" spans="1:26" ht="15.75" customHeight="1" x14ac:dyDescent="0.15">
      <c r="A17" s="21"/>
      <c r="B17" s="21"/>
      <c r="C17" s="21"/>
      <c r="D17" s="21"/>
      <c r="E17" s="1"/>
      <c r="F17" s="1"/>
      <c r="G17" s="1"/>
      <c r="H17" s="1"/>
      <c r="I17" s="1"/>
      <c r="J17" s="1"/>
      <c r="K17" s="1"/>
      <c r="L17" s="1"/>
      <c r="M17" s="1"/>
      <c r="N17" s="1"/>
      <c r="O17" s="1"/>
      <c r="P17" s="1"/>
      <c r="Q17" s="1"/>
      <c r="R17" s="1"/>
      <c r="S17" s="1"/>
      <c r="T17" s="1"/>
      <c r="U17" s="1"/>
      <c r="V17" s="1"/>
      <c r="W17" s="1"/>
      <c r="X17" s="1"/>
      <c r="Y17" s="1"/>
      <c r="Z17" s="1"/>
    </row>
    <row r="18" spans="1:26" ht="15.75" customHeight="1" x14ac:dyDescent="0.15">
      <c r="A18" s="21"/>
      <c r="B18" s="21"/>
      <c r="C18" s="21"/>
      <c r="D18" s="21"/>
      <c r="E18" s="1"/>
      <c r="F18" s="1"/>
      <c r="G18" s="1"/>
      <c r="H18" s="1"/>
      <c r="I18" s="1"/>
      <c r="J18" s="1"/>
      <c r="K18" s="1"/>
      <c r="L18" s="1"/>
      <c r="M18" s="1"/>
      <c r="N18" s="1"/>
      <c r="O18" s="1"/>
      <c r="P18" s="1"/>
      <c r="Q18" s="1"/>
      <c r="R18" s="1"/>
      <c r="S18" s="1"/>
      <c r="T18" s="1"/>
      <c r="U18" s="1"/>
      <c r="V18" s="1"/>
      <c r="W18" s="1"/>
      <c r="X18" s="1"/>
      <c r="Y18" s="1"/>
      <c r="Z18" s="1"/>
    </row>
    <row r="19" spans="1:26" ht="15.75" customHeight="1" x14ac:dyDescent="0.15">
      <c r="A19" s="21"/>
      <c r="B19" s="21"/>
      <c r="C19" s="21"/>
      <c r="D19" s="21"/>
      <c r="E19" s="1"/>
      <c r="F19" s="1"/>
      <c r="G19" s="1"/>
      <c r="H19" s="1"/>
      <c r="I19" s="1"/>
      <c r="J19" s="1"/>
      <c r="K19" s="1"/>
      <c r="L19" s="1"/>
      <c r="M19" s="1"/>
      <c r="N19" s="1"/>
      <c r="O19" s="1"/>
      <c r="P19" s="1"/>
      <c r="Q19" s="1"/>
      <c r="R19" s="1"/>
      <c r="S19" s="1"/>
      <c r="T19" s="1"/>
      <c r="U19" s="1"/>
      <c r="V19" s="1"/>
      <c r="W19" s="1"/>
      <c r="X19" s="1"/>
      <c r="Y19" s="1"/>
      <c r="Z19" s="1"/>
    </row>
    <row r="20" spans="1:26" ht="15.75" customHeight="1" x14ac:dyDescent="0.15">
      <c r="A20" s="21"/>
      <c r="B20" s="21"/>
      <c r="C20" s="21"/>
      <c r="D20" s="21"/>
      <c r="E20" s="1"/>
      <c r="F20" s="1"/>
      <c r="G20" s="1"/>
      <c r="H20" s="1"/>
      <c r="I20" s="1"/>
      <c r="J20" s="1"/>
      <c r="K20" s="1"/>
      <c r="L20" s="1"/>
      <c r="M20" s="1"/>
      <c r="N20" s="1"/>
      <c r="O20" s="1"/>
      <c r="P20" s="1"/>
      <c r="Q20" s="1"/>
      <c r="R20" s="1"/>
      <c r="S20" s="1"/>
      <c r="T20" s="1"/>
      <c r="U20" s="1"/>
      <c r="V20" s="1"/>
      <c r="W20" s="1"/>
      <c r="X20" s="1"/>
      <c r="Y20" s="1"/>
      <c r="Z20" s="1"/>
    </row>
    <row r="21" spans="1:26" ht="15.75" customHeight="1" x14ac:dyDescent="0.15">
      <c r="A21" s="21"/>
      <c r="B21" s="21"/>
      <c r="C21" s="21"/>
      <c r="D21" s="21"/>
      <c r="E21" s="1"/>
      <c r="F21" s="1"/>
      <c r="G21" s="1"/>
      <c r="H21" s="1"/>
      <c r="I21" s="1"/>
      <c r="J21" s="1"/>
      <c r="K21" s="1"/>
      <c r="L21" s="1"/>
      <c r="M21" s="1"/>
      <c r="N21" s="1"/>
      <c r="O21" s="1"/>
      <c r="P21" s="1"/>
      <c r="Q21" s="1"/>
      <c r="R21" s="1"/>
      <c r="S21" s="1"/>
      <c r="T21" s="1"/>
      <c r="U21" s="1"/>
      <c r="V21" s="1"/>
      <c r="W21" s="1"/>
      <c r="X21" s="1"/>
      <c r="Y21" s="1"/>
      <c r="Z21" s="1"/>
    </row>
    <row r="22" spans="1:26" ht="15.75" customHeight="1" x14ac:dyDescent="0.15">
      <c r="A22" s="21"/>
      <c r="B22" s="21"/>
      <c r="C22" s="21"/>
      <c r="D22" s="21"/>
      <c r="E22" s="1"/>
      <c r="F22" s="1"/>
      <c r="G22" s="1"/>
      <c r="H22" s="1"/>
      <c r="I22" s="1"/>
      <c r="J22" s="1"/>
      <c r="K22" s="1"/>
      <c r="L22" s="1"/>
      <c r="M22" s="1"/>
      <c r="N22" s="1"/>
      <c r="O22" s="1"/>
      <c r="P22" s="1"/>
      <c r="Q22" s="1"/>
      <c r="R22" s="1"/>
      <c r="S22" s="1"/>
      <c r="T22" s="1"/>
      <c r="U22" s="1"/>
      <c r="V22" s="1"/>
      <c r="W22" s="1"/>
      <c r="X22" s="1"/>
      <c r="Y22" s="1"/>
      <c r="Z22" s="1"/>
    </row>
    <row r="23" spans="1:26" ht="15.75" customHeight="1" x14ac:dyDescent="0.15">
      <c r="A23" s="21"/>
      <c r="B23" s="21"/>
      <c r="C23" s="21"/>
      <c r="D23" s="21"/>
      <c r="E23" s="1"/>
      <c r="F23" s="1"/>
      <c r="G23" s="1"/>
      <c r="H23" s="1"/>
      <c r="I23" s="1"/>
      <c r="J23" s="1"/>
      <c r="K23" s="1"/>
      <c r="L23" s="1"/>
      <c r="M23" s="1"/>
      <c r="N23" s="1"/>
      <c r="O23" s="1"/>
      <c r="P23" s="1"/>
      <c r="Q23" s="1"/>
      <c r="R23" s="1"/>
      <c r="S23" s="1"/>
      <c r="T23" s="1"/>
      <c r="U23" s="1"/>
      <c r="V23" s="1"/>
      <c r="W23" s="1"/>
      <c r="X23" s="1"/>
      <c r="Y23" s="1"/>
      <c r="Z23" s="1"/>
    </row>
    <row r="24" spans="1:26" ht="15.75" customHeight="1" x14ac:dyDescent="0.15">
      <c r="A24" s="21"/>
      <c r="B24" s="21"/>
      <c r="C24" s="21"/>
      <c r="D24" s="21"/>
      <c r="E24" s="1"/>
      <c r="F24" s="1"/>
      <c r="G24" s="1"/>
      <c r="H24" s="1"/>
      <c r="I24" s="1"/>
      <c r="J24" s="1"/>
      <c r="K24" s="1"/>
      <c r="L24" s="1"/>
      <c r="M24" s="1"/>
      <c r="N24" s="1"/>
      <c r="O24" s="1"/>
      <c r="P24" s="1"/>
      <c r="Q24" s="1"/>
      <c r="R24" s="1"/>
      <c r="S24" s="1"/>
      <c r="T24" s="1"/>
      <c r="U24" s="1"/>
      <c r="V24" s="1"/>
      <c r="W24" s="1"/>
      <c r="X24" s="1"/>
      <c r="Y24" s="1"/>
      <c r="Z24" s="1"/>
    </row>
    <row r="25" spans="1:26" ht="15.75" customHeight="1" x14ac:dyDescent="0.15">
      <c r="A25" s="21"/>
      <c r="B25" s="21"/>
      <c r="C25" s="21"/>
      <c r="D25" s="21"/>
      <c r="E25" s="1"/>
      <c r="F25" s="1"/>
      <c r="G25" s="1"/>
      <c r="H25" s="1"/>
      <c r="I25" s="1"/>
      <c r="J25" s="1"/>
      <c r="K25" s="1"/>
      <c r="L25" s="1"/>
      <c r="M25" s="1"/>
      <c r="N25" s="1"/>
      <c r="O25" s="1"/>
      <c r="P25" s="1"/>
      <c r="Q25" s="1"/>
      <c r="R25" s="1"/>
      <c r="S25" s="1"/>
      <c r="T25" s="1"/>
      <c r="U25" s="1"/>
      <c r="V25" s="1"/>
      <c r="W25" s="1"/>
      <c r="X25" s="1"/>
      <c r="Y25" s="1"/>
      <c r="Z25" s="1"/>
    </row>
    <row r="26" spans="1:26" ht="15.75" customHeight="1" x14ac:dyDescent="0.15">
      <c r="A26" s="21"/>
      <c r="B26" s="21"/>
      <c r="C26" s="21"/>
      <c r="D26" s="21"/>
      <c r="E26" s="1"/>
      <c r="F26" s="1"/>
      <c r="G26" s="1"/>
      <c r="H26" s="1"/>
      <c r="I26" s="1"/>
      <c r="J26" s="1"/>
      <c r="K26" s="1"/>
      <c r="L26" s="1"/>
      <c r="M26" s="1"/>
      <c r="N26" s="1"/>
      <c r="O26" s="1"/>
      <c r="P26" s="1"/>
      <c r="Q26" s="1"/>
      <c r="R26" s="1"/>
      <c r="S26" s="1"/>
      <c r="T26" s="1"/>
      <c r="U26" s="1"/>
      <c r="V26" s="1"/>
      <c r="W26" s="1"/>
      <c r="X26" s="1"/>
      <c r="Y26" s="1"/>
      <c r="Z26" s="1"/>
    </row>
    <row r="27" spans="1:26" ht="15.75" customHeight="1" x14ac:dyDescent="0.15">
      <c r="A27" s="21"/>
      <c r="B27" s="21"/>
      <c r="C27" s="21"/>
      <c r="D27" s="21"/>
      <c r="E27" s="1"/>
      <c r="F27" s="1"/>
      <c r="G27" s="1"/>
      <c r="H27" s="1"/>
      <c r="I27" s="1"/>
      <c r="J27" s="1"/>
      <c r="K27" s="1"/>
      <c r="L27" s="1"/>
      <c r="M27" s="1"/>
      <c r="N27" s="1"/>
      <c r="O27" s="1"/>
      <c r="P27" s="1"/>
      <c r="Q27" s="1"/>
      <c r="R27" s="1"/>
      <c r="S27" s="1"/>
      <c r="T27" s="1"/>
      <c r="U27" s="1"/>
      <c r="V27" s="1"/>
      <c r="W27" s="1"/>
      <c r="X27" s="1"/>
      <c r="Y27" s="1"/>
      <c r="Z27" s="1"/>
    </row>
    <row r="28" spans="1:26" ht="15.75" customHeight="1" x14ac:dyDescent="0.15">
      <c r="A28" s="21"/>
      <c r="B28" s="21"/>
      <c r="C28" s="21"/>
      <c r="D28" s="21"/>
      <c r="E28" s="1"/>
      <c r="F28" s="1"/>
      <c r="G28" s="1"/>
      <c r="H28" s="1"/>
      <c r="I28" s="1"/>
      <c r="J28" s="1"/>
      <c r="K28" s="1"/>
      <c r="L28" s="1"/>
      <c r="M28" s="1"/>
      <c r="N28" s="1"/>
      <c r="O28" s="1"/>
      <c r="P28" s="1"/>
      <c r="Q28" s="1"/>
      <c r="R28" s="1"/>
      <c r="S28" s="1"/>
      <c r="T28" s="1"/>
      <c r="U28" s="1"/>
      <c r="V28" s="1"/>
      <c r="W28" s="1"/>
      <c r="X28" s="1"/>
      <c r="Y28" s="1"/>
      <c r="Z28" s="1"/>
    </row>
    <row r="29" spans="1:26" ht="15.75" customHeight="1" x14ac:dyDescent="0.15">
      <c r="A29" s="21"/>
      <c r="B29" s="21"/>
      <c r="C29" s="21"/>
      <c r="D29" s="21"/>
      <c r="E29" s="1"/>
      <c r="F29" s="1"/>
      <c r="G29" s="1"/>
      <c r="H29" s="1"/>
      <c r="I29" s="1"/>
      <c r="J29" s="1"/>
      <c r="K29" s="1"/>
      <c r="L29" s="1"/>
      <c r="M29" s="1"/>
      <c r="N29" s="1"/>
      <c r="O29" s="1"/>
      <c r="P29" s="1"/>
      <c r="Q29" s="1"/>
      <c r="R29" s="1"/>
      <c r="S29" s="1"/>
      <c r="T29" s="1"/>
      <c r="U29" s="1"/>
      <c r="V29" s="1"/>
      <c r="W29" s="1"/>
      <c r="X29" s="1"/>
      <c r="Y29" s="1"/>
      <c r="Z29" s="1"/>
    </row>
    <row r="30" spans="1:26" ht="15.75" customHeight="1" x14ac:dyDescent="0.15">
      <c r="A30" s="21"/>
      <c r="B30" s="21"/>
      <c r="C30" s="21"/>
      <c r="D30" s="21"/>
      <c r="E30" s="1"/>
      <c r="F30" s="1"/>
      <c r="G30" s="1"/>
      <c r="H30" s="1"/>
      <c r="I30" s="1"/>
      <c r="J30" s="1"/>
      <c r="K30" s="1"/>
      <c r="L30" s="1"/>
      <c r="M30" s="1"/>
      <c r="N30" s="1"/>
      <c r="O30" s="1"/>
      <c r="P30" s="1"/>
      <c r="Q30" s="1"/>
      <c r="R30" s="1"/>
      <c r="S30" s="1"/>
      <c r="T30" s="1"/>
      <c r="U30" s="1"/>
      <c r="V30" s="1"/>
      <c r="W30" s="1"/>
      <c r="X30" s="1"/>
      <c r="Y30" s="1"/>
      <c r="Z30" s="1"/>
    </row>
    <row r="31" spans="1:26" ht="15.75" customHeight="1" x14ac:dyDescent="0.15">
      <c r="A31" s="21"/>
      <c r="B31" s="21"/>
      <c r="C31" s="21"/>
      <c r="D31" s="21"/>
      <c r="E31" s="1"/>
      <c r="F31" s="1"/>
      <c r="G31" s="1"/>
      <c r="H31" s="1"/>
      <c r="I31" s="1"/>
      <c r="J31" s="1"/>
      <c r="K31" s="1"/>
      <c r="L31" s="1"/>
      <c r="M31" s="1"/>
      <c r="N31" s="1"/>
      <c r="O31" s="1"/>
      <c r="P31" s="1"/>
      <c r="Q31" s="1"/>
      <c r="R31" s="1"/>
      <c r="S31" s="1"/>
      <c r="T31" s="1"/>
      <c r="U31" s="1"/>
      <c r="V31" s="1"/>
      <c r="W31" s="1"/>
      <c r="X31" s="1"/>
      <c r="Y31" s="1"/>
      <c r="Z31" s="1"/>
    </row>
    <row r="32" spans="1:26" ht="15.75" customHeight="1" x14ac:dyDescent="0.15">
      <c r="A32" s="21"/>
      <c r="B32" s="21"/>
      <c r="C32" s="21"/>
      <c r="D32" s="21"/>
      <c r="E32" s="1"/>
      <c r="F32" s="1"/>
      <c r="G32" s="1"/>
      <c r="H32" s="1"/>
      <c r="I32" s="1"/>
      <c r="J32" s="1"/>
      <c r="K32" s="1"/>
      <c r="L32" s="1"/>
      <c r="M32" s="1"/>
      <c r="N32" s="1"/>
      <c r="O32" s="1"/>
      <c r="P32" s="1"/>
      <c r="Q32" s="1"/>
      <c r="R32" s="1"/>
      <c r="S32" s="1"/>
      <c r="T32" s="1"/>
      <c r="U32" s="1"/>
      <c r="V32" s="1"/>
      <c r="W32" s="1"/>
      <c r="X32" s="1"/>
      <c r="Y32" s="1"/>
      <c r="Z32" s="1"/>
    </row>
    <row r="33" spans="1:26" ht="15.75" customHeight="1" x14ac:dyDescent="0.15">
      <c r="A33" s="21"/>
      <c r="B33" s="21"/>
      <c r="C33" s="21"/>
      <c r="D33" s="21"/>
      <c r="E33" s="1"/>
      <c r="F33" s="1"/>
      <c r="G33" s="1"/>
      <c r="H33" s="1"/>
      <c r="I33" s="1"/>
      <c r="J33" s="1"/>
      <c r="K33" s="1"/>
      <c r="L33" s="1"/>
      <c r="M33" s="1"/>
      <c r="N33" s="1"/>
      <c r="O33" s="1"/>
      <c r="P33" s="1"/>
      <c r="Q33" s="1"/>
      <c r="R33" s="1"/>
      <c r="S33" s="1"/>
      <c r="T33" s="1"/>
      <c r="U33" s="1"/>
      <c r="V33" s="1"/>
      <c r="W33" s="1"/>
      <c r="X33" s="1"/>
      <c r="Y33" s="1"/>
      <c r="Z33" s="1"/>
    </row>
    <row r="34" spans="1:26" ht="15.75" customHeight="1" x14ac:dyDescent="0.15">
      <c r="A34" s="21"/>
      <c r="B34" s="21"/>
      <c r="C34" s="21"/>
      <c r="D34" s="21"/>
      <c r="E34" s="1"/>
      <c r="F34" s="1"/>
      <c r="G34" s="1"/>
      <c r="H34" s="1"/>
      <c r="I34" s="1"/>
      <c r="J34" s="1"/>
      <c r="K34" s="1"/>
      <c r="L34" s="1"/>
      <c r="M34" s="1"/>
      <c r="N34" s="1"/>
      <c r="O34" s="1"/>
      <c r="P34" s="1"/>
      <c r="Q34" s="1"/>
      <c r="R34" s="1"/>
      <c r="S34" s="1"/>
      <c r="T34" s="1"/>
      <c r="U34" s="1"/>
      <c r="V34" s="1"/>
      <c r="W34" s="1"/>
      <c r="X34" s="1"/>
      <c r="Y34" s="1"/>
      <c r="Z34" s="1"/>
    </row>
    <row r="35" spans="1:26" ht="15.75" customHeight="1" x14ac:dyDescent="0.15">
      <c r="A35" s="21"/>
      <c r="B35" s="21"/>
      <c r="C35" s="21"/>
      <c r="D35" s="21"/>
      <c r="E35" s="1"/>
      <c r="F35" s="1"/>
      <c r="G35" s="1"/>
      <c r="H35" s="1"/>
      <c r="I35" s="1"/>
      <c r="J35" s="1"/>
      <c r="K35" s="1"/>
      <c r="L35" s="1"/>
      <c r="M35" s="1"/>
      <c r="N35" s="1"/>
      <c r="O35" s="1"/>
      <c r="P35" s="1"/>
      <c r="Q35" s="1"/>
      <c r="R35" s="1"/>
      <c r="S35" s="1"/>
      <c r="T35" s="1"/>
      <c r="U35" s="1"/>
      <c r="V35" s="1"/>
      <c r="W35" s="1"/>
      <c r="X35" s="1"/>
      <c r="Y35" s="1"/>
      <c r="Z35" s="1"/>
    </row>
    <row r="36" spans="1:26" ht="15.75" customHeight="1" x14ac:dyDescent="0.15">
      <c r="A36" s="21"/>
      <c r="B36" s="21"/>
      <c r="C36" s="21"/>
      <c r="D36" s="21"/>
      <c r="E36" s="1"/>
      <c r="F36" s="1"/>
      <c r="G36" s="1"/>
      <c r="H36" s="1"/>
      <c r="I36" s="1"/>
      <c r="J36" s="1"/>
      <c r="K36" s="1"/>
      <c r="L36" s="1"/>
      <c r="M36" s="1"/>
      <c r="N36" s="1"/>
      <c r="O36" s="1"/>
      <c r="P36" s="1"/>
      <c r="Q36" s="1"/>
      <c r="R36" s="1"/>
      <c r="S36" s="1"/>
      <c r="T36" s="1"/>
      <c r="U36" s="1"/>
      <c r="V36" s="1"/>
      <c r="W36" s="1"/>
      <c r="X36" s="1"/>
      <c r="Y36" s="1"/>
      <c r="Z36" s="1"/>
    </row>
    <row r="37" spans="1:26" ht="15.75" customHeight="1" x14ac:dyDescent="0.15">
      <c r="A37" s="21"/>
      <c r="B37" s="21"/>
      <c r="C37" s="21"/>
      <c r="D37" s="21"/>
      <c r="E37" s="1"/>
      <c r="F37" s="1"/>
      <c r="G37" s="1"/>
      <c r="H37" s="1"/>
      <c r="I37" s="1"/>
      <c r="J37" s="1"/>
      <c r="K37" s="1"/>
      <c r="L37" s="1"/>
      <c r="M37" s="1"/>
      <c r="N37" s="1"/>
      <c r="O37" s="1"/>
      <c r="P37" s="1"/>
      <c r="Q37" s="1"/>
      <c r="R37" s="1"/>
      <c r="S37" s="1"/>
      <c r="T37" s="1"/>
      <c r="U37" s="1"/>
      <c r="V37" s="1"/>
      <c r="W37" s="1"/>
      <c r="X37" s="1"/>
      <c r="Y37" s="1"/>
      <c r="Z37" s="1"/>
    </row>
    <row r="38" spans="1:26" ht="15.75" customHeight="1" x14ac:dyDescent="0.15">
      <c r="A38" s="21"/>
      <c r="B38" s="21"/>
      <c r="C38" s="21"/>
      <c r="D38" s="21"/>
      <c r="E38" s="1"/>
      <c r="F38" s="1"/>
      <c r="G38" s="1"/>
      <c r="H38" s="1"/>
      <c r="I38" s="1"/>
      <c r="J38" s="1"/>
      <c r="K38" s="1"/>
      <c r="L38" s="1"/>
      <c r="M38" s="1"/>
      <c r="N38" s="1"/>
      <c r="O38" s="1"/>
      <c r="P38" s="1"/>
      <c r="Q38" s="1"/>
      <c r="R38" s="1"/>
      <c r="S38" s="1"/>
      <c r="T38" s="1"/>
      <c r="U38" s="1"/>
      <c r="V38" s="1"/>
      <c r="W38" s="1"/>
      <c r="X38" s="1"/>
      <c r="Y38" s="1"/>
      <c r="Z38" s="1"/>
    </row>
    <row r="39" spans="1:26" ht="15.75" customHeight="1" x14ac:dyDescent="0.15">
      <c r="A39" s="21"/>
      <c r="B39" s="21"/>
      <c r="C39" s="21"/>
      <c r="D39" s="21"/>
      <c r="E39" s="1"/>
      <c r="F39" s="1"/>
      <c r="G39" s="1"/>
      <c r="H39" s="1"/>
      <c r="I39" s="1"/>
      <c r="J39" s="1"/>
      <c r="K39" s="1"/>
      <c r="L39" s="1"/>
      <c r="M39" s="1"/>
      <c r="N39" s="1"/>
      <c r="O39" s="1"/>
      <c r="P39" s="1"/>
      <c r="Q39" s="1"/>
      <c r="R39" s="1"/>
      <c r="S39" s="1"/>
      <c r="T39" s="1"/>
      <c r="U39" s="1"/>
      <c r="V39" s="1"/>
      <c r="W39" s="1"/>
      <c r="X39" s="1"/>
      <c r="Y39" s="1"/>
      <c r="Z39" s="1"/>
    </row>
    <row r="40" spans="1:26" ht="15.75" customHeight="1" x14ac:dyDescent="0.15">
      <c r="A40" s="21"/>
      <c r="B40" s="21"/>
      <c r="C40" s="21"/>
      <c r="D40" s="21"/>
      <c r="E40" s="1"/>
      <c r="F40" s="1"/>
      <c r="G40" s="1"/>
      <c r="H40" s="1"/>
      <c r="I40" s="1"/>
      <c r="J40" s="1"/>
      <c r="K40" s="1"/>
      <c r="L40" s="1"/>
      <c r="M40" s="1"/>
      <c r="N40" s="1"/>
      <c r="O40" s="1"/>
      <c r="P40" s="1"/>
      <c r="Q40" s="1"/>
      <c r="R40" s="1"/>
      <c r="S40" s="1"/>
      <c r="T40" s="1"/>
      <c r="U40" s="1"/>
      <c r="V40" s="1"/>
      <c r="W40" s="1"/>
      <c r="X40" s="1"/>
      <c r="Y40" s="1"/>
      <c r="Z40" s="1"/>
    </row>
    <row r="41" spans="1:26" ht="15.75" customHeight="1" x14ac:dyDescent="0.15">
      <c r="A41" s="21"/>
      <c r="B41" s="21"/>
      <c r="C41" s="21"/>
      <c r="D41" s="21"/>
      <c r="E41" s="1"/>
      <c r="F41" s="1"/>
      <c r="G41" s="1"/>
      <c r="H41" s="1"/>
      <c r="I41" s="1"/>
      <c r="J41" s="1"/>
      <c r="K41" s="1"/>
      <c r="L41" s="1"/>
      <c r="M41" s="1"/>
      <c r="N41" s="1"/>
      <c r="O41" s="1"/>
      <c r="P41" s="1"/>
      <c r="Q41" s="1"/>
      <c r="R41" s="1"/>
      <c r="S41" s="1"/>
      <c r="T41" s="1"/>
      <c r="U41" s="1"/>
      <c r="V41" s="1"/>
      <c r="W41" s="1"/>
      <c r="X41" s="1"/>
      <c r="Y41" s="1"/>
      <c r="Z41" s="1"/>
    </row>
    <row r="42" spans="1:26" ht="15.75" customHeight="1" x14ac:dyDescent="0.15">
      <c r="A42" s="21"/>
      <c r="B42" s="21"/>
      <c r="C42" s="21"/>
      <c r="D42" s="21"/>
      <c r="E42" s="1"/>
      <c r="F42" s="1"/>
      <c r="G42" s="1"/>
      <c r="H42" s="1"/>
      <c r="I42" s="1"/>
      <c r="J42" s="1"/>
      <c r="K42" s="1"/>
      <c r="L42" s="1"/>
      <c r="M42" s="1"/>
      <c r="N42" s="1"/>
      <c r="O42" s="1"/>
      <c r="P42" s="1"/>
      <c r="Q42" s="1"/>
      <c r="R42" s="1"/>
      <c r="S42" s="1"/>
      <c r="T42" s="1"/>
      <c r="U42" s="1"/>
      <c r="V42" s="1"/>
      <c r="W42" s="1"/>
      <c r="X42" s="1"/>
      <c r="Y42" s="1"/>
      <c r="Z42" s="1"/>
    </row>
    <row r="43" spans="1:26" ht="15.75" customHeight="1" x14ac:dyDescent="0.15">
      <c r="A43" s="21"/>
      <c r="B43" s="21"/>
      <c r="C43" s="21"/>
      <c r="D43" s="21"/>
      <c r="E43" s="1"/>
      <c r="F43" s="1"/>
      <c r="G43" s="1"/>
      <c r="H43" s="1"/>
      <c r="I43" s="1"/>
      <c r="J43" s="1"/>
      <c r="K43" s="1"/>
      <c r="L43" s="1"/>
      <c r="M43" s="1"/>
      <c r="N43" s="1"/>
      <c r="O43" s="1"/>
      <c r="P43" s="1"/>
      <c r="Q43" s="1"/>
      <c r="R43" s="1"/>
      <c r="S43" s="1"/>
      <c r="T43" s="1"/>
      <c r="U43" s="1"/>
      <c r="V43" s="1"/>
      <c r="W43" s="1"/>
      <c r="X43" s="1"/>
      <c r="Y43" s="1"/>
      <c r="Z43" s="1"/>
    </row>
    <row r="44" spans="1:26" ht="15.75" customHeight="1" x14ac:dyDescent="0.15">
      <c r="A44" s="21"/>
      <c r="B44" s="21"/>
      <c r="C44" s="21"/>
      <c r="D44" s="21"/>
      <c r="E44" s="1"/>
      <c r="F44" s="1"/>
      <c r="G44" s="1"/>
      <c r="H44" s="1"/>
      <c r="I44" s="1"/>
      <c r="J44" s="1"/>
      <c r="K44" s="1"/>
      <c r="L44" s="1"/>
      <c r="M44" s="1"/>
      <c r="N44" s="1"/>
      <c r="O44" s="1"/>
      <c r="P44" s="1"/>
      <c r="Q44" s="1"/>
      <c r="R44" s="1"/>
      <c r="S44" s="1"/>
      <c r="T44" s="1"/>
      <c r="U44" s="1"/>
      <c r="V44" s="1"/>
      <c r="W44" s="1"/>
      <c r="X44" s="1"/>
      <c r="Y44" s="1"/>
      <c r="Z44" s="1"/>
    </row>
    <row r="45" spans="1:26" ht="15.75" customHeight="1" x14ac:dyDescent="0.15">
      <c r="A45" s="21"/>
      <c r="B45" s="21"/>
      <c r="C45" s="21"/>
      <c r="D45" s="21"/>
      <c r="E45" s="1"/>
      <c r="F45" s="1"/>
      <c r="G45" s="1"/>
      <c r="H45" s="1"/>
      <c r="I45" s="1"/>
      <c r="J45" s="1"/>
      <c r="K45" s="1"/>
      <c r="L45" s="1"/>
      <c r="M45" s="1"/>
      <c r="N45" s="1"/>
      <c r="O45" s="1"/>
      <c r="P45" s="1"/>
      <c r="Q45" s="1"/>
      <c r="R45" s="1"/>
      <c r="S45" s="1"/>
      <c r="T45" s="1"/>
      <c r="U45" s="1"/>
      <c r="V45" s="1"/>
      <c r="W45" s="1"/>
      <c r="X45" s="1"/>
      <c r="Y45" s="1"/>
      <c r="Z45" s="1"/>
    </row>
    <row r="46" spans="1:26" ht="15.75" customHeight="1" x14ac:dyDescent="0.15">
      <c r="A46" s="21"/>
      <c r="B46" s="21"/>
      <c r="C46" s="21"/>
      <c r="D46" s="21"/>
      <c r="E46" s="1"/>
      <c r="F46" s="1"/>
      <c r="G46" s="1"/>
      <c r="H46" s="1"/>
      <c r="I46" s="1"/>
      <c r="J46" s="1"/>
      <c r="K46" s="1"/>
      <c r="L46" s="1"/>
      <c r="M46" s="1"/>
      <c r="N46" s="1"/>
      <c r="O46" s="1"/>
      <c r="P46" s="1"/>
      <c r="Q46" s="1"/>
      <c r="R46" s="1"/>
      <c r="S46" s="1"/>
      <c r="T46" s="1"/>
      <c r="U46" s="1"/>
      <c r="V46" s="1"/>
      <c r="W46" s="1"/>
      <c r="X46" s="1"/>
      <c r="Y46" s="1"/>
      <c r="Z46" s="1"/>
    </row>
    <row r="47" spans="1:26" ht="15.75" customHeight="1" x14ac:dyDescent="0.15">
      <c r="A47" s="21"/>
      <c r="B47" s="21"/>
      <c r="C47" s="21"/>
      <c r="D47" s="21"/>
      <c r="E47" s="1"/>
      <c r="F47" s="1"/>
      <c r="G47" s="1"/>
      <c r="H47" s="1"/>
      <c r="I47" s="1"/>
      <c r="J47" s="1"/>
      <c r="K47" s="1"/>
      <c r="L47" s="1"/>
      <c r="M47" s="1"/>
      <c r="N47" s="1"/>
      <c r="O47" s="1"/>
      <c r="P47" s="1"/>
      <c r="Q47" s="1"/>
      <c r="R47" s="1"/>
      <c r="S47" s="1"/>
      <c r="T47" s="1"/>
      <c r="U47" s="1"/>
      <c r="V47" s="1"/>
      <c r="W47" s="1"/>
      <c r="X47" s="1"/>
      <c r="Y47" s="1"/>
      <c r="Z47" s="1"/>
    </row>
    <row r="48" spans="1:26" ht="15.75" customHeight="1" x14ac:dyDescent="0.15">
      <c r="A48" s="21"/>
      <c r="B48" s="21"/>
      <c r="C48" s="21"/>
      <c r="D48" s="21"/>
      <c r="E48" s="1"/>
      <c r="F48" s="1"/>
      <c r="G48" s="1"/>
      <c r="H48" s="1"/>
      <c r="I48" s="1"/>
      <c r="J48" s="1"/>
      <c r="K48" s="1"/>
      <c r="L48" s="1"/>
      <c r="M48" s="1"/>
      <c r="N48" s="1"/>
      <c r="O48" s="1"/>
      <c r="P48" s="1"/>
      <c r="Q48" s="1"/>
      <c r="R48" s="1"/>
      <c r="S48" s="1"/>
      <c r="T48" s="1"/>
      <c r="U48" s="1"/>
      <c r="V48" s="1"/>
      <c r="W48" s="1"/>
      <c r="X48" s="1"/>
      <c r="Y48" s="1"/>
      <c r="Z48" s="1"/>
    </row>
    <row r="49" spans="1:26" ht="15.75" customHeight="1" x14ac:dyDescent="0.15">
      <c r="A49" s="21"/>
      <c r="B49" s="21"/>
      <c r="C49" s="21"/>
      <c r="D49" s="21"/>
      <c r="E49" s="1"/>
      <c r="F49" s="1"/>
      <c r="G49" s="1"/>
      <c r="H49" s="1"/>
      <c r="I49" s="1"/>
      <c r="J49" s="1"/>
      <c r="K49" s="1"/>
      <c r="L49" s="1"/>
      <c r="M49" s="1"/>
      <c r="N49" s="1"/>
      <c r="O49" s="1"/>
      <c r="P49" s="1"/>
      <c r="Q49" s="1"/>
      <c r="R49" s="1"/>
      <c r="S49" s="1"/>
      <c r="T49" s="1"/>
      <c r="U49" s="1"/>
      <c r="V49" s="1"/>
      <c r="W49" s="1"/>
      <c r="X49" s="1"/>
      <c r="Y49" s="1"/>
      <c r="Z49" s="1"/>
    </row>
    <row r="50" spans="1:26" ht="15.75" customHeight="1" x14ac:dyDescent="0.15">
      <c r="A50" s="21"/>
      <c r="B50" s="21"/>
      <c r="C50" s="21"/>
      <c r="D50" s="21"/>
      <c r="E50" s="1"/>
      <c r="F50" s="1"/>
      <c r="G50" s="1"/>
      <c r="H50" s="1"/>
      <c r="I50" s="1"/>
      <c r="J50" s="1"/>
      <c r="K50" s="1"/>
      <c r="L50" s="1"/>
      <c r="M50" s="1"/>
      <c r="N50" s="1"/>
      <c r="O50" s="1"/>
      <c r="P50" s="1"/>
      <c r="Q50" s="1"/>
      <c r="R50" s="1"/>
      <c r="S50" s="1"/>
      <c r="T50" s="1"/>
      <c r="U50" s="1"/>
      <c r="V50" s="1"/>
      <c r="W50" s="1"/>
      <c r="X50" s="1"/>
      <c r="Y50" s="1"/>
      <c r="Z50" s="1"/>
    </row>
    <row r="51" spans="1:26" ht="14" x14ac:dyDescent="0.15">
      <c r="A51" s="21"/>
      <c r="B51" s="21"/>
      <c r="C51" s="21"/>
      <c r="D51" s="21"/>
      <c r="E51" s="1"/>
      <c r="F51" s="1"/>
      <c r="G51" s="1"/>
      <c r="H51" s="1"/>
      <c r="I51" s="1"/>
      <c r="J51" s="1"/>
      <c r="K51" s="1"/>
      <c r="L51" s="1"/>
      <c r="M51" s="1"/>
      <c r="N51" s="1"/>
      <c r="O51" s="1"/>
      <c r="P51" s="1"/>
      <c r="Q51" s="1"/>
      <c r="R51" s="1"/>
      <c r="S51" s="1"/>
      <c r="T51" s="1"/>
      <c r="U51" s="1"/>
      <c r="V51" s="1"/>
      <c r="W51" s="1"/>
      <c r="X51" s="1"/>
      <c r="Y51" s="1"/>
      <c r="Z51" s="1"/>
    </row>
    <row r="52" spans="1:26" ht="14" x14ac:dyDescent="0.15">
      <c r="A52" s="21"/>
      <c r="B52" s="21"/>
      <c r="C52" s="21"/>
      <c r="D52" s="21"/>
      <c r="E52" s="1"/>
      <c r="F52" s="1"/>
      <c r="G52" s="1"/>
      <c r="H52" s="1"/>
      <c r="I52" s="1"/>
      <c r="J52" s="1"/>
      <c r="K52" s="1"/>
      <c r="L52" s="1"/>
      <c r="M52" s="1"/>
      <c r="N52" s="1"/>
      <c r="O52" s="1"/>
      <c r="P52" s="1"/>
      <c r="Q52" s="1"/>
      <c r="R52" s="1"/>
      <c r="S52" s="1"/>
      <c r="T52" s="1"/>
      <c r="U52" s="1"/>
      <c r="V52" s="1"/>
      <c r="W52" s="1"/>
      <c r="X52" s="1"/>
      <c r="Y52" s="1"/>
      <c r="Z52" s="1"/>
    </row>
    <row r="53" spans="1:26" ht="14" x14ac:dyDescent="0.15">
      <c r="A53" s="21"/>
      <c r="B53" s="21"/>
      <c r="C53" s="21"/>
      <c r="D53" s="21"/>
      <c r="E53" s="1"/>
      <c r="F53" s="1"/>
      <c r="G53" s="1"/>
      <c r="H53" s="1"/>
      <c r="I53" s="1"/>
      <c r="J53" s="1"/>
      <c r="K53" s="1"/>
      <c r="L53" s="1"/>
      <c r="M53" s="1"/>
      <c r="N53" s="1"/>
      <c r="O53" s="1"/>
      <c r="P53" s="1"/>
      <c r="Q53" s="1"/>
      <c r="R53" s="1"/>
      <c r="S53" s="1"/>
      <c r="T53" s="1"/>
      <c r="U53" s="1"/>
      <c r="V53" s="1"/>
      <c r="W53" s="1"/>
      <c r="X53" s="1"/>
      <c r="Y53" s="1"/>
      <c r="Z53" s="1"/>
    </row>
    <row r="54" spans="1:26" ht="14" x14ac:dyDescent="0.15">
      <c r="A54" s="21"/>
      <c r="B54" s="21"/>
      <c r="C54" s="21"/>
      <c r="D54" s="21"/>
      <c r="E54" s="1"/>
      <c r="F54" s="1"/>
      <c r="G54" s="1"/>
      <c r="H54" s="1"/>
      <c r="I54" s="1"/>
      <c r="J54" s="1"/>
      <c r="K54" s="1"/>
      <c r="L54" s="1"/>
      <c r="M54" s="1"/>
      <c r="N54" s="1"/>
      <c r="O54" s="1"/>
      <c r="P54" s="1"/>
      <c r="Q54" s="1"/>
      <c r="R54" s="1"/>
      <c r="S54" s="1"/>
      <c r="T54" s="1"/>
      <c r="U54" s="1"/>
      <c r="V54" s="1"/>
      <c r="W54" s="1"/>
      <c r="X54" s="1"/>
      <c r="Y54" s="1"/>
      <c r="Z54" s="1"/>
    </row>
    <row r="55" spans="1:26" ht="14" x14ac:dyDescent="0.15">
      <c r="A55" s="21"/>
      <c r="B55" s="21"/>
      <c r="C55" s="21"/>
      <c r="D55" s="21"/>
      <c r="E55" s="1"/>
      <c r="F55" s="1"/>
      <c r="G55" s="1"/>
      <c r="H55" s="1"/>
      <c r="I55" s="1"/>
      <c r="J55" s="1"/>
      <c r="K55" s="1"/>
      <c r="L55" s="1"/>
      <c r="M55" s="1"/>
      <c r="N55" s="1"/>
      <c r="O55" s="1"/>
      <c r="P55" s="1"/>
      <c r="Q55" s="1"/>
      <c r="R55" s="1"/>
      <c r="S55" s="1"/>
      <c r="T55" s="1"/>
      <c r="U55" s="1"/>
      <c r="V55" s="1"/>
      <c r="W55" s="1"/>
      <c r="X55" s="1"/>
      <c r="Y55" s="1"/>
      <c r="Z55" s="1"/>
    </row>
    <row r="56" spans="1:26" ht="14" x14ac:dyDescent="0.15">
      <c r="A56" s="21"/>
      <c r="B56" s="21"/>
      <c r="C56" s="21"/>
      <c r="D56" s="21"/>
      <c r="E56" s="1"/>
      <c r="F56" s="1"/>
      <c r="G56" s="1"/>
      <c r="H56" s="1"/>
      <c r="I56" s="1"/>
      <c r="J56" s="1"/>
      <c r="K56" s="1"/>
      <c r="L56" s="1"/>
      <c r="M56" s="1"/>
      <c r="N56" s="1"/>
      <c r="O56" s="1"/>
      <c r="P56" s="1"/>
      <c r="Q56" s="1"/>
      <c r="R56" s="1"/>
      <c r="S56" s="1"/>
      <c r="T56" s="1"/>
      <c r="U56" s="1"/>
      <c r="V56" s="1"/>
      <c r="W56" s="1"/>
      <c r="X56" s="1"/>
      <c r="Y56" s="1"/>
      <c r="Z56" s="1"/>
    </row>
    <row r="57" spans="1:26" ht="14" x14ac:dyDescent="0.15">
      <c r="A57" s="21"/>
      <c r="B57" s="21"/>
      <c r="C57" s="21"/>
      <c r="D57" s="21"/>
      <c r="E57" s="1"/>
      <c r="F57" s="1"/>
      <c r="G57" s="1"/>
      <c r="H57" s="1"/>
      <c r="I57" s="1"/>
      <c r="J57" s="1"/>
      <c r="K57" s="1"/>
      <c r="L57" s="1"/>
      <c r="M57" s="1"/>
      <c r="N57" s="1"/>
      <c r="O57" s="1"/>
      <c r="P57" s="1"/>
      <c r="Q57" s="1"/>
      <c r="R57" s="1"/>
      <c r="S57" s="1"/>
      <c r="T57" s="1"/>
      <c r="U57" s="1"/>
      <c r="V57" s="1"/>
      <c r="W57" s="1"/>
      <c r="X57" s="1"/>
      <c r="Y57" s="1"/>
      <c r="Z57" s="1"/>
    </row>
    <row r="58" spans="1:26" ht="14" x14ac:dyDescent="0.15">
      <c r="A58" s="21"/>
      <c r="B58" s="21"/>
      <c r="C58" s="21"/>
      <c r="D58" s="21"/>
      <c r="E58" s="1"/>
      <c r="F58" s="1"/>
      <c r="G58" s="1"/>
      <c r="H58" s="1"/>
      <c r="I58" s="1"/>
      <c r="J58" s="1"/>
      <c r="K58" s="1"/>
      <c r="L58" s="1"/>
      <c r="M58" s="1"/>
      <c r="N58" s="1"/>
      <c r="O58" s="1"/>
      <c r="P58" s="1"/>
      <c r="Q58" s="1"/>
      <c r="R58" s="1"/>
      <c r="S58" s="1"/>
      <c r="T58" s="1"/>
      <c r="U58" s="1"/>
      <c r="V58" s="1"/>
      <c r="W58" s="1"/>
      <c r="X58" s="1"/>
      <c r="Y58" s="1"/>
      <c r="Z58" s="1"/>
    </row>
    <row r="59" spans="1:26" ht="14" x14ac:dyDescent="0.15">
      <c r="A59" s="21"/>
      <c r="B59" s="21"/>
      <c r="C59" s="21"/>
      <c r="D59" s="21"/>
      <c r="E59" s="1"/>
      <c r="F59" s="1"/>
      <c r="G59" s="1"/>
      <c r="H59" s="1"/>
      <c r="I59" s="1"/>
      <c r="J59" s="1"/>
      <c r="K59" s="1"/>
      <c r="L59" s="1"/>
      <c r="M59" s="1"/>
      <c r="N59" s="1"/>
      <c r="O59" s="1"/>
      <c r="P59" s="1"/>
      <c r="Q59" s="1"/>
      <c r="R59" s="1"/>
      <c r="S59" s="1"/>
      <c r="T59" s="1"/>
      <c r="U59" s="1"/>
      <c r="V59" s="1"/>
      <c r="W59" s="1"/>
      <c r="X59" s="1"/>
      <c r="Y59" s="1"/>
      <c r="Z59" s="1"/>
    </row>
    <row r="60" spans="1:26" ht="14" x14ac:dyDescent="0.15">
      <c r="A60" s="21"/>
      <c r="B60" s="21"/>
      <c r="C60" s="21"/>
      <c r="D60" s="21"/>
      <c r="E60" s="1"/>
      <c r="F60" s="1"/>
      <c r="G60" s="1"/>
      <c r="H60" s="1"/>
      <c r="I60" s="1"/>
      <c r="J60" s="1"/>
      <c r="K60" s="1"/>
      <c r="L60" s="1"/>
      <c r="M60" s="1"/>
      <c r="N60" s="1"/>
      <c r="O60" s="1"/>
      <c r="P60" s="1"/>
      <c r="Q60" s="1"/>
      <c r="R60" s="1"/>
      <c r="S60" s="1"/>
      <c r="T60" s="1"/>
      <c r="U60" s="1"/>
      <c r="V60" s="1"/>
      <c r="W60" s="1"/>
      <c r="X60" s="1"/>
      <c r="Y60" s="1"/>
      <c r="Z60" s="1"/>
    </row>
    <row r="61" spans="1:26" ht="14" x14ac:dyDescent="0.15">
      <c r="A61" s="21"/>
      <c r="B61" s="21"/>
      <c r="C61" s="21"/>
      <c r="D61" s="21"/>
      <c r="E61" s="1"/>
      <c r="F61" s="1"/>
      <c r="G61" s="1"/>
      <c r="H61" s="1"/>
      <c r="I61" s="1"/>
      <c r="J61" s="1"/>
      <c r="K61" s="1"/>
      <c r="L61" s="1"/>
      <c r="M61" s="1"/>
      <c r="N61" s="1"/>
      <c r="O61" s="1"/>
      <c r="P61" s="1"/>
      <c r="Q61" s="1"/>
      <c r="R61" s="1"/>
      <c r="S61" s="1"/>
      <c r="T61" s="1"/>
      <c r="U61" s="1"/>
      <c r="V61" s="1"/>
      <c r="W61" s="1"/>
      <c r="X61" s="1"/>
      <c r="Y61" s="1"/>
      <c r="Z61" s="1"/>
    </row>
    <row r="62" spans="1:26" ht="14" x14ac:dyDescent="0.15">
      <c r="A62" s="21"/>
      <c r="B62" s="21"/>
      <c r="C62" s="21"/>
      <c r="D62" s="21"/>
      <c r="E62" s="1"/>
      <c r="F62" s="1"/>
      <c r="G62" s="1"/>
      <c r="H62" s="1"/>
      <c r="I62" s="1"/>
      <c r="J62" s="1"/>
      <c r="K62" s="1"/>
      <c r="L62" s="1"/>
      <c r="M62" s="1"/>
      <c r="N62" s="1"/>
      <c r="O62" s="1"/>
      <c r="P62" s="1"/>
      <c r="Q62" s="1"/>
      <c r="R62" s="1"/>
      <c r="S62" s="1"/>
      <c r="T62" s="1"/>
      <c r="U62" s="1"/>
      <c r="V62" s="1"/>
      <c r="W62" s="1"/>
      <c r="X62" s="1"/>
      <c r="Y62" s="1"/>
      <c r="Z62" s="1"/>
    </row>
    <row r="63" spans="1:26" ht="14" x14ac:dyDescent="0.15">
      <c r="A63" s="21"/>
      <c r="B63" s="21"/>
      <c r="C63" s="21"/>
      <c r="D63" s="21"/>
      <c r="E63" s="1"/>
      <c r="F63" s="1"/>
      <c r="G63" s="1"/>
      <c r="H63" s="1"/>
      <c r="I63" s="1"/>
      <c r="J63" s="1"/>
      <c r="K63" s="1"/>
      <c r="L63" s="1"/>
      <c r="M63" s="1"/>
      <c r="N63" s="1"/>
      <c r="O63" s="1"/>
      <c r="P63" s="1"/>
      <c r="Q63" s="1"/>
      <c r="R63" s="1"/>
      <c r="S63" s="1"/>
      <c r="T63" s="1"/>
      <c r="U63" s="1"/>
      <c r="V63" s="1"/>
      <c r="W63" s="1"/>
      <c r="X63" s="1"/>
      <c r="Y63" s="1"/>
      <c r="Z63" s="1"/>
    </row>
    <row r="64" spans="1:26" ht="14" x14ac:dyDescent="0.15">
      <c r="A64" s="21"/>
      <c r="B64" s="21"/>
      <c r="C64" s="21"/>
      <c r="D64" s="21"/>
      <c r="E64" s="1"/>
      <c r="F64" s="1"/>
      <c r="G64" s="1"/>
      <c r="H64" s="1"/>
      <c r="I64" s="1"/>
      <c r="J64" s="1"/>
      <c r="K64" s="1"/>
      <c r="L64" s="1"/>
      <c r="M64" s="1"/>
      <c r="N64" s="1"/>
      <c r="O64" s="1"/>
      <c r="P64" s="1"/>
      <c r="Q64" s="1"/>
      <c r="R64" s="1"/>
      <c r="S64" s="1"/>
      <c r="T64" s="1"/>
      <c r="U64" s="1"/>
      <c r="V64" s="1"/>
      <c r="W64" s="1"/>
      <c r="X64" s="1"/>
      <c r="Y64" s="1"/>
      <c r="Z64" s="1"/>
    </row>
    <row r="65" spans="1:26" ht="14" x14ac:dyDescent="0.15">
      <c r="A65" s="21"/>
      <c r="B65" s="21"/>
      <c r="C65" s="21"/>
      <c r="D65" s="21"/>
      <c r="E65" s="1"/>
      <c r="F65" s="1"/>
      <c r="G65" s="1"/>
      <c r="H65" s="1"/>
      <c r="I65" s="1"/>
      <c r="J65" s="1"/>
      <c r="K65" s="1"/>
      <c r="L65" s="1"/>
      <c r="M65" s="1"/>
      <c r="N65" s="1"/>
      <c r="O65" s="1"/>
      <c r="P65" s="1"/>
      <c r="Q65" s="1"/>
      <c r="R65" s="1"/>
      <c r="S65" s="1"/>
      <c r="T65" s="1"/>
      <c r="U65" s="1"/>
      <c r="V65" s="1"/>
      <c r="W65" s="1"/>
      <c r="X65" s="1"/>
      <c r="Y65" s="1"/>
      <c r="Z65" s="1"/>
    </row>
    <row r="66" spans="1:26" ht="14" x14ac:dyDescent="0.15">
      <c r="A66" s="21"/>
      <c r="B66" s="21"/>
      <c r="C66" s="21"/>
      <c r="D66" s="21"/>
      <c r="E66" s="1"/>
      <c r="F66" s="1"/>
      <c r="G66" s="1"/>
      <c r="H66" s="1"/>
      <c r="I66" s="1"/>
      <c r="J66" s="1"/>
      <c r="K66" s="1"/>
      <c r="L66" s="1"/>
      <c r="M66" s="1"/>
      <c r="N66" s="1"/>
      <c r="O66" s="1"/>
      <c r="P66" s="1"/>
      <c r="Q66" s="1"/>
      <c r="R66" s="1"/>
      <c r="S66" s="1"/>
      <c r="T66" s="1"/>
      <c r="U66" s="1"/>
      <c r="V66" s="1"/>
      <c r="W66" s="1"/>
      <c r="X66" s="1"/>
      <c r="Y66" s="1"/>
      <c r="Z66" s="1"/>
    </row>
    <row r="67" spans="1:26" ht="14" x14ac:dyDescent="0.15">
      <c r="A67" s="21"/>
      <c r="B67" s="21"/>
      <c r="C67" s="21"/>
      <c r="D67" s="21"/>
      <c r="E67" s="1"/>
      <c r="F67" s="1"/>
      <c r="G67" s="1"/>
      <c r="H67" s="1"/>
      <c r="I67" s="1"/>
      <c r="J67" s="1"/>
      <c r="K67" s="1"/>
      <c r="L67" s="1"/>
      <c r="M67" s="1"/>
      <c r="N67" s="1"/>
      <c r="O67" s="1"/>
      <c r="P67" s="1"/>
      <c r="Q67" s="1"/>
      <c r="R67" s="1"/>
      <c r="S67" s="1"/>
      <c r="T67" s="1"/>
      <c r="U67" s="1"/>
      <c r="V67" s="1"/>
      <c r="W67" s="1"/>
      <c r="X67" s="1"/>
      <c r="Y67" s="1"/>
      <c r="Z67" s="1"/>
    </row>
    <row r="68" spans="1:26" ht="14" x14ac:dyDescent="0.15">
      <c r="A68" s="21"/>
      <c r="B68" s="21"/>
      <c r="C68" s="21"/>
      <c r="D68" s="21"/>
      <c r="E68" s="1"/>
      <c r="F68" s="1"/>
      <c r="G68" s="1"/>
      <c r="H68" s="1"/>
      <c r="I68" s="1"/>
      <c r="J68" s="1"/>
      <c r="K68" s="1"/>
      <c r="L68" s="1"/>
      <c r="M68" s="1"/>
      <c r="N68" s="1"/>
      <c r="O68" s="1"/>
      <c r="P68" s="1"/>
      <c r="Q68" s="1"/>
      <c r="R68" s="1"/>
      <c r="S68" s="1"/>
      <c r="T68" s="1"/>
      <c r="U68" s="1"/>
      <c r="V68" s="1"/>
      <c r="W68" s="1"/>
      <c r="X68" s="1"/>
      <c r="Y68" s="1"/>
      <c r="Z68" s="1"/>
    </row>
    <row r="69" spans="1:26" ht="14" x14ac:dyDescent="0.15">
      <c r="A69" s="21"/>
      <c r="B69" s="21"/>
      <c r="C69" s="21"/>
      <c r="D69" s="21"/>
      <c r="E69" s="1"/>
      <c r="F69" s="1"/>
      <c r="G69" s="1"/>
      <c r="H69" s="1"/>
      <c r="I69" s="1"/>
      <c r="J69" s="1"/>
      <c r="K69" s="1"/>
      <c r="L69" s="1"/>
      <c r="M69" s="1"/>
      <c r="N69" s="1"/>
      <c r="O69" s="1"/>
      <c r="P69" s="1"/>
      <c r="Q69" s="1"/>
      <c r="R69" s="1"/>
      <c r="S69" s="1"/>
      <c r="T69" s="1"/>
      <c r="U69" s="1"/>
      <c r="V69" s="1"/>
      <c r="W69" s="1"/>
      <c r="X69" s="1"/>
      <c r="Y69" s="1"/>
      <c r="Z69" s="1"/>
    </row>
    <row r="70" spans="1:26" ht="14" x14ac:dyDescent="0.15">
      <c r="A70" s="21"/>
      <c r="B70" s="21"/>
      <c r="C70" s="21"/>
      <c r="D70" s="21"/>
      <c r="E70" s="1"/>
      <c r="F70" s="1"/>
      <c r="G70" s="1"/>
      <c r="H70" s="1"/>
      <c r="I70" s="1"/>
      <c r="J70" s="1"/>
      <c r="K70" s="1"/>
      <c r="L70" s="1"/>
      <c r="M70" s="1"/>
      <c r="N70" s="1"/>
      <c r="O70" s="1"/>
      <c r="P70" s="1"/>
      <c r="Q70" s="1"/>
      <c r="R70" s="1"/>
      <c r="S70" s="1"/>
      <c r="T70" s="1"/>
      <c r="U70" s="1"/>
      <c r="V70" s="1"/>
      <c r="W70" s="1"/>
      <c r="X70" s="1"/>
      <c r="Y70" s="1"/>
      <c r="Z70" s="1"/>
    </row>
    <row r="71" spans="1:26" ht="14" x14ac:dyDescent="0.15">
      <c r="A71" s="21"/>
      <c r="B71" s="21"/>
      <c r="C71" s="21"/>
      <c r="D71" s="21"/>
      <c r="E71" s="1"/>
      <c r="F71" s="1"/>
      <c r="G71" s="1"/>
      <c r="H71" s="1"/>
      <c r="I71" s="1"/>
      <c r="J71" s="1"/>
      <c r="K71" s="1"/>
      <c r="L71" s="1"/>
      <c r="M71" s="1"/>
      <c r="N71" s="1"/>
      <c r="O71" s="1"/>
      <c r="P71" s="1"/>
      <c r="Q71" s="1"/>
      <c r="R71" s="1"/>
      <c r="S71" s="1"/>
      <c r="T71" s="1"/>
      <c r="U71" s="1"/>
      <c r="V71" s="1"/>
      <c r="W71" s="1"/>
      <c r="X71" s="1"/>
      <c r="Y71" s="1"/>
      <c r="Z71" s="1"/>
    </row>
    <row r="72" spans="1:26" ht="14" x14ac:dyDescent="0.15">
      <c r="A72" s="21"/>
      <c r="B72" s="21"/>
      <c r="C72" s="21"/>
      <c r="D72" s="21"/>
      <c r="E72" s="1"/>
      <c r="F72" s="1"/>
      <c r="G72" s="1"/>
      <c r="H72" s="1"/>
      <c r="I72" s="1"/>
      <c r="J72" s="1"/>
      <c r="K72" s="1"/>
      <c r="L72" s="1"/>
      <c r="M72" s="1"/>
      <c r="N72" s="1"/>
      <c r="O72" s="1"/>
      <c r="P72" s="1"/>
      <c r="Q72" s="1"/>
      <c r="R72" s="1"/>
      <c r="S72" s="1"/>
      <c r="T72" s="1"/>
      <c r="U72" s="1"/>
      <c r="V72" s="1"/>
      <c r="W72" s="1"/>
      <c r="X72" s="1"/>
      <c r="Y72" s="1"/>
      <c r="Z72" s="1"/>
    </row>
    <row r="73" spans="1:26" ht="14" x14ac:dyDescent="0.15">
      <c r="A73" s="21"/>
      <c r="B73" s="21"/>
      <c r="C73" s="21"/>
      <c r="D73" s="21"/>
      <c r="E73" s="1"/>
      <c r="F73" s="1"/>
      <c r="G73" s="1"/>
      <c r="H73" s="1"/>
      <c r="I73" s="1"/>
      <c r="J73" s="1"/>
      <c r="K73" s="1"/>
      <c r="L73" s="1"/>
      <c r="M73" s="1"/>
      <c r="N73" s="1"/>
      <c r="O73" s="1"/>
      <c r="P73" s="1"/>
      <c r="Q73" s="1"/>
      <c r="R73" s="1"/>
      <c r="S73" s="1"/>
      <c r="T73" s="1"/>
      <c r="U73" s="1"/>
      <c r="V73" s="1"/>
      <c r="W73" s="1"/>
      <c r="X73" s="1"/>
      <c r="Y73" s="1"/>
      <c r="Z73" s="1"/>
    </row>
    <row r="74" spans="1:26" ht="14" x14ac:dyDescent="0.15">
      <c r="A74" s="21"/>
      <c r="B74" s="21"/>
      <c r="C74" s="21"/>
      <c r="D74" s="21"/>
      <c r="E74" s="1"/>
      <c r="F74" s="1"/>
      <c r="G74" s="1"/>
      <c r="H74" s="1"/>
      <c r="I74" s="1"/>
      <c r="J74" s="1"/>
      <c r="K74" s="1"/>
      <c r="L74" s="1"/>
      <c r="M74" s="1"/>
      <c r="N74" s="1"/>
      <c r="O74" s="1"/>
      <c r="P74" s="1"/>
      <c r="Q74" s="1"/>
      <c r="R74" s="1"/>
      <c r="S74" s="1"/>
      <c r="T74" s="1"/>
      <c r="U74" s="1"/>
      <c r="V74" s="1"/>
      <c r="W74" s="1"/>
      <c r="X74" s="1"/>
      <c r="Y74" s="1"/>
      <c r="Z74" s="1"/>
    </row>
    <row r="75" spans="1:26" ht="14" x14ac:dyDescent="0.15">
      <c r="A75" s="21"/>
      <c r="B75" s="21"/>
      <c r="C75" s="21"/>
      <c r="D75" s="21"/>
      <c r="E75" s="1"/>
      <c r="F75" s="1"/>
      <c r="G75" s="1"/>
      <c r="H75" s="1"/>
      <c r="I75" s="1"/>
      <c r="J75" s="1"/>
      <c r="K75" s="1"/>
      <c r="L75" s="1"/>
      <c r="M75" s="1"/>
      <c r="N75" s="1"/>
      <c r="O75" s="1"/>
      <c r="P75" s="1"/>
      <c r="Q75" s="1"/>
      <c r="R75" s="1"/>
      <c r="S75" s="1"/>
      <c r="T75" s="1"/>
      <c r="U75" s="1"/>
      <c r="V75" s="1"/>
      <c r="W75" s="1"/>
      <c r="X75" s="1"/>
      <c r="Y75" s="1"/>
      <c r="Z75" s="1"/>
    </row>
    <row r="76" spans="1:26" ht="14" x14ac:dyDescent="0.15">
      <c r="A76" s="21"/>
      <c r="B76" s="21"/>
      <c r="C76" s="21"/>
      <c r="D76" s="21"/>
      <c r="E76" s="1"/>
      <c r="F76" s="1"/>
      <c r="G76" s="1"/>
      <c r="H76" s="1"/>
      <c r="I76" s="1"/>
      <c r="J76" s="1"/>
      <c r="K76" s="1"/>
      <c r="L76" s="1"/>
      <c r="M76" s="1"/>
      <c r="N76" s="1"/>
      <c r="O76" s="1"/>
      <c r="P76" s="1"/>
      <c r="Q76" s="1"/>
      <c r="R76" s="1"/>
      <c r="S76" s="1"/>
      <c r="T76" s="1"/>
      <c r="U76" s="1"/>
      <c r="V76" s="1"/>
      <c r="W76" s="1"/>
      <c r="X76" s="1"/>
      <c r="Y76" s="1"/>
      <c r="Z76" s="1"/>
    </row>
    <row r="77" spans="1:26" ht="14" x14ac:dyDescent="0.15">
      <c r="A77" s="21"/>
      <c r="B77" s="21"/>
      <c r="C77" s="21"/>
      <c r="D77" s="21"/>
      <c r="E77" s="1"/>
      <c r="F77" s="1"/>
      <c r="G77" s="1"/>
      <c r="H77" s="1"/>
      <c r="I77" s="1"/>
      <c r="J77" s="1"/>
      <c r="K77" s="1"/>
      <c r="L77" s="1"/>
      <c r="M77" s="1"/>
      <c r="N77" s="1"/>
      <c r="O77" s="1"/>
      <c r="P77" s="1"/>
      <c r="Q77" s="1"/>
      <c r="R77" s="1"/>
      <c r="S77" s="1"/>
      <c r="T77" s="1"/>
      <c r="U77" s="1"/>
      <c r="V77" s="1"/>
      <c r="W77" s="1"/>
      <c r="X77" s="1"/>
      <c r="Y77" s="1"/>
      <c r="Z77" s="1"/>
    </row>
    <row r="78" spans="1:26" ht="14" x14ac:dyDescent="0.15">
      <c r="A78" s="21"/>
      <c r="B78" s="21"/>
      <c r="C78" s="21"/>
      <c r="D78" s="21"/>
      <c r="E78" s="1"/>
      <c r="F78" s="1"/>
      <c r="G78" s="1"/>
      <c r="H78" s="1"/>
      <c r="I78" s="1"/>
      <c r="J78" s="1"/>
      <c r="K78" s="1"/>
      <c r="L78" s="1"/>
      <c r="M78" s="1"/>
      <c r="N78" s="1"/>
      <c r="O78" s="1"/>
      <c r="P78" s="1"/>
      <c r="Q78" s="1"/>
      <c r="R78" s="1"/>
      <c r="S78" s="1"/>
      <c r="T78" s="1"/>
      <c r="U78" s="1"/>
      <c r="V78" s="1"/>
      <c r="W78" s="1"/>
      <c r="X78" s="1"/>
      <c r="Y78" s="1"/>
      <c r="Z78" s="1"/>
    </row>
    <row r="79" spans="1:26" ht="14" x14ac:dyDescent="0.15">
      <c r="A79" s="21"/>
      <c r="B79" s="21"/>
      <c r="C79" s="21"/>
      <c r="D79" s="21"/>
      <c r="E79" s="1"/>
      <c r="F79" s="1"/>
      <c r="G79" s="1"/>
      <c r="H79" s="1"/>
      <c r="I79" s="1"/>
      <c r="J79" s="1"/>
      <c r="K79" s="1"/>
      <c r="L79" s="1"/>
      <c r="M79" s="1"/>
      <c r="N79" s="1"/>
      <c r="O79" s="1"/>
      <c r="P79" s="1"/>
      <c r="Q79" s="1"/>
      <c r="R79" s="1"/>
      <c r="S79" s="1"/>
      <c r="T79" s="1"/>
      <c r="U79" s="1"/>
      <c r="V79" s="1"/>
      <c r="W79" s="1"/>
      <c r="X79" s="1"/>
      <c r="Y79" s="1"/>
      <c r="Z79" s="1"/>
    </row>
    <row r="80" spans="1:26" ht="14" x14ac:dyDescent="0.15">
      <c r="A80" s="21"/>
      <c r="B80" s="21"/>
      <c r="C80" s="21"/>
      <c r="D80" s="21"/>
      <c r="E80" s="1"/>
      <c r="F80" s="1"/>
      <c r="G80" s="1"/>
      <c r="H80" s="1"/>
      <c r="I80" s="1"/>
      <c r="J80" s="1"/>
      <c r="K80" s="1"/>
      <c r="L80" s="1"/>
      <c r="M80" s="1"/>
      <c r="N80" s="1"/>
      <c r="O80" s="1"/>
      <c r="P80" s="1"/>
      <c r="Q80" s="1"/>
      <c r="R80" s="1"/>
      <c r="S80" s="1"/>
      <c r="T80" s="1"/>
      <c r="U80" s="1"/>
      <c r="V80" s="1"/>
      <c r="W80" s="1"/>
      <c r="X80" s="1"/>
      <c r="Y80" s="1"/>
      <c r="Z80" s="1"/>
    </row>
    <row r="81" spans="1:26" ht="14" x14ac:dyDescent="0.15">
      <c r="A81" s="21"/>
      <c r="B81" s="21"/>
      <c r="C81" s="21"/>
      <c r="D81" s="21"/>
      <c r="E81" s="1"/>
      <c r="F81" s="1"/>
      <c r="G81" s="1"/>
      <c r="H81" s="1"/>
      <c r="I81" s="1"/>
      <c r="J81" s="1"/>
      <c r="K81" s="1"/>
      <c r="L81" s="1"/>
      <c r="M81" s="1"/>
      <c r="N81" s="1"/>
      <c r="O81" s="1"/>
      <c r="P81" s="1"/>
      <c r="Q81" s="1"/>
      <c r="R81" s="1"/>
      <c r="S81" s="1"/>
      <c r="T81" s="1"/>
      <c r="U81" s="1"/>
      <c r="V81" s="1"/>
      <c r="W81" s="1"/>
      <c r="X81" s="1"/>
      <c r="Y81" s="1"/>
      <c r="Z81" s="1"/>
    </row>
    <row r="82" spans="1:26" ht="14" x14ac:dyDescent="0.15">
      <c r="A82" s="21"/>
      <c r="B82" s="21"/>
      <c r="C82" s="21"/>
      <c r="D82" s="21"/>
      <c r="E82" s="1"/>
      <c r="F82" s="1"/>
      <c r="G82" s="1"/>
      <c r="H82" s="1"/>
      <c r="I82" s="1"/>
      <c r="J82" s="1"/>
      <c r="K82" s="1"/>
      <c r="L82" s="1"/>
      <c r="M82" s="1"/>
      <c r="N82" s="1"/>
      <c r="O82" s="1"/>
      <c r="P82" s="1"/>
      <c r="Q82" s="1"/>
      <c r="R82" s="1"/>
      <c r="S82" s="1"/>
      <c r="T82" s="1"/>
      <c r="U82" s="1"/>
      <c r="V82" s="1"/>
      <c r="W82" s="1"/>
      <c r="X82" s="1"/>
      <c r="Y82" s="1"/>
      <c r="Z82" s="1"/>
    </row>
    <row r="83" spans="1:26" ht="14" x14ac:dyDescent="0.15">
      <c r="A83" s="21"/>
      <c r="B83" s="21"/>
      <c r="C83" s="21"/>
      <c r="D83" s="21"/>
      <c r="E83" s="1"/>
      <c r="F83" s="1"/>
      <c r="G83" s="1"/>
      <c r="H83" s="1"/>
      <c r="I83" s="1"/>
      <c r="J83" s="1"/>
      <c r="K83" s="1"/>
      <c r="L83" s="1"/>
      <c r="M83" s="1"/>
      <c r="N83" s="1"/>
      <c r="O83" s="1"/>
      <c r="P83" s="1"/>
      <c r="Q83" s="1"/>
      <c r="R83" s="1"/>
      <c r="S83" s="1"/>
      <c r="T83" s="1"/>
      <c r="U83" s="1"/>
      <c r="V83" s="1"/>
      <c r="W83" s="1"/>
      <c r="X83" s="1"/>
      <c r="Y83" s="1"/>
      <c r="Z83" s="1"/>
    </row>
    <row r="84" spans="1:26" ht="14" x14ac:dyDescent="0.15">
      <c r="A84" s="21"/>
      <c r="B84" s="21"/>
      <c r="C84" s="21"/>
      <c r="D84" s="21"/>
      <c r="E84" s="1"/>
      <c r="F84" s="1"/>
      <c r="G84" s="1"/>
      <c r="H84" s="1"/>
      <c r="I84" s="1"/>
      <c r="J84" s="1"/>
      <c r="K84" s="1"/>
      <c r="L84" s="1"/>
      <c r="M84" s="1"/>
      <c r="N84" s="1"/>
      <c r="O84" s="1"/>
      <c r="P84" s="1"/>
      <c r="Q84" s="1"/>
      <c r="R84" s="1"/>
      <c r="S84" s="1"/>
      <c r="T84" s="1"/>
      <c r="U84" s="1"/>
      <c r="V84" s="1"/>
      <c r="W84" s="1"/>
      <c r="X84" s="1"/>
      <c r="Y84" s="1"/>
      <c r="Z84" s="1"/>
    </row>
    <row r="85" spans="1:26" ht="14" x14ac:dyDescent="0.15">
      <c r="A85" s="21"/>
      <c r="B85" s="21"/>
      <c r="C85" s="21"/>
      <c r="D85" s="21"/>
      <c r="E85" s="1"/>
      <c r="F85" s="1"/>
      <c r="G85" s="1"/>
      <c r="H85" s="1"/>
      <c r="I85" s="1"/>
      <c r="J85" s="1"/>
      <c r="K85" s="1"/>
      <c r="L85" s="1"/>
      <c r="M85" s="1"/>
      <c r="N85" s="1"/>
      <c r="O85" s="1"/>
      <c r="P85" s="1"/>
      <c r="Q85" s="1"/>
      <c r="R85" s="1"/>
      <c r="S85" s="1"/>
      <c r="T85" s="1"/>
      <c r="U85" s="1"/>
      <c r="V85" s="1"/>
      <c r="W85" s="1"/>
      <c r="X85" s="1"/>
      <c r="Y85" s="1"/>
      <c r="Z85" s="1"/>
    </row>
    <row r="86" spans="1:26" ht="14" x14ac:dyDescent="0.15">
      <c r="A86" s="21"/>
      <c r="B86" s="21"/>
      <c r="C86" s="21"/>
      <c r="D86" s="21"/>
      <c r="E86" s="1"/>
      <c r="F86" s="1"/>
      <c r="G86" s="1"/>
      <c r="H86" s="1"/>
      <c r="I86" s="1"/>
      <c r="J86" s="1"/>
      <c r="K86" s="1"/>
      <c r="L86" s="1"/>
      <c r="M86" s="1"/>
      <c r="N86" s="1"/>
      <c r="O86" s="1"/>
      <c r="P86" s="1"/>
      <c r="Q86" s="1"/>
      <c r="R86" s="1"/>
      <c r="S86" s="1"/>
      <c r="T86" s="1"/>
      <c r="U86" s="1"/>
      <c r="V86" s="1"/>
      <c r="W86" s="1"/>
      <c r="X86" s="1"/>
      <c r="Y86" s="1"/>
      <c r="Z86" s="1"/>
    </row>
    <row r="87" spans="1:26" ht="14" x14ac:dyDescent="0.15">
      <c r="A87" s="21"/>
      <c r="B87" s="21"/>
      <c r="C87" s="21"/>
      <c r="D87" s="21"/>
      <c r="E87" s="1"/>
      <c r="F87" s="1"/>
      <c r="G87" s="1"/>
      <c r="H87" s="1"/>
      <c r="I87" s="1"/>
      <c r="J87" s="1"/>
      <c r="K87" s="1"/>
      <c r="L87" s="1"/>
      <c r="M87" s="1"/>
      <c r="N87" s="1"/>
      <c r="O87" s="1"/>
      <c r="P87" s="1"/>
      <c r="Q87" s="1"/>
      <c r="R87" s="1"/>
      <c r="S87" s="1"/>
      <c r="T87" s="1"/>
      <c r="U87" s="1"/>
      <c r="V87" s="1"/>
      <c r="W87" s="1"/>
      <c r="X87" s="1"/>
      <c r="Y87" s="1"/>
      <c r="Z87" s="1"/>
    </row>
    <row r="88" spans="1:26" ht="14" x14ac:dyDescent="0.15">
      <c r="A88" s="21"/>
      <c r="B88" s="21"/>
      <c r="C88" s="21"/>
      <c r="D88" s="21"/>
      <c r="E88" s="1"/>
      <c r="F88" s="1"/>
      <c r="G88" s="1"/>
      <c r="H88" s="1"/>
      <c r="I88" s="1"/>
      <c r="J88" s="1"/>
      <c r="K88" s="1"/>
      <c r="L88" s="1"/>
      <c r="M88" s="1"/>
      <c r="N88" s="1"/>
      <c r="O88" s="1"/>
      <c r="P88" s="1"/>
      <c r="Q88" s="1"/>
      <c r="R88" s="1"/>
      <c r="S88" s="1"/>
      <c r="T88" s="1"/>
      <c r="U88" s="1"/>
      <c r="V88" s="1"/>
      <c r="W88" s="1"/>
      <c r="X88" s="1"/>
      <c r="Y88" s="1"/>
      <c r="Z88" s="1"/>
    </row>
    <row r="89" spans="1:26" ht="14" x14ac:dyDescent="0.15">
      <c r="A89" s="21"/>
      <c r="B89" s="21"/>
      <c r="C89" s="21"/>
      <c r="D89" s="21"/>
      <c r="E89" s="1"/>
      <c r="F89" s="1"/>
      <c r="G89" s="1"/>
      <c r="H89" s="1"/>
      <c r="I89" s="1"/>
      <c r="J89" s="1"/>
      <c r="K89" s="1"/>
      <c r="L89" s="1"/>
      <c r="M89" s="1"/>
      <c r="N89" s="1"/>
      <c r="O89" s="1"/>
      <c r="P89" s="1"/>
      <c r="Q89" s="1"/>
      <c r="R89" s="1"/>
      <c r="S89" s="1"/>
      <c r="T89" s="1"/>
      <c r="U89" s="1"/>
      <c r="V89" s="1"/>
      <c r="W89" s="1"/>
      <c r="X89" s="1"/>
      <c r="Y89" s="1"/>
      <c r="Z89" s="1"/>
    </row>
    <row r="90" spans="1:26" ht="14" x14ac:dyDescent="0.15">
      <c r="A90" s="21"/>
      <c r="B90" s="21"/>
      <c r="C90" s="21"/>
      <c r="D90" s="21"/>
      <c r="E90" s="1"/>
      <c r="F90" s="1"/>
      <c r="G90" s="1"/>
      <c r="H90" s="1"/>
      <c r="I90" s="1"/>
      <c r="J90" s="1"/>
      <c r="K90" s="1"/>
      <c r="L90" s="1"/>
      <c r="M90" s="1"/>
      <c r="N90" s="1"/>
      <c r="O90" s="1"/>
      <c r="P90" s="1"/>
      <c r="Q90" s="1"/>
      <c r="R90" s="1"/>
      <c r="S90" s="1"/>
      <c r="T90" s="1"/>
      <c r="U90" s="1"/>
      <c r="V90" s="1"/>
      <c r="W90" s="1"/>
      <c r="X90" s="1"/>
      <c r="Y90" s="1"/>
      <c r="Z90" s="1"/>
    </row>
    <row r="91" spans="1:26" ht="14" x14ac:dyDescent="0.15">
      <c r="A91" s="21"/>
      <c r="B91" s="21"/>
      <c r="C91" s="21"/>
      <c r="D91" s="21"/>
      <c r="E91" s="1"/>
      <c r="F91" s="1"/>
      <c r="G91" s="1"/>
      <c r="H91" s="1"/>
      <c r="I91" s="1"/>
      <c r="J91" s="1"/>
      <c r="K91" s="1"/>
      <c r="L91" s="1"/>
      <c r="M91" s="1"/>
      <c r="N91" s="1"/>
      <c r="O91" s="1"/>
      <c r="P91" s="1"/>
      <c r="Q91" s="1"/>
      <c r="R91" s="1"/>
      <c r="S91" s="1"/>
      <c r="T91" s="1"/>
      <c r="U91" s="1"/>
      <c r="V91" s="1"/>
      <c r="W91" s="1"/>
      <c r="X91" s="1"/>
      <c r="Y91" s="1"/>
      <c r="Z91" s="1"/>
    </row>
    <row r="92" spans="1:26" ht="14" x14ac:dyDescent="0.15">
      <c r="A92" s="21"/>
      <c r="B92" s="21"/>
      <c r="C92" s="21"/>
      <c r="D92" s="21"/>
      <c r="E92" s="1"/>
      <c r="F92" s="1"/>
      <c r="G92" s="1"/>
      <c r="H92" s="1"/>
      <c r="I92" s="1"/>
      <c r="J92" s="1"/>
      <c r="K92" s="1"/>
      <c r="L92" s="1"/>
      <c r="M92" s="1"/>
      <c r="N92" s="1"/>
      <c r="O92" s="1"/>
      <c r="P92" s="1"/>
      <c r="Q92" s="1"/>
      <c r="R92" s="1"/>
      <c r="S92" s="1"/>
      <c r="T92" s="1"/>
      <c r="U92" s="1"/>
      <c r="V92" s="1"/>
      <c r="W92" s="1"/>
      <c r="X92" s="1"/>
      <c r="Y92" s="1"/>
      <c r="Z92" s="1"/>
    </row>
    <row r="93" spans="1:26" ht="14" x14ac:dyDescent="0.15">
      <c r="A93" s="21"/>
      <c r="B93" s="21"/>
      <c r="C93" s="21"/>
      <c r="D93" s="21"/>
      <c r="E93" s="1"/>
      <c r="F93" s="1"/>
      <c r="G93" s="1"/>
      <c r="H93" s="1"/>
      <c r="I93" s="1"/>
      <c r="J93" s="1"/>
      <c r="K93" s="1"/>
      <c r="L93" s="1"/>
      <c r="M93" s="1"/>
      <c r="N93" s="1"/>
      <c r="O93" s="1"/>
      <c r="P93" s="1"/>
      <c r="Q93" s="1"/>
      <c r="R93" s="1"/>
      <c r="S93" s="1"/>
      <c r="T93" s="1"/>
      <c r="U93" s="1"/>
      <c r="V93" s="1"/>
      <c r="W93" s="1"/>
      <c r="X93" s="1"/>
      <c r="Y93" s="1"/>
      <c r="Z93" s="1"/>
    </row>
    <row r="94" spans="1:26" ht="14" x14ac:dyDescent="0.15">
      <c r="A94" s="21"/>
      <c r="B94" s="21"/>
      <c r="C94" s="21"/>
      <c r="D94" s="21"/>
      <c r="E94" s="1"/>
      <c r="F94" s="1"/>
      <c r="G94" s="1"/>
      <c r="H94" s="1"/>
      <c r="I94" s="1"/>
      <c r="J94" s="1"/>
      <c r="K94" s="1"/>
      <c r="L94" s="1"/>
      <c r="M94" s="1"/>
      <c r="N94" s="1"/>
      <c r="O94" s="1"/>
      <c r="P94" s="1"/>
      <c r="Q94" s="1"/>
      <c r="R94" s="1"/>
      <c r="S94" s="1"/>
      <c r="T94" s="1"/>
      <c r="U94" s="1"/>
      <c r="V94" s="1"/>
      <c r="W94" s="1"/>
      <c r="X94" s="1"/>
      <c r="Y94" s="1"/>
      <c r="Z94" s="1"/>
    </row>
    <row r="95" spans="1:26" ht="14" x14ac:dyDescent="0.15">
      <c r="A95" s="21"/>
      <c r="B95" s="21"/>
      <c r="C95" s="21"/>
      <c r="D95" s="21"/>
      <c r="E95" s="1"/>
      <c r="F95" s="1"/>
      <c r="G95" s="1"/>
      <c r="H95" s="1"/>
      <c r="I95" s="1"/>
      <c r="J95" s="1"/>
      <c r="K95" s="1"/>
      <c r="L95" s="1"/>
      <c r="M95" s="1"/>
      <c r="N95" s="1"/>
      <c r="O95" s="1"/>
      <c r="P95" s="1"/>
      <c r="Q95" s="1"/>
      <c r="R95" s="1"/>
      <c r="S95" s="1"/>
      <c r="T95" s="1"/>
      <c r="U95" s="1"/>
      <c r="V95" s="1"/>
      <c r="W95" s="1"/>
      <c r="X95" s="1"/>
      <c r="Y95" s="1"/>
      <c r="Z95" s="1"/>
    </row>
    <row r="96" spans="1:26" ht="14" x14ac:dyDescent="0.15">
      <c r="A96" s="21"/>
      <c r="B96" s="21"/>
      <c r="C96" s="21"/>
      <c r="D96" s="21"/>
      <c r="E96" s="1"/>
      <c r="F96" s="1"/>
      <c r="G96" s="1"/>
      <c r="H96" s="1"/>
      <c r="I96" s="1"/>
      <c r="J96" s="1"/>
      <c r="K96" s="1"/>
      <c r="L96" s="1"/>
      <c r="M96" s="1"/>
      <c r="N96" s="1"/>
      <c r="O96" s="1"/>
      <c r="P96" s="1"/>
      <c r="Q96" s="1"/>
      <c r="R96" s="1"/>
      <c r="S96" s="1"/>
      <c r="T96" s="1"/>
      <c r="U96" s="1"/>
      <c r="V96" s="1"/>
      <c r="W96" s="1"/>
      <c r="X96" s="1"/>
      <c r="Y96" s="1"/>
      <c r="Z96" s="1"/>
    </row>
    <row r="97" spans="1:26" ht="14" x14ac:dyDescent="0.15">
      <c r="A97" s="21"/>
      <c r="B97" s="21"/>
      <c r="C97" s="21"/>
      <c r="D97" s="21"/>
      <c r="E97" s="1"/>
      <c r="F97" s="1"/>
      <c r="G97" s="1"/>
      <c r="H97" s="1"/>
      <c r="I97" s="1"/>
      <c r="J97" s="1"/>
      <c r="K97" s="1"/>
      <c r="L97" s="1"/>
      <c r="M97" s="1"/>
      <c r="N97" s="1"/>
      <c r="O97" s="1"/>
      <c r="P97" s="1"/>
      <c r="Q97" s="1"/>
      <c r="R97" s="1"/>
      <c r="S97" s="1"/>
      <c r="T97" s="1"/>
      <c r="U97" s="1"/>
      <c r="V97" s="1"/>
      <c r="W97" s="1"/>
      <c r="X97" s="1"/>
      <c r="Y97" s="1"/>
      <c r="Z97" s="1"/>
    </row>
    <row r="98" spans="1:26" ht="14" x14ac:dyDescent="0.15">
      <c r="A98" s="21"/>
      <c r="B98" s="21"/>
      <c r="C98" s="21"/>
      <c r="D98" s="21"/>
      <c r="E98" s="1"/>
      <c r="F98" s="1"/>
      <c r="G98" s="1"/>
      <c r="H98" s="1"/>
      <c r="I98" s="1"/>
      <c r="J98" s="1"/>
      <c r="K98" s="1"/>
      <c r="L98" s="1"/>
      <c r="M98" s="1"/>
      <c r="N98" s="1"/>
      <c r="O98" s="1"/>
      <c r="P98" s="1"/>
      <c r="Q98" s="1"/>
      <c r="R98" s="1"/>
      <c r="S98" s="1"/>
      <c r="T98" s="1"/>
      <c r="U98" s="1"/>
      <c r="V98" s="1"/>
      <c r="W98" s="1"/>
      <c r="X98" s="1"/>
      <c r="Y98" s="1"/>
      <c r="Z98" s="1"/>
    </row>
    <row r="99" spans="1:26" ht="14" x14ac:dyDescent="0.15">
      <c r="A99" s="21"/>
      <c r="B99" s="21"/>
      <c r="C99" s="21"/>
      <c r="D99" s="21"/>
      <c r="E99" s="1"/>
      <c r="F99" s="1"/>
      <c r="G99" s="1"/>
      <c r="H99" s="1"/>
      <c r="I99" s="1"/>
      <c r="J99" s="1"/>
      <c r="K99" s="1"/>
      <c r="L99" s="1"/>
      <c r="M99" s="1"/>
      <c r="N99" s="1"/>
      <c r="O99" s="1"/>
      <c r="P99" s="1"/>
      <c r="Q99" s="1"/>
      <c r="R99" s="1"/>
      <c r="S99" s="1"/>
      <c r="T99" s="1"/>
      <c r="U99" s="1"/>
      <c r="V99" s="1"/>
      <c r="W99" s="1"/>
      <c r="X99" s="1"/>
      <c r="Y99" s="1"/>
      <c r="Z99" s="1"/>
    </row>
    <row r="100" spans="1:26" ht="14" x14ac:dyDescent="0.15">
      <c r="A100" s="21"/>
      <c r="B100" s="21"/>
      <c r="C100" s="21"/>
      <c r="D100" s="21"/>
      <c r="E100" s="1"/>
      <c r="F100" s="1"/>
      <c r="G100" s="1"/>
      <c r="H100" s="1"/>
      <c r="I100" s="1"/>
      <c r="J100" s="1"/>
      <c r="K100" s="1"/>
      <c r="L100" s="1"/>
      <c r="M100" s="1"/>
      <c r="N100" s="1"/>
      <c r="O100" s="1"/>
      <c r="P100" s="1"/>
      <c r="Q100" s="1"/>
      <c r="R100" s="1"/>
      <c r="S100" s="1"/>
      <c r="T100" s="1"/>
      <c r="U100" s="1"/>
      <c r="V100" s="1"/>
      <c r="W100" s="1"/>
      <c r="X100" s="1"/>
      <c r="Y100" s="1"/>
      <c r="Z100" s="1"/>
    </row>
    <row r="101" spans="1:26" ht="14" x14ac:dyDescent="0.15">
      <c r="A101" s="21"/>
      <c r="B101" s="21"/>
      <c r="C101" s="21"/>
      <c r="D101" s="21"/>
      <c r="E101" s="1"/>
      <c r="F101" s="1"/>
      <c r="G101" s="1"/>
      <c r="H101" s="1"/>
      <c r="I101" s="1"/>
      <c r="J101" s="1"/>
      <c r="K101" s="1"/>
      <c r="L101" s="1"/>
      <c r="M101" s="1"/>
      <c r="N101" s="1"/>
      <c r="O101" s="1"/>
      <c r="P101" s="1"/>
      <c r="Q101" s="1"/>
      <c r="R101" s="1"/>
      <c r="S101" s="1"/>
      <c r="T101" s="1"/>
      <c r="U101" s="1"/>
      <c r="V101" s="1"/>
      <c r="W101" s="1"/>
      <c r="X101" s="1"/>
      <c r="Y101" s="1"/>
      <c r="Z101" s="1"/>
    </row>
    <row r="102" spans="1:26" ht="14" x14ac:dyDescent="0.15">
      <c r="A102" s="21"/>
      <c r="B102" s="21"/>
      <c r="C102" s="21"/>
      <c r="D102" s="21"/>
      <c r="E102" s="1"/>
      <c r="F102" s="1"/>
      <c r="G102" s="1"/>
      <c r="H102" s="1"/>
      <c r="I102" s="1"/>
      <c r="J102" s="1"/>
      <c r="K102" s="1"/>
      <c r="L102" s="1"/>
      <c r="M102" s="1"/>
      <c r="N102" s="1"/>
      <c r="O102" s="1"/>
      <c r="P102" s="1"/>
      <c r="Q102" s="1"/>
      <c r="R102" s="1"/>
      <c r="S102" s="1"/>
      <c r="T102" s="1"/>
      <c r="U102" s="1"/>
      <c r="V102" s="1"/>
      <c r="W102" s="1"/>
      <c r="X102" s="1"/>
      <c r="Y102" s="1"/>
      <c r="Z102" s="1"/>
    </row>
    <row r="103" spans="1:26" ht="14" x14ac:dyDescent="0.15">
      <c r="A103" s="21"/>
      <c r="B103" s="21"/>
      <c r="C103" s="21"/>
      <c r="D103" s="21"/>
      <c r="E103" s="1"/>
      <c r="F103" s="1"/>
      <c r="G103" s="1"/>
      <c r="H103" s="1"/>
      <c r="I103" s="1"/>
      <c r="J103" s="1"/>
      <c r="K103" s="1"/>
      <c r="L103" s="1"/>
      <c r="M103" s="1"/>
      <c r="N103" s="1"/>
      <c r="O103" s="1"/>
      <c r="P103" s="1"/>
      <c r="Q103" s="1"/>
      <c r="R103" s="1"/>
      <c r="S103" s="1"/>
      <c r="T103" s="1"/>
      <c r="U103" s="1"/>
      <c r="V103" s="1"/>
      <c r="W103" s="1"/>
      <c r="X103" s="1"/>
      <c r="Y103" s="1"/>
      <c r="Z103" s="1"/>
    </row>
    <row r="104" spans="1:26" ht="14" x14ac:dyDescent="0.15">
      <c r="A104" s="21"/>
      <c r="B104" s="21"/>
      <c r="C104" s="21"/>
      <c r="D104" s="21"/>
      <c r="E104" s="1"/>
      <c r="F104" s="1"/>
      <c r="G104" s="1"/>
      <c r="H104" s="1"/>
      <c r="I104" s="1"/>
      <c r="J104" s="1"/>
      <c r="K104" s="1"/>
      <c r="L104" s="1"/>
      <c r="M104" s="1"/>
      <c r="N104" s="1"/>
      <c r="O104" s="1"/>
      <c r="P104" s="1"/>
      <c r="Q104" s="1"/>
      <c r="R104" s="1"/>
      <c r="S104" s="1"/>
      <c r="T104" s="1"/>
      <c r="U104" s="1"/>
      <c r="V104" s="1"/>
      <c r="W104" s="1"/>
      <c r="X104" s="1"/>
      <c r="Y104" s="1"/>
      <c r="Z104" s="1"/>
    </row>
    <row r="105" spans="1:26" ht="14" x14ac:dyDescent="0.15">
      <c r="A105" s="21"/>
      <c r="B105" s="21"/>
      <c r="C105" s="21"/>
      <c r="D105" s="21"/>
      <c r="E105" s="1"/>
      <c r="F105" s="1"/>
      <c r="G105" s="1"/>
      <c r="H105" s="1"/>
      <c r="I105" s="1"/>
      <c r="J105" s="1"/>
      <c r="K105" s="1"/>
      <c r="L105" s="1"/>
      <c r="M105" s="1"/>
      <c r="N105" s="1"/>
      <c r="O105" s="1"/>
      <c r="P105" s="1"/>
      <c r="Q105" s="1"/>
      <c r="R105" s="1"/>
      <c r="S105" s="1"/>
      <c r="T105" s="1"/>
      <c r="U105" s="1"/>
      <c r="V105" s="1"/>
      <c r="W105" s="1"/>
      <c r="X105" s="1"/>
      <c r="Y105" s="1"/>
      <c r="Z105" s="1"/>
    </row>
    <row r="106" spans="1:26" ht="14" x14ac:dyDescent="0.15">
      <c r="A106" s="21"/>
      <c r="B106" s="21"/>
      <c r="C106" s="21"/>
      <c r="D106" s="21"/>
      <c r="E106" s="1"/>
      <c r="F106" s="1"/>
      <c r="G106" s="1"/>
      <c r="H106" s="1"/>
      <c r="I106" s="1"/>
      <c r="J106" s="1"/>
      <c r="K106" s="1"/>
      <c r="L106" s="1"/>
      <c r="M106" s="1"/>
      <c r="N106" s="1"/>
      <c r="O106" s="1"/>
      <c r="P106" s="1"/>
      <c r="Q106" s="1"/>
      <c r="R106" s="1"/>
      <c r="S106" s="1"/>
      <c r="T106" s="1"/>
      <c r="U106" s="1"/>
      <c r="V106" s="1"/>
      <c r="W106" s="1"/>
      <c r="X106" s="1"/>
      <c r="Y106" s="1"/>
      <c r="Z106" s="1"/>
    </row>
    <row r="107" spans="1:26" ht="14" x14ac:dyDescent="0.15">
      <c r="A107" s="21"/>
      <c r="B107" s="21"/>
      <c r="C107" s="21"/>
      <c r="D107" s="21"/>
      <c r="E107" s="1"/>
      <c r="F107" s="1"/>
      <c r="G107" s="1"/>
      <c r="H107" s="1"/>
      <c r="I107" s="1"/>
      <c r="J107" s="1"/>
      <c r="K107" s="1"/>
      <c r="L107" s="1"/>
      <c r="M107" s="1"/>
      <c r="N107" s="1"/>
      <c r="O107" s="1"/>
      <c r="P107" s="1"/>
      <c r="Q107" s="1"/>
      <c r="R107" s="1"/>
      <c r="S107" s="1"/>
      <c r="T107" s="1"/>
      <c r="U107" s="1"/>
      <c r="V107" s="1"/>
      <c r="W107" s="1"/>
      <c r="X107" s="1"/>
      <c r="Y107" s="1"/>
      <c r="Z107" s="1"/>
    </row>
    <row r="108" spans="1:26" ht="14" x14ac:dyDescent="0.15">
      <c r="A108" s="21"/>
      <c r="B108" s="21"/>
      <c r="C108" s="21"/>
      <c r="D108" s="21"/>
      <c r="E108" s="1"/>
      <c r="F108" s="1"/>
      <c r="G108" s="1"/>
      <c r="H108" s="1"/>
      <c r="I108" s="1"/>
      <c r="J108" s="1"/>
      <c r="K108" s="1"/>
      <c r="L108" s="1"/>
      <c r="M108" s="1"/>
      <c r="N108" s="1"/>
      <c r="O108" s="1"/>
      <c r="P108" s="1"/>
      <c r="Q108" s="1"/>
      <c r="R108" s="1"/>
      <c r="S108" s="1"/>
      <c r="T108" s="1"/>
      <c r="U108" s="1"/>
      <c r="V108" s="1"/>
      <c r="W108" s="1"/>
      <c r="X108" s="1"/>
      <c r="Y108" s="1"/>
      <c r="Z108" s="1"/>
    </row>
    <row r="109" spans="1:26" ht="14" x14ac:dyDescent="0.15">
      <c r="A109" s="21"/>
      <c r="B109" s="21"/>
      <c r="C109" s="21"/>
      <c r="D109" s="21"/>
      <c r="E109" s="1"/>
      <c r="F109" s="1"/>
      <c r="G109" s="1"/>
      <c r="H109" s="1"/>
      <c r="I109" s="1"/>
      <c r="J109" s="1"/>
      <c r="K109" s="1"/>
      <c r="L109" s="1"/>
      <c r="M109" s="1"/>
      <c r="N109" s="1"/>
      <c r="O109" s="1"/>
      <c r="P109" s="1"/>
      <c r="Q109" s="1"/>
      <c r="R109" s="1"/>
      <c r="S109" s="1"/>
      <c r="T109" s="1"/>
      <c r="U109" s="1"/>
      <c r="V109" s="1"/>
      <c r="W109" s="1"/>
      <c r="X109" s="1"/>
      <c r="Y109" s="1"/>
      <c r="Z109" s="1"/>
    </row>
    <row r="110" spans="1:26" ht="14" x14ac:dyDescent="0.15">
      <c r="A110" s="21"/>
      <c r="B110" s="21"/>
      <c r="C110" s="21"/>
      <c r="D110" s="21"/>
      <c r="E110" s="1"/>
      <c r="F110" s="1"/>
      <c r="G110" s="1"/>
      <c r="H110" s="1"/>
      <c r="I110" s="1"/>
      <c r="J110" s="1"/>
      <c r="K110" s="1"/>
      <c r="L110" s="1"/>
      <c r="M110" s="1"/>
      <c r="N110" s="1"/>
      <c r="O110" s="1"/>
      <c r="P110" s="1"/>
      <c r="Q110" s="1"/>
      <c r="R110" s="1"/>
      <c r="S110" s="1"/>
      <c r="T110" s="1"/>
      <c r="U110" s="1"/>
      <c r="V110" s="1"/>
      <c r="W110" s="1"/>
      <c r="X110" s="1"/>
      <c r="Y110" s="1"/>
      <c r="Z110" s="1"/>
    </row>
    <row r="111" spans="1:26" ht="14" x14ac:dyDescent="0.15">
      <c r="A111" s="21"/>
      <c r="B111" s="21"/>
      <c r="C111" s="21"/>
      <c r="D111" s="21"/>
      <c r="E111" s="1"/>
      <c r="F111" s="1"/>
      <c r="G111" s="1"/>
      <c r="H111" s="1"/>
      <c r="I111" s="1"/>
      <c r="J111" s="1"/>
      <c r="K111" s="1"/>
      <c r="L111" s="1"/>
      <c r="M111" s="1"/>
      <c r="N111" s="1"/>
      <c r="O111" s="1"/>
      <c r="P111" s="1"/>
      <c r="Q111" s="1"/>
      <c r="R111" s="1"/>
      <c r="S111" s="1"/>
      <c r="T111" s="1"/>
      <c r="U111" s="1"/>
      <c r="V111" s="1"/>
      <c r="W111" s="1"/>
      <c r="X111" s="1"/>
      <c r="Y111" s="1"/>
      <c r="Z111" s="1"/>
    </row>
    <row r="112" spans="1:26" ht="14" x14ac:dyDescent="0.15">
      <c r="A112" s="21"/>
      <c r="B112" s="21"/>
      <c r="C112" s="21"/>
      <c r="D112" s="21"/>
      <c r="E112" s="1"/>
      <c r="F112" s="1"/>
      <c r="G112" s="1"/>
      <c r="H112" s="1"/>
      <c r="I112" s="1"/>
      <c r="J112" s="1"/>
      <c r="K112" s="1"/>
      <c r="L112" s="1"/>
      <c r="M112" s="1"/>
      <c r="N112" s="1"/>
      <c r="O112" s="1"/>
      <c r="P112" s="1"/>
      <c r="Q112" s="1"/>
      <c r="R112" s="1"/>
      <c r="S112" s="1"/>
      <c r="T112" s="1"/>
      <c r="U112" s="1"/>
      <c r="V112" s="1"/>
      <c r="W112" s="1"/>
      <c r="X112" s="1"/>
      <c r="Y112" s="1"/>
      <c r="Z112" s="1"/>
    </row>
    <row r="113" spans="1:26" ht="14" x14ac:dyDescent="0.15">
      <c r="A113" s="21"/>
      <c r="B113" s="21"/>
      <c r="C113" s="21"/>
      <c r="D113" s="21"/>
      <c r="E113" s="1"/>
      <c r="F113" s="1"/>
      <c r="G113" s="1"/>
      <c r="H113" s="1"/>
      <c r="I113" s="1"/>
      <c r="J113" s="1"/>
      <c r="K113" s="1"/>
      <c r="L113" s="1"/>
      <c r="M113" s="1"/>
      <c r="N113" s="1"/>
      <c r="O113" s="1"/>
      <c r="P113" s="1"/>
      <c r="Q113" s="1"/>
      <c r="R113" s="1"/>
      <c r="S113" s="1"/>
      <c r="T113" s="1"/>
      <c r="U113" s="1"/>
      <c r="V113" s="1"/>
      <c r="W113" s="1"/>
      <c r="X113" s="1"/>
      <c r="Y113" s="1"/>
      <c r="Z113" s="1"/>
    </row>
    <row r="114" spans="1:26" ht="14" x14ac:dyDescent="0.15">
      <c r="A114" s="21"/>
      <c r="B114" s="21"/>
      <c r="C114" s="21"/>
      <c r="D114" s="21"/>
      <c r="E114" s="1"/>
      <c r="F114" s="1"/>
      <c r="G114" s="1"/>
      <c r="H114" s="1"/>
      <c r="I114" s="1"/>
      <c r="J114" s="1"/>
      <c r="K114" s="1"/>
      <c r="L114" s="1"/>
      <c r="M114" s="1"/>
      <c r="N114" s="1"/>
      <c r="O114" s="1"/>
      <c r="P114" s="1"/>
      <c r="Q114" s="1"/>
      <c r="R114" s="1"/>
      <c r="S114" s="1"/>
      <c r="T114" s="1"/>
      <c r="U114" s="1"/>
      <c r="V114" s="1"/>
      <c r="W114" s="1"/>
      <c r="X114" s="1"/>
      <c r="Y114" s="1"/>
      <c r="Z114" s="1"/>
    </row>
    <row r="115" spans="1:26" ht="14" x14ac:dyDescent="0.15">
      <c r="A115" s="21"/>
      <c r="B115" s="21"/>
      <c r="C115" s="21"/>
      <c r="D115" s="21"/>
      <c r="E115" s="1"/>
      <c r="F115" s="1"/>
      <c r="G115" s="1"/>
      <c r="H115" s="1"/>
      <c r="I115" s="1"/>
      <c r="J115" s="1"/>
      <c r="K115" s="1"/>
      <c r="L115" s="1"/>
      <c r="M115" s="1"/>
      <c r="N115" s="1"/>
      <c r="O115" s="1"/>
      <c r="P115" s="1"/>
      <c r="Q115" s="1"/>
      <c r="R115" s="1"/>
      <c r="S115" s="1"/>
      <c r="T115" s="1"/>
      <c r="U115" s="1"/>
      <c r="V115" s="1"/>
      <c r="W115" s="1"/>
      <c r="X115" s="1"/>
      <c r="Y115" s="1"/>
      <c r="Z115" s="1"/>
    </row>
    <row r="116" spans="1:26" ht="14" x14ac:dyDescent="0.15">
      <c r="A116" s="21"/>
      <c r="B116" s="21"/>
      <c r="C116" s="21"/>
      <c r="D116" s="21"/>
      <c r="E116" s="1"/>
      <c r="F116" s="1"/>
      <c r="G116" s="1"/>
      <c r="H116" s="1"/>
      <c r="I116" s="1"/>
      <c r="J116" s="1"/>
      <c r="K116" s="1"/>
      <c r="L116" s="1"/>
      <c r="M116" s="1"/>
      <c r="N116" s="1"/>
      <c r="O116" s="1"/>
      <c r="P116" s="1"/>
      <c r="Q116" s="1"/>
      <c r="R116" s="1"/>
      <c r="S116" s="1"/>
      <c r="T116" s="1"/>
      <c r="U116" s="1"/>
      <c r="V116" s="1"/>
      <c r="W116" s="1"/>
      <c r="X116" s="1"/>
      <c r="Y116" s="1"/>
      <c r="Z116" s="1"/>
    </row>
    <row r="117" spans="1:26" ht="14" x14ac:dyDescent="0.15">
      <c r="A117" s="21"/>
      <c r="B117" s="21"/>
      <c r="C117" s="21"/>
      <c r="D117" s="21"/>
      <c r="E117" s="1"/>
      <c r="F117" s="1"/>
      <c r="G117" s="1"/>
      <c r="H117" s="1"/>
      <c r="I117" s="1"/>
      <c r="J117" s="1"/>
      <c r="K117" s="1"/>
      <c r="L117" s="1"/>
      <c r="M117" s="1"/>
      <c r="N117" s="1"/>
      <c r="O117" s="1"/>
      <c r="P117" s="1"/>
      <c r="Q117" s="1"/>
      <c r="R117" s="1"/>
      <c r="S117" s="1"/>
      <c r="T117" s="1"/>
      <c r="U117" s="1"/>
      <c r="V117" s="1"/>
      <c r="W117" s="1"/>
      <c r="X117" s="1"/>
      <c r="Y117" s="1"/>
      <c r="Z117" s="1"/>
    </row>
    <row r="118" spans="1:26" ht="14" x14ac:dyDescent="0.15">
      <c r="A118" s="21"/>
      <c r="B118" s="21"/>
      <c r="C118" s="21"/>
      <c r="D118" s="21"/>
      <c r="E118" s="1"/>
      <c r="F118" s="1"/>
      <c r="G118" s="1"/>
      <c r="H118" s="1"/>
      <c r="I118" s="1"/>
      <c r="J118" s="1"/>
      <c r="K118" s="1"/>
      <c r="L118" s="1"/>
      <c r="M118" s="1"/>
      <c r="N118" s="1"/>
      <c r="O118" s="1"/>
      <c r="P118" s="1"/>
      <c r="Q118" s="1"/>
      <c r="R118" s="1"/>
      <c r="S118" s="1"/>
      <c r="T118" s="1"/>
      <c r="U118" s="1"/>
      <c r="V118" s="1"/>
      <c r="W118" s="1"/>
      <c r="X118" s="1"/>
      <c r="Y118" s="1"/>
      <c r="Z118" s="1"/>
    </row>
    <row r="119" spans="1:26" ht="14" x14ac:dyDescent="0.15">
      <c r="A119" s="21"/>
      <c r="B119" s="21"/>
      <c r="C119" s="21"/>
      <c r="D119" s="21"/>
      <c r="E119" s="1"/>
      <c r="F119" s="1"/>
      <c r="G119" s="1"/>
      <c r="H119" s="1"/>
      <c r="I119" s="1"/>
      <c r="J119" s="1"/>
      <c r="K119" s="1"/>
      <c r="L119" s="1"/>
      <c r="M119" s="1"/>
      <c r="N119" s="1"/>
      <c r="O119" s="1"/>
      <c r="P119" s="1"/>
      <c r="Q119" s="1"/>
      <c r="R119" s="1"/>
      <c r="S119" s="1"/>
      <c r="T119" s="1"/>
      <c r="U119" s="1"/>
      <c r="V119" s="1"/>
      <c r="W119" s="1"/>
      <c r="X119" s="1"/>
      <c r="Y119" s="1"/>
      <c r="Z119" s="1"/>
    </row>
    <row r="120" spans="1:26" ht="14" x14ac:dyDescent="0.15">
      <c r="A120" s="21"/>
      <c r="B120" s="21"/>
      <c r="C120" s="21"/>
      <c r="D120" s="21"/>
      <c r="E120" s="1"/>
      <c r="F120" s="1"/>
      <c r="G120" s="1"/>
      <c r="H120" s="1"/>
      <c r="I120" s="1"/>
      <c r="J120" s="1"/>
      <c r="K120" s="1"/>
      <c r="L120" s="1"/>
      <c r="M120" s="1"/>
      <c r="N120" s="1"/>
      <c r="O120" s="1"/>
      <c r="P120" s="1"/>
      <c r="Q120" s="1"/>
      <c r="R120" s="1"/>
      <c r="S120" s="1"/>
      <c r="T120" s="1"/>
      <c r="U120" s="1"/>
      <c r="V120" s="1"/>
      <c r="W120" s="1"/>
      <c r="X120" s="1"/>
      <c r="Y120" s="1"/>
      <c r="Z120" s="1"/>
    </row>
    <row r="121" spans="1:26" ht="14" x14ac:dyDescent="0.15">
      <c r="A121" s="21"/>
      <c r="B121" s="21"/>
      <c r="C121" s="21"/>
      <c r="D121" s="21"/>
      <c r="E121" s="1"/>
      <c r="F121" s="1"/>
      <c r="G121" s="1"/>
      <c r="H121" s="1"/>
      <c r="I121" s="1"/>
      <c r="J121" s="1"/>
      <c r="K121" s="1"/>
      <c r="L121" s="1"/>
      <c r="M121" s="1"/>
      <c r="N121" s="1"/>
      <c r="O121" s="1"/>
      <c r="P121" s="1"/>
      <c r="Q121" s="1"/>
      <c r="R121" s="1"/>
      <c r="S121" s="1"/>
      <c r="T121" s="1"/>
      <c r="U121" s="1"/>
      <c r="V121" s="1"/>
      <c r="W121" s="1"/>
      <c r="X121" s="1"/>
      <c r="Y121" s="1"/>
      <c r="Z121" s="1"/>
    </row>
    <row r="122" spans="1:26" ht="14" x14ac:dyDescent="0.15">
      <c r="A122" s="21"/>
      <c r="B122" s="21"/>
      <c r="C122" s="21"/>
      <c r="D122" s="21"/>
      <c r="E122" s="1"/>
      <c r="F122" s="1"/>
      <c r="G122" s="1"/>
      <c r="H122" s="1"/>
      <c r="I122" s="1"/>
      <c r="J122" s="1"/>
      <c r="K122" s="1"/>
      <c r="L122" s="1"/>
      <c r="M122" s="1"/>
      <c r="N122" s="1"/>
      <c r="O122" s="1"/>
      <c r="P122" s="1"/>
      <c r="Q122" s="1"/>
      <c r="R122" s="1"/>
      <c r="S122" s="1"/>
      <c r="T122" s="1"/>
      <c r="U122" s="1"/>
      <c r="V122" s="1"/>
      <c r="W122" s="1"/>
      <c r="X122" s="1"/>
      <c r="Y122" s="1"/>
      <c r="Z122" s="1"/>
    </row>
    <row r="123" spans="1:26" ht="14" x14ac:dyDescent="0.15">
      <c r="A123" s="21"/>
      <c r="B123" s="21"/>
      <c r="C123" s="21"/>
      <c r="D123" s="21"/>
      <c r="E123" s="1"/>
      <c r="F123" s="1"/>
      <c r="G123" s="1"/>
      <c r="H123" s="1"/>
      <c r="I123" s="1"/>
      <c r="J123" s="1"/>
      <c r="K123" s="1"/>
      <c r="L123" s="1"/>
      <c r="M123" s="1"/>
      <c r="N123" s="1"/>
      <c r="O123" s="1"/>
      <c r="P123" s="1"/>
      <c r="Q123" s="1"/>
      <c r="R123" s="1"/>
      <c r="S123" s="1"/>
      <c r="T123" s="1"/>
      <c r="U123" s="1"/>
      <c r="V123" s="1"/>
      <c r="W123" s="1"/>
      <c r="X123" s="1"/>
      <c r="Y123" s="1"/>
      <c r="Z123" s="1"/>
    </row>
    <row r="124" spans="1:26" ht="14" x14ac:dyDescent="0.15">
      <c r="A124" s="21"/>
      <c r="B124" s="21"/>
      <c r="C124" s="21"/>
      <c r="D124" s="21"/>
      <c r="E124" s="1"/>
      <c r="F124" s="1"/>
      <c r="G124" s="1"/>
      <c r="H124" s="1"/>
      <c r="I124" s="1"/>
      <c r="J124" s="1"/>
      <c r="K124" s="1"/>
      <c r="L124" s="1"/>
      <c r="M124" s="1"/>
      <c r="N124" s="1"/>
      <c r="O124" s="1"/>
      <c r="P124" s="1"/>
      <c r="Q124" s="1"/>
      <c r="R124" s="1"/>
      <c r="S124" s="1"/>
      <c r="T124" s="1"/>
      <c r="U124" s="1"/>
      <c r="V124" s="1"/>
      <c r="W124" s="1"/>
      <c r="X124" s="1"/>
      <c r="Y124" s="1"/>
      <c r="Z124" s="1"/>
    </row>
    <row r="125" spans="1:26" ht="14" x14ac:dyDescent="0.15">
      <c r="A125" s="21"/>
      <c r="B125" s="21"/>
      <c r="C125" s="21"/>
      <c r="D125" s="21"/>
      <c r="E125" s="1"/>
      <c r="F125" s="1"/>
      <c r="G125" s="1"/>
      <c r="H125" s="1"/>
      <c r="I125" s="1"/>
      <c r="J125" s="1"/>
      <c r="K125" s="1"/>
      <c r="L125" s="1"/>
      <c r="M125" s="1"/>
      <c r="N125" s="1"/>
      <c r="O125" s="1"/>
      <c r="P125" s="1"/>
      <c r="Q125" s="1"/>
      <c r="R125" s="1"/>
      <c r="S125" s="1"/>
      <c r="T125" s="1"/>
      <c r="U125" s="1"/>
      <c r="V125" s="1"/>
      <c r="W125" s="1"/>
      <c r="X125" s="1"/>
      <c r="Y125" s="1"/>
      <c r="Z125" s="1"/>
    </row>
    <row r="126" spans="1:26" ht="14" x14ac:dyDescent="0.15">
      <c r="A126" s="21"/>
      <c r="B126" s="21"/>
      <c r="C126" s="21"/>
      <c r="D126" s="21"/>
      <c r="E126" s="1"/>
      <c r="F126" s="1"/>
      <c r="G126" s="1"/>
      <c r="H126" s="1"/>
      <c r="I126" s="1"/>
      <c r="J126" s="1"/>
      <c r="K126" s="1"/>
      <c r="L126" s="1"/>
      <c r="M126" s="1"/>
      <c r="N126" s="1"/>
      <c r="O126" s="1"/>
      <c r="P126" s="1"/>
      <c r="Q126" s="1"/>
      <c r="R126" s="1"/>
      <c r="S126" s="1"/>
      <c r="T126" s="1"/>
      <c r="U126" s="1"/>
      <c r="V126" s="1"/>
      <c r="W126" s="1"/>
      <c r="X126" s="1"/>
      <c r="Y126" s="1"/>
      <c r="Z126" s="1"/>
    </row>
    <row r="127" spans="1:26" ht="14" x14ac:dyDescent="0.15">
      <c r="A127" s="21"/>
      <c r="B127" s="21"/>
      <c r="C127" s="21"/>
      <c r="D127" s="21"/>
      <c r="E127" s="1"/>
      <c r="F127" s="1"/>
      <c r="G127" s="1"/>
      <c r="H127" s="1"/>
      <c r="I127" s="1"/>
      <c r="J127" s="1"/>
      <c r="K127" s="1"/>
      <c r="L127" s="1"/>
      <c r="M127" s="1"/>
      <c r="N127" s="1"/>
      <c r="O127" s="1"/>
      <c r="P127" s="1"/>
      <c r="Q127" s="1"/>
      <c r="R127" s="1"/>
      <c r="S127" s="1"/>
      <c r="T127" s="1"/>
      <c r="U127" s="1"/>
      <c r="V127" s="1"/>
      <c r="W127" s="1"/>
      <c r="X127" s="1"/>
      <c r="Y127" s="1"/>
      <c r="Z127" s="1"/>
    </row>
    <row r="128" spans="1:26" ht="14" x14ac:dyDescent="0.15">
      <c r="A128" s="21"/>
      <c r="B128" s="21"/>
      <c r="C128" s="21"/>
      <c r="D128" s="21"/>
      <c r="E128" s="1"/>
      <c r="F128" s="1"/>
      <c r="G128" s="1"/>
      <c r="H128" s="1"/>
      <c r="I128" s="1"/>
      <c r="J128" s="1"/>
      <c r="K128" s="1"/>
      <c r="L128" s="1"/>
      <c r="M128" s="1"/>
      <c r="N128" s="1"/>
      <c r="O128" s="1"/>
      <c r="P128" s="1"/>
      <c r="Q128" s="1"/>
      <c r="R128" s="1"/>
      <c r="S128" s="1"/>
      <c r="T128" s="1"/>
      <c r="U128" s="1"/>
      <c r="V128" s="1"/>
      <c r="W128" s="1"/>
      <c r="X128" s="1"/>
      <c r="Y128" s="1"/>
      <c r="Z128" s="1"/>
    </row>
    <row r="129" spans="1:26" ht="14" x14ac:dyDescent="0.15">
      <c r="A129" s="21"/>
      <c r="B129" s="21"/>
      <c r="C129" s="21"/>
      <c r="D129" s="21"/>
      <c r="E129" s="1"/>
      <c r="F129" s="1"/>
      <c r="G129" s="1"/>
      <c r="H129" s="1"/>
      <c r="I129" s="1"/>
      <c r="J129" s="1"/>
      <c r="K129" s="1"/>
      <c r="L129" s="1"/>
      <c r="M129" s="1"/>
      <c r="N129" s="1"/>
      <c r="O129" s="1"/>
      <c r="P129" s="1"/>
      <c r="Q129" s="1"/>
      <c r="R129" s="1"/>
      <c r="S129" s="1"/>
      <c r="T129" s="1"/>
      <c r="U129" s="1"/>
      <c r="V129" s="1"/>
      <c r="W129" s="1"/>
      <c r="X129" s="1"/>
      <c r="Y129" s="1"/>
      <c r="Z129" s="1"/>
    </row>
    <row r="130" spans="1:26" ht="14" x14ac:dyDescent="0.15">
      <c r="A130" s="21"/>
      <c r="B130" s="21"/>
      <c r="C130" s="21"/>
      <c r="D130" s="21"/>
      <c r="E130" s="1"/>
      <c r="F130" s="1"/>
      <c r="G130" s="1"/>
      <c r="H130" s="1"/>
      <c r="I130" s="1"/>
      <c r="J130" s="1"/>
      <c r="K130" s="1"/>
      <c r="L130" s="1"/>
      <c r="M130" s="1"/>
      <c r="N130" s="1"/>
      <c r="O130" s="1"/>
      <c r="P130" s="1"/>
      <c r="Q130" s="1"/>
      <c r="R130" s="1"/>
      <c r="S130" s="1"/>
      <c r="T130" s="1"/>
      <c r="U130" s="1"/>
      <c r="V130" s="1"/>
      <c r="W130" s="1"/>
      <c r="X130" s="1"/>
      <c r="Y130" s="1"/>
      <c r="Z130" s="1"/>
    </row>
    <row r="131" spans="1:26" ht="14" x14ac:dyDescent="0.15">
      <c r="A131" s="21"/>
      <c r="B131" s="21"/>
      <c r="C131" s="21"/>
      <c r="D131" s="21"/>
      <c r="E131" s="1"/>
      <c r="F131" s="1"/>
      <c r="G131" s="1"/>
      <c r="H131" s="1"/>
      <c r="I131" s="1"/>
      <c r="J131" s="1"/>
      <c r="K131" s="1"/>
      <c r="L131" s="1"/>
      <c r="M131" s="1"/>
      <c r="N131" s="1"/>
      <c r="O131" s="1"/>
      <c r="P131" s="1"/>
      <c r="Q131" s="1"/>
      <c r="R131" s="1"/>
      <c r="S131" s="1"/>
      <c r="T131" s="1"/>
      <c r="U131" s="1"/>
      <c r="V131" s="1"/>
      <c r="W131" s="1"/>
      <c r="X131" s="1"/>
      <c r="Y131" s="1"/>
      <c r="Z131" s="1"/>
    </row>
    <row r="132" spans="1:26" ht="14" x14ac:dyDescent="0.15">
      <c r="A132" s="21"/>
      <c r="B132" s="21"/>
      <c r="C132" s="21"/>
      <c r="D132" s="21"/>
      <c r="E132" s="1"/>
      <c r="F132" s="1"/>
      <c r="G132" s="1"/>
      <c r="H132" s="1"/>
      <c r="I132" s="1"/>
      <c r="J132" s="1"/>
      <c r="K132" s="1"/>
      <c r="L132" s="1"/>
      <c r="M132" s="1"/>
      <c r="N132" s="1"/>
      <c r="O132" s="1"/>
      <c r="P132" s="1"/>
      <c r="Q132" s="1"/>
      <c r="R132" s="1"/>
      <c r="S132" s="1"/>
      <c r="T132" s="1"/>
      <c r="U132" s="1"/>
      <c r="V132" s="1"/>
      <c r="W132" s="1"/>
      <c r="X132" s="1"/>
      <c r="Y132" s="1"/>
      <c r="Z132" s="1"/>
    </row>
    <row r="133" spans="1:26" ht="14" x14ac:dyDescent="0.15">
      <c r="A133" s="21"/>
      <c r="B133" s="21"/>
      <c r="C133" s="21"/>
      <c r="D133" s="21"/>
      <c r="E133" s="1"/>
      <c r="F133" s="1"/>
      <c r="G133" s="1"/>
      <c r="H133" s="1"/>
      <c r="I133" s="1"/>
      <c r="J133" s="1"/>
      <c r="K133" s="1"/>
      <c r="L133" s="1"/>
      <c r="M133" s="1"/>
      <c r="N133" s="1"/>
      <c r="O133" s="1"/>
      <c r="P133" s="1"/>
      <c r="Q133" s="1"/>
      <c r="R133" s="1"/>
      <c r="S133" s="1"/>
      <c r="T133" s="1"/>
      <c r="U133" s="1"/>
      <c r="V133" s="1"/>
      <c r="W133" s="1"/>
      <c r="X133" s="1"/>
      <c r="Y133" s="1"/>
      <c r="Z133" s="1"/>
    </row>
    <row r="134" spans="1:26" ht="14" x14ac:dyDescent="0.15">
      <c r="A134" s="21"/>
      <c r="B134" s="21"/>
      <c r="C134" s="21"/>
      <c r="D134" s="21"/>
      <c r="E134" s="1"/>
      <c r="F134" s="1"/>
      <c r="G134" s="1"/>
      <c r="H134" s="1"/>
      <c r="I134" s="1"/>
      <c r="J134" s="1"/>
      <c r="K134" s="1"/>
      <c r="L134" s="1"/>
      <c r="M134" s="1"/>
      <c r="N134" s="1"/>
      <c r="O134" s="1"/>
      <c r="P134" s="1"/>
      <c r="Q134" s="1"/>
      <c r="R134" s="1"/>
      <c r="S134" s="1"/>
      <c r="T134" s="1"/>
      <c r="U134" s="1"/>
      <c r="V134" s="1"/>
      <c r="W134" s="1"/>
      <c r="X134" s="1"/>
      <c r="Y134" s="1"/>
      <c r="Z134" s="1"/>
    </row>
    <row r="135" spans="1:26" ht="14" x14ac:dyDescent="0.15">
      <c r="A135" s="21"/>
      <c r="B135" s="21"/>
      <c r="C135" s="21"/>
      <c r="D135" s="21"/>
      <c r="E135" s="1"/>
      <c r="F135" s="1"/>
      <c r="G135" s="1"/>
      <c r="H135" s="1"/>
      <c r="I135" s="1"/>
      <c r="J135" s="1"/>
      <c r="K135" s="1"/>
      <c r="L135" s="1"/>
      <c r="M135" s="1"/>
      <c r="N135" s="1"/>
      <c r="O135" s="1"/>
      <c r="P135" s="1"/>
      <c r="Q135" s="1"/>
      <c r="R135" s="1"/>
      <c r="S135" s="1"/>
      <c r="T135" s="1"/>
      <c r="U135" s="1"/>
      <c r="V135" s="1"/>
      <c r="W135" s="1"/>
      <c r="X135" s="1"/>
      <c r="Y135" s="1"/>
      <c r="Z135" s="1"/>
    </row>
    <row r="136" spans="1:26" ht="14" x14ac:dyDescent="0.15">
      <c r="A136" s="21"/>
      <c r="B136" s="21"/>
      <c r="C136" s="21"/>
      <c r="D136" s="21"/>
      <c r="E136" s="1"/>
      <c r="F136" s="1"/>
      <c r="G136" s="1"/>
      <c r="H136" s="1"/>
      <c r="I136" s="1"/>
      <c r="J136" s="1"/>
      <c r="K136" s="1"/>
      <c r="L136" s="1"/>
      <c r="M136" s="1"/>
      <c r="N136" s="1"/>
      <c r="O136" s="1"/>
      <c r="P136" s="1"/>
      <c r="Q136" s="1"/>
      <c r="R136" s="1"/>
      <c r="S136" s="1"/>
      <c r="T136" s="1"/>
      <c r="U136" s="1"/>
      <c r="V136" s="1"/>
      <c r="W136" s="1"/>
      <c r="X136" s="1"/>
      <c r="Y136" s="1"/>
      <c r="Z136" s="1"/>
    </row>
    <row r="137" spans="1:26" ht="14" x14ac:dyDescent="0.15">
      <c r="A137" s="21"/>
      <c r="B137" s="21"/>
      <c r="C137" s="21"/>
      <c r="D137" s="21"/>
      <c r="E137" s="1"/>
      <c r="F137" s="1"/>
      <c r="G137" s="1"/>
      <c r="H137" s="1"/>
      <c r="I137" s="1"/>
      <c r="J137" s="1"/>
      <c r="K137" s="1"/>
      <c r="L137" s="1"/>
      <c r="M137" s="1"/>
      <c r="N137" s="1"/>
      <c r="O137" s="1"/>
      <c r="P137" s="1"/>
      <c r="Q137" s="1"/>
      <c r="R137" s="1"/>
      <c r="S137" s="1"/>
      <c r="T137" s="1"/>
      <c r="U137" s="1"/>
      <c r="V137" s="1"/>
      <c r="W137" s="1"/>
      <c r="X137" s="1"/>
      <c r="Y137" s="1"/>
      <c r="Z137" s="1"/>
    </row>
    <row r="138" spans="1:26" ht="14" x14ac:dyDescent="0.15">
      <c r="A138" s="21"/>
      <c r="B138" s="21"/>
      <c r="C138" s="21"/>
      <c r="D138" s="21"/>
      <c r="E138" s="1"/>
      <c r="F138" s="1"/>
      <c r="G138" s="1"/>
      <c r="H138" s="1"/>
      <c r="I138" s="1"/>
      <c r="J138" s="1"/>
      <c r="K138" s="1"/>
      <c r="L138" s="1"/>
      <c r="M138" s="1"/>
      <c r="N138" s="1"/>
      <c r="O138" s="1"/>
      <c r="P138" s="1"/>
      <c r="Q138" s="1"/>
      <c r="R138" s="1"/>
      <c r="S138" s="1"/>
      <c r="T138" s="1"/>
      <c r="U138" s="1"/>
      <c r="V138" s="1"/>
      <c r="W138" s="1"/>
      <c r="X138" s="1"/>
      <c r="Y138" s="1"/>
      <c r="Z138" s="1"/>
    </row>
    <row r="139" spans="1:26" ht="14" x14ac:dyDescent="0.15">
      <c r="A139" s="21"/>
      <c r="B139" s="21"/>
      <c r="C139" s="21"/>
      <c r="D139" s="21"/>
      <c r="E139" s="1"/>
      <c r="F139" s="1"/>
      <c r="G139" s="1"/>
      <c r="H139" s="1"/>
      <c r="I139" s="1"/>
      <c r="J139" s="1"/>
      <c r="K139" s="1"/>
      <c r="L139" s="1"/>
      <c r="M139" s="1"/>
      <c r="N139" s="1"/>
      <c r="O139" s="1"/>
      <c r="P139" s="1"/>
      <c r="Q139" s="1"/>
      <c r="R139" s="1"/>
      <c r="S139" s="1"/>
      <c r="T139" s="1"/>
      <c r="U139" s="1"/>
      <c r="V139" s="1"/>
      <c r="W139" s="1"/>
      <c r="X139" s="1"/>
      <c r="Y139" s="1"/>
      <c r="Z139" s="1"/>
    </row>
    <row r="140" spans="1:26" ht="14" x14ac:dyDescent="0.15">
      <c r="A140" s="21"/>
      <c r="B140" s="21"/>
      <c r="C140" s="21"/>
      <c r="D140" s="21"/>
      <c r="E140" s="1"/>
      <c r="F140" s="1"/>
      <c r="G140" s="1"/>
      <c r="H140" s="1"/>
      <c r="I140" s="1"/>
      <c r="J140" s="1"/>
      <c r="K140" s="1"/>
      <c r="L140" s="1"/>
      <c r="M140" s="1"/>
      <c r="N140" s="1"/>
      <c r="O140" s="1"/>
      <c r="P140" s="1"/>
      <c r="Q140" s="1"/>
      <c r="R140" s="1"/>
      <c r="S140" s="1"/>
      <c r="T140" s="1"/>
      <c r="U140" s="1"/>
      <c r="V140" s="1"/>
      <c r="W140" s="1"/>
      <c r="X140" s="1"/>
      <c r="Y140" s="1"/>
      <c r="Z140" s="1"/>
    </row>
    <row r="141" spans="1:26" ht="14" x14ac:dyDescent="0.15">
      <c r="A141" s="21"/>
      <c r="B141" s="21"/>
      <c r="C141" s="21"/>
      <c r="D141" s="21"/>
      <c r="E141" s="1"/>
      <c r="F141" s="1"/>
      <c r="G141" s="1"/>
      <c r="H141" s="1"/>
      <c r="I141" s="1"/>
      <c r="J141" s="1"/>
      <c r="K141" s="1"/>
      <c r="L141" s="1"/>
      <c r="M141" s="1"/>
      <c r="N141" s="1"/>
      <c r="O141" s="1"/>
      <c r="P141" s="1"/>
      <c r="Q141" s="1"/>
      <c r="R141" s="1"/>
      <c r="S141" s="1"/>
      <c r="T141" s="1"/>
      <c r="U141" s="1"/>
      <c r="V141" s="1"/>
      <c r="W141" s="1"/>
      <c r="X141" s="1"/>
      <c r="Y141" s="1"/>
      <c r="Z141" s="1"/>
    </row>
    <row r="142" spans="1:26" ht="14" x14ac:dyDescent="0.15">
      <c r="A142" s="21"/>
      <c r="B142" s="21"/>
      <c r="C142" s="21"/>
      <c r="D142" s="21"/>
      <c r="E142" s="1"/>
      <c r="F142" s="1"/>
      <c r="G142" s="1"/>
      <c r="H142" s="1"/>
      <c r="I142" s="1"/>
      <c r="J142" s="1"/>
      <c r="K142" s="1"/>
      <c r="L142" s="1"/>
      <c r="M142" s="1"/>
      <c r="N142" s="1"/>
      <c r="O142" s="1"/>
      <c r="P142" s="1"/>
      <c r="Q142" s="1"/>
      <c r="R142" s="1"/>
      <c r="S142" s="1"/>
      <c r="T142" s="1"/>
      <c r="U142" s="1"/>
      <c r="V142" s="1"/>
      <c r="W142" s="1"/>
      <c r="X142" s="1"/>
      <c r="Y142" s="1"/>
      <c r="Z142" s="1"/>
    </row>
    <row r="143" spans="1:26" ht="14" x14ac:dyDescent="0.15">
      <c r="A143" s="21"/>
      <c r="B143" s="21"/>
      <c r="C143" s="21"/>
      <c r="D143" s="21"/>
      <c r="E143" s="1"/>
      <c r="F143" s="1"/>
      <c r="G143" s="1"/>
      <c r="H143" s="1"/>
      <c r="I143" s="1"/>
      <c r="J143" s="1"/>
      <c r="K143" s="1"/>
      <c r="L143" s="1"/>
      <c r="M143" s="1"/>
      <c r="N143" s="1"/>
      <c r="O143" s="1"/>
      <c r="P143" s="1"/>
      <c r="Q143" s="1"/>
      <c r="R143" s="1"/>
      <c r="S143" s="1"/>
      <c r="T143" s="1"/>
      <c r="U143" s="1"/>
      <c r="V143" s="1"/>
      <c r="W143" s="1"/>
      <c r="X143" s="1"/>
      <c r="Y143" s="1"/>
      <c r="Z143" s="1"/>
    </row>
    <row r="144" spans="1:26" ht="14" x14ac:dyDescent="0.15">
      <c r="A144" s="21"/>
      <c r="B144" s="21"/>
      <c r="C144" s="21"/>
      <c r="D144" s="21"/>
      <c r="E144" s="1"/>
      <c r="F144" s="1"/>
      <c r="G144" s="1"/>
      <c r="H144" s="1"/>
      <c r="I144" s="1"/>
      <c r="J144" s="1"/>
      <c r="K144" s="1"/>
      <c r="L144" s="1"/>
      <c r="M144" s="1"/>
      <c r="N144" s="1"/>
      <c r="O144" s="1"/>
      <c r="P144" s="1"/>
      <c r="Q144" s="1"/>
      <c r="R144" s="1"/>
      <c r="S144" s="1"/>
      <c r="T144" s="1"/>
      <c r="U144" s="1"/>
      <c r="V144" s="1"/>
      <c r="W144" s="1"/>
      <c r="X144" s="1"/>
      <c r="Y144" s="1"/>
      <c r="Z144" s="1"/>
    </row>
    <row r="145" spans="1:26" ht="14" x14ac:dyDescent="0.15">
      <c r="A145" s="21"/>
      <c r="B145" s="21"/>
      <c r="C145" s="21"/>
      <c r="D145" s="21"/>
      <c r="E145" s="1"/>
      <c r="F145" s="1"/>
      <c r="G145" s="1"/>
      <c r="H145" s="1"/>
      <c r="I145" s="1"/>
      <c r="J145" s="1"/>
      <c r="K145" s="1"/>
      <c r="L145" s="1"/>
      <c r="M145" s="1"/>
      <c r="N145" s="1"/>
      <c r="O145" s="1"/>
      <c r="P145" s="1"/>
      <c r="Q145" s="1"/>
      <c r="R145" s="1"/>
      <c r="S145" s="1"/>
      <c r="T145" s="1"/>
      <c r="U145" s="1"/>
      <c r="V145" s="1"/>
      <c r="W145" s="1"/>
      <c r="X145" s="1"/>
      <c r="Y145" s="1"/>
      <c r="Z145" s="1"/>
    </row>
    <row r="146" spans="1:26" ht="14" x14ac:dyDescent="0.15">
      <c r="A146" s="21"/>
      <c r="B146" s="21"/>
      <c r="C146" s="21"/>
      <c r="D146" s="21"/>
      <c r="E146" s="1"/>
      <c r="F146" s="1"/>
      <c r="G146" s="1"/>
      <c r="H146" s="1"/>
      <c r="I146" s="1"/>
      <c r="J146" s="1"/>
      <c r="K146" s="1"/>
      <c r="L146" s="1"/>
      <c r="M146" s="1"/>
      <c r="N146" s="1"/>
      <c r="O146" s="1"/>
      <c r="P146" s="1"/>
      <c r="Q146" s="1"/>
      <c r="R146" s="1"/>
      <c r="S146" s="1"/>
      <c r="T146" s="1"/>
      <c r="U146" s="1"/>
      <c r="V146" s="1"/>
      <c r="W146" s="1"/>
      <c r="X146" s="1"/>
      <c r="Y146" s="1"/>
      <c r="Z146" s="1"/>
    </row>
    <row r="147" spans="1:26" ht="14" x14ac:dyDescent="0.15">
      <c r="A147" s="21"/>
      <c r="B147" s="21"/>
      <c r="C147" s="21"/>
      <c r="D147" s="21"/>
      <c r="E147" s="1"/>
      <c r="F147" s="1"/>
      <c r="G147" s="1"/>
      <c r="H147" s="1"/>
      <c r="I147" s="1"/>
      <c r="J147" s="1"/>
      <c r="K147" s="1"/>
      <c r="L147" s="1"/>
      <c r="M147" s="1"/>
      <c r="N147" s="1"/>
      <c r="O147" s="1"/>
      <c r="P147" s="1"/>
      <c r="Q147" s="1"/>
      <c r="R147" s="1"/>
      <c r="S147" s="1"/>
      <c r="T147" s="1"/>
      <c r="U147" s="1"/>
      <c r="V147" s="1"/>
      <c r="W147" s="1"/>
      <c r="X147" s="1"/>
      <c r="Y147" s="1"/>
      <c r="Z147" s="1"/>
    </row>
    <row r="148" spans="1:26" ht="14" x14ac:dyDescent="0.15">
      <c r="A148" s="21"/>
      <c r="B148" s="21"/>
      <c r="C148" s="21"/>
      <c r="D148" s="21"/>
      <c r="E148" s="1"/>
      <c r="F148" s="1"/>
      <c r="G148" s="1"/>
      <c r="H148" s="1"/>
      <c r="I148" s="1"/>
      <c r="J148" s="1"/>
      <c r="K148" s="1"/>
      <c r="L148" s="1"/>
      <c r="M148" s="1"/>
      <c r="N148" s="1"/>
      <c r="O148" s="1"/>
      <c r="P148" s="1"/>
      <c r="Q148" s="1"/>
      <c r="R148" s="1"/>
      <c r="S148" s="1"/>
      <c r="T148" s="1"/>
      <c r="U148" s="1"/>
      <c r="V148" s="1"/>
      <c r="W148" s="1"/>
      <c r="X148" s="1"/>
      <c r="Y148" s="1"/>
      <c r="Z148" s="1"/>
    </row>
    <row r="149" spans="1:26" ht="14" x14ac:dyDescent="0.15">
      <c r="A149" s="21"/>
      <c r="B149" s="21"/>
      <c r="C149" s="21"/>
      <c r="D149" s="21"/>
      <c r="E149" s="1"/>
      <c r="F149" s="1"/>
      <c r="G149" s="1"/>
      <c r="H149" s="1"/>
      <c r="I149" s="1"/>
      <c r="J149" s="1"/>
      <c r="K149" s="1"/>
      <c r="L149" s="1"/>
      <c r="M149" s="1"/>
      <c r="N149" s="1"/>
      <c r="O149" s="1"/>
      <c r="P149" s="1"/>
      <c r="Q149" s="1"/>
      <c r="R149" s="1"/>
      <c r="S149" s="1"/>
      <c r="T149" s="1"/>
      <c r="U149" s="1"/>
      <c r="V149" s="1"/>
      <c r="W149" s="1"/>
      <c r="X149" s="1"/>
      <c r="Y149" s="1"/>
      <c r="Z149" s="1"/>
    </row>
    <row r="150" spans="1:26" ht="14" x14ac:dyDescent="0.15">
      <c r="A150" s="21"/>
      <c r="B150" s="21"/>
      <c r="C150" s="21"/>
      <c r="D150" s="21"/>
      <c r="E150" s="1"/>
      <c r="F150" s="1"/>
      <c r="G150" s="1"/>
      <c r="H150" s="1"/>
      <c r="I150" s="1"/>
      <c r="J150" s="1"/>
      <c r="K150" s="1"/>
      <c r="L150" s="1"/>
      <c r="M150" s="1"/>
      <c r="N150" s="1"/>
      <c r="O150" s="1"/>
      <c r="P150" s="1"/>
      <c r="Q150" s="1"/>
      <c r="R150" s="1"/>
      <c r="S150" s="1"/>
      <c r="T150" s="1"/>
      <c r="U150" s="1"/>
      <c r="V150" s="1"/>
      <c r="W150" s="1"/>
      <c r="X150" s="1"/>
      <c r="Y150" s="1"/>
      <c r="Z150" s="1"/>
    </row>
    <row r="151" spans="1:26" ht="14" x14ac:dyDescent="0.15">
      <c r="A151" s="21"/>
      <c r="B151" s="21"/>
      <c r="C151" s="21"/>
      <c r="D151" s="21"/>
      <c r="E151" s="1"/>
      <c r="F151" s="1"/>
      <c r="G151" s="1"/>
      <c r="H151" s="1"/>
      <c r="I151" s="1"/>
      <c r="J151" s="1"/>
      <c r="K151" s="1"/>
      <c r="L151" s="1"/>
      <c r="M151" s="1"/>
      <c r="N151" s="1"/>
      <c r="O151" s="1"/>
      <c r="P151" s="1"/>
      <c r="Q151" s="1"/>
      <c r="R151" s="1"/>
      <c r="S151" s="1"/>
      <c r="T151" s="1"/>
      <c r="U151" s="1"/>
      <c r="V151" s="1"/>
      <c r="W151" s="1"/>
      <c r="X151" s="1"/>
      <c r="Y151" s="1"/>
      <c r="Z151" s="1"/>
    </row>
    <row r="152" spans="1:26" ht="14" x14ac:dyDescent="0.15">
      <c r="A152" s="21"/>
      <c r="B152" s="21"/>
      <c r="C152" s="21"/>
      <c r="D152" s="21"/>
      <c r="E152" s="1"/>
      <c r="F152" s="1"/>
      <c r="G152" s="1"/>
      <c r="H152" s="1"/>
      <c r="I152" s="1"/>
      <c r="J152" s="1"/>
      <c r="K152" s="1"/>
      <c r="L152" s="1"/>
      <c r="M152" s="1"/>
      <c r="N152" s="1"/>
      <c r="O152" s="1"/>
      <c r="P152" s="1"/>
      <c r="Q152" s="1"/>
      <c r="R152" s="1"/>
      <c r="S152" s="1"/>
      <c r="T152" s="1"/>
      <c r="U152" s="1"/>
      <c r="V152" s="1"/>
      <c r="W152" s="1"/>
      <c r="X152" s="1"/>
      <c r="Y152" s="1"/>
      <c r="Z152" s="1"/>
    </row>
    <row r="153" spans="1:26" ht="14" x14ac:dyDescent="0.15">
      <c r="A153" s="21"/>
      <c r="B153" s="21"/>
      <c r="C153" s="21"/>
      <c r="D153" s="21"/>
      <c r="E153" s="1"/>
      <c r="F153" s="1"/>
      <c r="G153" s="1"/>
      <c r="H153" s="1"/>
      <c r="I153" s="1"/>
      <c r="J153" s="1"/>
      <c r="K153" s="1"/>
      <c r="L153" s="1"/>
      <c r="M153" s="1"/>
      <c r="N153" s="1"/>
      <c r="O153" s="1"/>
      <c r="P153" s="1"/>
      <c r="Q153" s="1"/>
      <c r="R153" s="1"/>
      <c r="S153" s="1"/>
      <c r="T153" s="1"/>
      <c r="U153" s="1"/>
      <c r="V153" s="1"/>
      <c r="W153" s="1"/>
      <c r="X153" s="1"/>
      <c r="Y153" s="1"/>
      <c r="Z153" s="1"/>
    </row>
    <row r="154" spans="1:26" ht="14" x14ac:dyDescent="0.15">
      <c r="A154" s="21"/>
      <c r="B154" s="21"/>
      <c r="C154" s="21"/>
      <c r="D154" s="21"/>
      <c r="E154" s="1"/>
      <c r="F154" s="1"/>
      <c r="G154" s="1"/>
      <c r="H154" s="1"/>
      <c r="I154" s="1"/>
      <c r="J154" s="1"/>
      <c r="K154" s="1"/>
      <c r="L154" s="1"/>
      <c r="M154" s="1"/>
      <c r="N154" s="1"/>
      <c r="O154" s="1"/>
      <c r="P154" s="1"/>
      <c r="Q154" s="1"/>
      <c r="R154" s="1"/>
      <c r="S154" s="1"/>
      <c r="T154" s="1"/>
      <c r="U154" s="1"/>
      <c r="V154" s="1"/>
      <c r="W154" s="1"/>
      <c r="X154" s="1"/>
      <c r="Y154" s="1"/>
      <c r="Z154" s="1"/>
    </row>
    <row r="155" spans="1:26" ht="14" x14ac:dyDescent="0.15">
      <c r="A155" s="21"/>
      <c r="B155" s="21"/>
      <c r="C155" s="21"/>
      <c r="D155" s="21"/>
      <c r="E155" s="1"/>
      <c r="F155" s="1"/>
      <c r="G155" s="1"/>
      <c r="H155" s="1"/>
      <c r="I155" s="1"/>
      <c r="J155" s="1"/>
      <c r="K155" s="1"/>
      <c r="L155" s="1"/>
      <c r="M155" s="1"/>
      <c r="N155" s="1"/>
      <c r="O155" s="1"/>
      <c r="P155" s="1"/>
      <c r="Q155" s="1"/>
      <c r="R155" s="1"/>
      <c r="S155" s="1"/>
      <c r="T155" s="1"/>
      <c r="U155" s="1"/>
      <c r="V155" s="1"/>
      <c r="W155" s="1"/>
      <c r="X155" s="1"/>
      <c r="Y155" s="1"/>
      <c r="Z155" s="1"/>
    </row>
    <row r="156" spans="1:26" ht="14" x14ac:dyDescent="0.15">
      <c r="A156" s="21"/>
      <c r="B156" s="21"/>
      <c r="C156" s="21"/>
      <c r="D156" s="21"/>
      <c r="E156" s="1"/>
      <c r="F156" s="1"/>
      <c r="G156" s="1"/>
      <c r="H156" s="1"/>
      <c r="I156" s="1"/>
      <c r="J156" s="1"/>
      <c r="K156" s="1"/>
      <c r="L156" s="1"/>
      <c r="M156" s="1"/>
      <c r="N156" s="1"/>
      <c r="O156" s="1"/>
      <c r="P156" s="1"/>
      <c r="Q156" s="1"/>
      <c r="R156" s="1"/>
      <c r="S156" s="1"/>
      <c r="T156" s="1"/>
      <c r="U156" s="1"/>
      <c r="V156" s="1"/>
      <c r="W156" s="1"/>
      <c r="X156" s="1"/>
      <c r="Y156" s="1"/>
      <c r="Z156" s="1"/>
    </row>
    <row r="157" spans="1:26" ht="14" x14ac:dyDescent="0.15">
      <c r="A157" s="21"/>
      <c r="B157" s="21"/>
      <c r="C157" s="21"/>
      <c r="D157" s="21"/>
      <c r="E157" s="1"/>
      <c r="F157" s="1"/>
      <c r="G157" s="1"/>
      <c r="H157" s="1"/>
      <c r="I157" s="1"/>
      <c r="J157" s="1"/>
      <c r="K157" s="1"/>
      <c r="L157" s="1"/>
      <c r="M157" s="1"/>
      <c r="N157" s="1"/>
      <c r="O157" s="1"/>
      <c r="P157" s="1"/>
      <c r="Q157" s="1"/>
      <c r="R157" s="1"/>
      <c r="S157" s="1"/>
      <c r="T157" s="1"/>
      <c r="U157" s="1"/>
      <c r="V157" s="1"/>
      <c r="W157" s="1"/>
      <c r="X157" s="1"/>
      <c r="Y157" s="1"/>
      <c r="Z157" s="1"/>
    </row>
    <row r="158" spans="1:26" ht="14" x14ac:dyDescent="0.15">
      <c r="A158" s="21"/>
      <c r="B158" s="21"/>
      <c r="C158" s="21"/>
      <c r="D158" s="21"/>
      <c r="E158" s="1"/>
      <c r="F158" s="1"/>
      <c r="G158" s="1"/>
      <c r="H158" s="1"/>
      <c r="I158" s="1"/>
      <c r="J158" s="1"/>
      <c r="K158" s="1"/>
      <c r="L158" s="1"/>
      <c r="M158" s="1"/>
      <c r="N158" s="1"/>
      <c r="O158" s="1"/>
      <c r="P158" s="1"/>
      <c r="Q158" s="1"/>
      <c r="R158" s="1"/>
      <c r="S158" s="1"/>
      <c r="T158" s="1"/>
      <c r="U158" s="1"/>
      <c r="V158" s="1"/>
      <c r="W158" s="1"/>
      <c r="X158" s="1"/>
      <c r="Y158" s="1"/>
      <c r="Z158" s="1"/>
    </row>
    <row r="159" spans="1:26" ht="14" x14ac:dyDescent="0.15">
      <c r="A159" s="21"/>
      <c r="B159" s="21"/>
      <c r="C159" s="21"/>
      <c r="D159" s="21"/>
      <c r="E159" s="1"/>
      <c r="F159" s="1"/>
      <c r="G159" s="1"/>
      <c r="H159" s="1"/>
      <c r="I159" s="1"/>
      <c r="J159" s="1"/>
      <c r="K159" s="1"/>
      <c r="L159" s="1"/>
      <c r="M159" s="1"/>
      <c r="N159" s="1"/>
      <c r="O159" s="1"/>
      <c r="P159" s="1"/>
      <c r="Q159" s="1"/>
      <c r="R159" s="1"/>
      <c r="S159" s="1"/>
      <c r="T159" s="1"/>
      <c r="U159" s="1"/>
      <c r="V159" s="1"/>
      <c r="W159" s="1"/>
      <c r="X159" s="1"/>
      <c r="Y159" s="1"/>
      <c r="Z159" s="1"/>
    </row>
    <row r="160" spans="1:26" ht="14" x14ac:dyDescent="0.15">
      <c r="A160" s="21"/>
      <c r="B160" s="21"/>
      <c r="C160" s="21"/>
      <c r="D160" s="21"/>
      <c r="E160" s="1"/>
      <c r="F160" s="1"/>
      <c r="G160" s="1"/>
      <c r="H160" s="1"/>
      <c r="I160" s="1"/>
      <c r="J160" s="1"/>
      <c r="K160" s="1"/>
      <c r="L160" s="1"/>
      <c r="M160" s="1"/>
      <c r="N160" s="1"/>
      <c r="O160" s="1"/>
      <c r="P160" s="1"/>
      <c r="Q160" s="1"/>
      <c r="R160" s="1"/>
      <c r="S160" s="1"/>
      <c r="T160" s="1"/>
      <c r="U160" s="1"/>
      <c r="V160" s="1"/>
      <c r="W160" s="1"/>
      <c r="X160" s="1"/>
      <c r="Y160" s="1"/>
      <c r="Z160" s="1"/>
    </row>
    <row r="161" spans="1:26" ht="14" x14ac:dyDescent="0.15">
      <c r="A161" s="21"/>
      <c r="B161" s="21"/>
      <c r="C161" s="21"/>
      <c r="D161" s="21"/>
      <c r="E161" s="1"/>
      <c r="F161" s="1"/>
      <c r="G161" s="1"/>
      <c r="H161" s="1"/>
      <c r="I161" s="1"/>
      <c r="J161" s="1"/>
      <c r="K161" s="1"/>
      <c r="L161" s="1"/>
      <c r="M161" s="1"/>
      <c r="N161" s="1"/>
      <c r="O161" s="1"/>
      <c r="P161" s="1"/>
      <c r="Q161" s="1"/>
      <c r="R161" s="1"/>
      <c r="S161" s="1"/>
      <c r="T161" s="1"/>
      <c r="U161" s="1"/>
      <c r="V161" s="1"/>
      <c r="W161" s="1"/>
      <c r="X161" s="1"/>
      <c r="Y161" s="1"/>
      <c r="Z161" s="1"/>
    </row>
    <row r="162" spans="1:26" ht="14" x14ac:dyDescent="0.15">
      <c r="A162" s="21"/>
      <c r="B162" s="21"/>
      <c r="C162" s="21"/>
      <c r="D162" s="21"/>
      <c r="E162" s="1"/>
      <c r="F162" s="1"/>
      <c r="G162" s="1"/>
      <c r="H162" s="1"/>
      <c r="I162" s="1"/>
      <c r="J162" s="1"/>
      <c r="K162" s="1"/>
      <c r="L162" s="1"/>
      <c r="M162" s="1"/>
      <c r="N162" s="1"/>
      <c r="O162" s="1"/>
      <c r="P162" s="1"/>
      <c r="Q162" s="1"/>
      <c r="R162" s="1"/>
      <c r="S162" s="1"/>
      <c r="T162" s="1"/>
      <c r="U162" s="1"/>
      <c r="V162" s="1"/>
      <c r="W162" s="1"/>
      <c r="X162" s="1"/>
      <c r="Y162" s="1"/>
      <c r="Z162" s="1"/>
    </row>
    <row r="163" spans="1:26" ht="14" x14ac:dyDescent="0.15">
      <c r="A163" s="21"/>
      <c r="B163" s="21"/>
      <c r="C163" s="21"/>
      <c r="D163" s="21"/>
      <c r="E163" s="1"/>
      <c r="F163" s="1"/>
      <c r="G163" s="1"/>
      <c r="H163" s="1"/>
      <c r="I163" s="1"/>
      <c r="J163" s="1"/>
      <c r="K163" s="1"/>
      <c r="L163" s="1"/>
      <c r="M163" s="1"/>
      <c r="N163" s="1"/>
      <c r="O163" s="1"/>
      <c r="P163" s="1"/>
      <c r="Q163" s="1"/>
      <c r="R163" s="1"/>
      <c r="S163" s="1"/>
      <c r="T163" s="1"/>
      <c r="U163" s="1"/>
      <c r="V163" s="1"/>
      <c r="W163" s="1"/>
      <c r="X163" s="1"/>
      <c r="Y163" s="1"/>
      <c r="Z163" s="1"/>
    </row>
    <row r="164" spans="1:26" ht="14" x14ac:dyDescent="0.15">
      <c r="A164" s="21"/>
      <c r="B164" s="21"/>
      <c r="C164" s="21"/>
      <c r="D164" s="21"/>
      <c r="E164" s="1"/>
      <c r="F164" s="1"/>
      <c r="G164" s="1"/>
      <c r="H164" s="1"/>
      <c r="I164" s="1"/>
      <c r="J164" s="1"/>
      <c r="K164" s="1"/>
      <c r="L164" s="1"/>
      <c r="M164" s="1"/>
      <c r="N164" s="1"/>
      <c r="O164" s="1"/>
      <c r="P164" s="1"/>
      <c r="Q164" s="1"/>
      <c r="R164" s="1"/>
      <c r="S164" s="1"/>
      <c r="T164" s="1"/>
      <c r="U164" s="1"/>
      <c r="V164" s="1"/>
      <c r="W164" s="1"/>
      <c r="X164" s="1"/>
      <c r="Y164" s="1"/>
      <c r="Z164" s="1"/>
    </row>
    <row r="165" spans="1:26" ht="14" x14ac:dyDescent="0.15">
      <c r="A165" s="21"/>
      <c r="B165" s="21"/>
      <c r="C165" s="21"/>
      <c r="D165" s="21"/>
      <c r="E165" s="1"/>
      <c r="F165" s="1"/>
      <c r="G165" s="1"/>
      <c r="H165" s="1"/>
      <c r="I165" s="1"/>
      <c r="J165" s="1"/>
      <c r="K165" s="1"/>
      <c r="L165" s="1"/>
      <c r="M165" s="1"/>
      <c r="N165" s="1"/>
      <c r="O165" s="1"/>
      <c r="P165" s="1"/>
      <c r="Q165" s="1"/>
      <c r="R165" s="1"/>
      <c r="S165" s="1"/>
      <c r="T165" s="1"/>
      <c r="U165" s="1"/>
      <c r="V165" s="1"/>
      <c r="W165" s="1"/>
      <c r="X165" s="1"/>
      <c r="Y165" s="1"/>
      <c r="Z165" s="1"/>
    </row>
    <row r="166" spans="1:26" ht="14" x14ac:dyDescent="0.15">
      <c r="A166" s="21"/>
      <c r="B166" s="21"/>
      <c r="C166" s="21"/>
      <c r="D166" s="21"/>
      <c r="E166" s="1"/>
      <c r="F166" s="1"/>
      <c r="G166" s="1"/>
      <c r="H166" s="1"/>
      <c r="I166" s="1"/>
      <c r="J166" s="1"/>
      <c r="K166" s="1"/>
      <c r="L166" s="1"/>
      <c r="M166" s="1"/>
      <c r="N166" s="1"/>
      <c r="O166" s="1"/>
      <c r="P166" s="1"/>
      <c r="Q166" s="1"/>
      <c r="R166" s="1"/>
      <c r="S166" s="1"/>
      <c r="T166" s="1"/>
      <c r="U166" s="1"/>
      <c r="V166" s="1"/>
      <c r="W166" s="1"/>
      <c r="X166" s="1"/>
      <c r="Y166" s="1"/>
      <c r="Z166" s="1"/>
    </row>
    <row r="167" spans="1:26" ht="14" x14ac:dyDescent="0.15">
      <c r="A167" s="21"/>
      <c r="B167" s="21"/>
      <c r="C167" s="21"/>
      <c r="D167" s="21"/>
      <c r="E167" s="1"/>
      <c r="F167" s="1"/>
      <c r="G167" s="1"/>
      <c r="H167" s="1"/>
      <c r="I167" s="1"/>
      <c r="J167" s="1"/>
      <c r="K167" s="1"/>
      <c r="L167" s="1"/>
      <c r="M167" s="1"/>
      <c r="N167" s="1"/>
      <c r="O167" s="1"/>
      <c r="P167" s="1"/>
      <c r="Q167" s="1"/>
      <c r="R167" s="1"/>
      <c r="S167" s="1"/>
      <c r="T167" s="1"/>
      <c r="U167" s="1"/>
      <c r="V167" s="1"/>
      <c r="W167" s="1"/>
      <c r="X167" s="1"/>
      <c r="Y167" s="1"/>
      <c r="Z167" s="1"/>
    </row>
    <row r="168" spans="1:26" ht="14" x14ac:dyDescent="0.15">
      <c r="A168" s="21"/>
      <c r="B168" s="21"/>
      <c r="C168" s="21"/>
      <c r="D168" s="21"/>
      <c r="E168" s="1"/>
      <c r="F168" s="1"/>
      <c r="G168" s="1"/>
      <c r="H168" s="1"/>
      <c r="I168" s="1"/>
      <c r="J168" s="1"/>
      <c r="K168" s="1"/>
      <c r="L168" s="1"/>
      <c r="M168" s="1"/>
      <c r="N168" s="1"/>
      <c r="O168" s="1"/>
      <c r="P168" s="1"/>
      <c r="Q168" s="1"/>
      <c r="R168" s="1"/>
      <c r="S168" s="1"/>
      <c r="T168" s="1"/>
      <c r="U168" s="1"/>
      <c r="V168" s="1"/>
      <c r="W168" s="1"/>
      <c r="X168" s="1"/>
      <c r="Y168" s="1"/>
      <c r="Z168" s="1"/>
    </row>
    <row r="169" spans="1:26" ht="14" x14ac:dyDescent="0.15">
      <c r="A169" s="21"/>
      <c r="B169" s="21"/>
      <c r="C169" s="21"/>
      <c r="D169" s="21"/>
      <c r="E169" s="1"/>
      <c r="F169" s="1"/>
      <c r="G169" s="1"/>
      <c r="H169" s="1"/>
      <c r="I169" s="1"/>
      <c r="J169" s="1"/>
      <c r="K169" s="1"/>
      <c r="L169" s="1"/>
      <c r="M169" s="1"/>
      <c r="N169" s="1"/>
      <c r="O169" s="1"/>
      <c r="P169" s="1"/>
      <c r="Q169" s="1"/>
      <c r="R169" s="1"/>
      <c r="S169" s="1"/>
      <c r="T169" s="1"/>
      <c r="U169" s="1"/>
      <c r="V169" s="1"/>
      <c r="W169" s="1"/>
      <c r="X169" s="1"/>
      <c r="Y169" s="1"/>
      <c r="Z169" s="1"/>
    </row>
    <row r="170" spans="1:26" ht="14" x14ac:dyDescent="0.15">
      <c r="A170" s="21"/>
      <c r="B170" s="21"/>
      <c r="C170" s="21"/>
      <c r="D170" s="21"/>
      <c r="E170" s="1"/>
      <c r="F170" s="1"/>
      <c r="G170" s="1"/>
      <c r="H170" s="1"/>
      <c r="I170" s="1"/>
      <c r="J170" s="1"/>
      <c r="K170" s="1"/>
      <c r="L170" s="1"/>
      <c r="M170" s="1"/>
      <c r="N170" s="1"/>
      <c r="O170" s="1"/>
      <c r="P170" s="1"/>
      <c r="Q170" s="1"/>
      <c r="R170" s="1"/>
      <c r="S170" s="1"/>
      <c r="T170" s="1"/>
      <c r="U170" s="1"/>
      <c r="V170" s="1"/>
      <c r="W170" s="1"/>
      <c r="X170" s="1"/>
      <c r="Y170" s="1"/>
      <c r="Z170" s="1"/>
    </row>
    <row r="171" spans="1:26" ht="14" x14ac:dyDescent="0.15">
      <c r="A171" s="21"/>
      <c r="B171" s="21"/>
      <c r="C171" s="21"/>
      <c r="D171" s="21"/>
      <c r="E171" s="1"/>
      <c r="F171" s="1"/>
      <c r="G171" s="1"/>
      <c r="H171" s="1"/>
      <c r="I171" s="1"/>
      <c r="J171" s="1"/>
      <c r="K171" s="1"/>
      <c r="L171" s="1"/>
      <c r="M171" s="1"/>
      <c r="N171" s="1"/>
      <c r="O171" s="1"/>
      <c r="P171" s="1"/>
      <c r="Q171" s="1"/>
      <c r="R171" s="1"/>
      <c r="S171" s="1"/>
      <c r="T171" s="1"/>
      <c r="U171" s="1"/>
      <c r="V171" s="1"/>
      <c r="W171" s="1"/>
      <c r="X171" s="1"/>
      <c r="Y171" s="1"/>
      <c r="Z171" s="1"/>
    </row>
    <row r="172" spans="1:26" ht="14" x14ac:dyDescent="0.15">
      <c r="A172" s="21"/>
      <c r="B172" s="21"/>
      <c r="C172" s="21"/>
      <c r="D172" s="21"/>
      <c r="E172" s="1"/>
      <c r="F172" s="1"/>
      <c r="G172" s="1"/>
      <c r="H172" s="1"/>
      <c r="I172" s="1"/>
      <c r="J172" s="1"/>
      <c r="K172" s="1"/>
      <c r="L172" s="1"/>
      <c r="M172" s="1"/>
      <c r="N172" s="1"/>
      <c r="O172" s="1"/>
      <c r="P172" s="1"/>
      <c r="Q172" s="1"/>
      <c r="R172" s="1"/>
      <c r="S172" s="1"/>
      <c r="T172" s="1"/>
      <c r="U172" s="1"/>
      <c r="V172" s="1"/>
      <c r="W172" s="1"/>
      <c r="X172" s="1"/>
      <c r="Y172" s="1"/>
      <c r="Z172" s="1"/>
    </row>
    <row r="173" spans="1:26" ht="14" x14ac:dyDescent="0.15">
      <c r="A173" s="21"/>
      <c r="B173" s="21"/>
      <c r="C173" s="21"/>
      <c r="D173" s="21"/>
      <c r="E173" s="1"/>
      <c r="F173" s="1"/>
      <c r="G173" s="1"/>
      <c r="H173" s="1"/>
      <c r="I173" s="1"/>
      <c r="J173" s="1"/>
      <c r="K173" s="1"/>
      <c r="L173" s="1"/>
      <c r="M173" s="1"/>
      <c r="N173" s="1"/>
      <c r="O173" s="1"/>
      <c r="P173" s="1"/>
      <c r="Q173" s="1"/>
      <c r="R173" s="1"/>
      <c r="S173" s="1"/>
      <c r="T173" s="1"/>
      <c r="U173" s="1"/>
      <c r="V173" s="1"/>
      <c r="W173" s="1"/>
      <c r="X173" s="1"/>
      <c r="Y173" s="1"/>
      <c r="Z173" s="1"/>
    </row>
    <row r="174" spans="1:26" ht="14" x14ac:dyDescent="0.15">
      <c r="A174" s="21"/>
      <c r="B174" s="21"/>
      <c r="C174" s="21"/>
      <c r="D174" s="21"/>
      <c r="E174" s="1"/>
      <c r="F174" s="1"/>
      <c r="G174" s="1"/>
      <c r="H174" s="1"/>
      <c r="I174" s="1"/>
      <c r="J174" s="1"/>
      <c r="K174" s="1"/>
      <c r="L174" s="1"/>
      <c r="M174" s="1"/>
      <c r="N174" s="1"/>
      <c r="O174" s="1"/>
      <c r="P174" s="1"/>
      <c r="Q174" s="1"/>
      <c r="R174" s="1"/>
      <c r="S174" s="1"/>
      <c r="T174" s="1"/>
      <c r="U174" s="1"/>
      <c r="V174" s="1"/>
      <c r="W174" s="1"/>
      <c r="X174" s="1"/>
      <c r="Y174" s="1"/>
      <c r="Z174" s="1"/>
    </row>
    <row r="175" spans="1:26" ht="14" x14ac:dyDescent="0.15">
      <c r="A175" s="21"/>
      <c r="B175" s="21"/>
      <c r="C175" s="21"/>
      <c r="D175" s="21"/>
      <c r="E175" s="1"/>
      <c r="F175" s="1"/>
      <c r="G175" s="1"/>
      <c r="H175" s="1"/>
      <c r="I175" s="1"/>
      <c r="J175" s="1"/>
      <c r="K175" s="1"/>
      <c r="L175" s="1"/>
      <c r="M175" s="1"/>
      <c r="N175" s="1"/>
      <c r="O175" s="1"/>
      <c r="P175" s="1"/>
      <c r="Q175" s="1"/>
      <c r="R175" s="1"/>
      <c r="S175" s="1"/>
      <c r="T175" s="1"/>
      <c r="U175" s="1"/>
      <c r="V175" s="1"/>
      <c r="W175" s="1"/>
      <c r="X175" s="1"/>
      <c r="Y175" s="1"/>
      <c r="Z175" s="1"/>
    </row>
    <row r="176" spans="1:26" ht="14" x14ac:dyDescent="0.15">
      <c r="A176" s="21"/>
      <c r="B176" s="21"/>
      <c r="C176" s="21"/>
      <c r="D176" s="21"/>
      <c r="E176" s="1"/>
      <c r="F176" s="1"/>
      <c r="G176" s="1"/>
      <c r="H176" s="1"/>
      <c r="I176" s="1"/>
      <c r="J176" s="1"/>
      <c r="K176" s="1"/>
      <c r="L176" s="1"/>
      <c r="M176" s="1"/>
      <c r="N176" s="1"/>
      <c r="O176" s="1"/>
      <c r="P176" s="1"/>
      <c r="Q176" s="1"/>
      <c r="R176" s="1"/>
      <c r="S176" s="1"/>
      <c r="T176" s="1"/>
      <c r="U176" s="1"/>
      <c r="V176" s="1"/>
      <c r="W176" s="1"/>
      <c r="X176" s="1"/>
      <c r="Y176" s="1"/>
      <c r="Z176" s="1"/>
    </row>
    <row r="177" spans="1:26" ht="14" x14ac:dyDescent="0.15">
      <c r="A177" s="21"/>
      <c r="B177" s="21"/>
      <c r="C177" s="21"/>
      <c r="D177" s="21"/>
      <c r="E177" s="1"/>
      <c r="F177" s="1"/>
      <c r="G177" s="1"/>
      <c r="H177" s="1"/>
      <c r="I177" s="1"/>
      <c r="J177" s="1"/>
      <c r="K177" s="1"/>
      <c r="L177" s="1"/>
      <c r="M177" s="1"/>
      <c r="N177" s="1"/>
      <c r="O177" s="1"/>
      <c r="P177" s="1"/>
      <c r="Q177" s="1"/>
      <c r="R177" s="1"/>
      <c r="S177" s="1"/>
      <c r="T177" s="1"/>
      <c r="U177" s="1"/>
      <c r="V177" s="1"/>
      <c r="W177" s="1"/>
      <c r="X177" s="1"/>
      <c r="Y177" s="1"/>
      <c r="Z177" s="1"/>
    </row>
    <row r="178" spans="1:26" ht="14" x14ac:dyDescent="0.15">
      <c r="A178" s="21"/>
      <c r="B178" s="21"/>
      <c r="C178" s="21"/>
      <c r="D178" s="21"/>
      <c r="E178" s="1"/>
      <c r="F178" s="1"/>
      <c r="G178" s="1"/>
      <c r="H178" s="1"/>
      <c r="I178" s="1"/>
      <c r="J178" s="1"/>
      <c r="K178" s="1"/>
      <c r="L178" s="1"/>
      <c r="M178" s="1"/>
      <c r="N178" s="1"/>
      <c r="O178" s="1"/>
      <c r="P178" s="1"/>
      <c r="Q178" s="1"/>
      <c r="R178" s="1"/>
      <c r="S178" s="1"/>
      <c r="T178" s="1"/>
      <c r="U178" s="1"/>
      <c r="V178" s="1"/>
      <c r="W178" s="1"/>
      <c r="X178" s="1"/>
      <c r="Y178" s="1"/>
      <c r="Z178" s="1"/>
    </row>
    <row r="179" spans="1:26" ht="14" x14ac:dyDescent="0.15">
      <c r="A179" s="21"/>
      <c r="B179" s="21"/>
      <c r="C179" s="21"/>
      <c r="D179" s="21"/>
      <c r="E179" s="1"/>
      <c r="F179" s="1"/>
      <c r="G179" s="1"/>
      <c r="H179" s="1"/>
      <c r="I179" s="1"/>
      <c r="J179" s="1"/>
      <c r="K179" s="1"/>
      <c r="L179" s="1"/>
      <c r="M179" s="1"/>
      <c r="N179" s="1"/>
      <c r="O179" s="1"/>
      <c r="P179" s="1"/>
      <c r="Q179" s="1"/>
      <c r="R179" s="1"/>
      <c r="S179" s="1"/>
      <c r="T179" s="1"/>
      <c r="U179" s="1"/>
      <c r="V179" s="1"/>
      <c r="W179" s="1"/>
      <c r="X179" s="1"/>
      <c r="Y179" s="1"/>
      <c r="Z179" s="1"/>
    </row>
    <row r="180" spans="1:26" ht="14" x14ac:dyDescent="0.15">
      <c r="A180" s="21"/>
      <c r="B180" s="21"/>
      <c r="C180" s="21"/>
      <c r="D180" s="21"/>
      <c r="E180" s="1"/>
      <c r="F180" s="1"/>
      <c r="G180" s="1"/>
      <c r="H180" s="1"/>
      <c r="I180" s="1"/>
      <c r="J180" s="1"/>
      <c r="K180" s="1"/>
      <c r="L180" s="1"/>
      <c r="M180" s="1"/>
      <c r="N180" s="1"/>
      <c r="O180" s="1"/>
      <c r="P180" s="1"/>
      <c r="Q180" s="1"/>
      <c r="R180" s="1"/>
      <c r="S180" s="1"/>
      <c r="T180" s="1"/>
      <c r="U180" s="1"/>
      <c r="V180" s="1"/>
      <c r="W180" s="1"/>
      <c r="X180" s="1"/>
      <c r="Y180" s="1"/>
      <c r="Z180" s="1"/>
    </row>
    <row r="181" spans="1:26" ht="14" x14ac:dyDescent="0.15">
      <c r="A181" s="21"/>
      <c r="B181" s="21"/>
      <c r="C181" s="21"/>
      <c r="D181" s="21"/>
      <c r="E181" s="1"/>
      <c r="F181" s="1"/>
      <c r="G181" s="1"/>
      <c r="H181" s="1"/>
      <c r="I181" s="1"/>
      <c r="J181" s="1"/>
      <c r="K181" s="1"/>
      <c r="L181" s="1"/>
      <c r="M181" s="1"/>
      <c r="N181" s="1"/>
      <c r="O181" s="1"/>
      <c r="P181" s="1"/>
      <c r="Q181" s="1"/>
      <c r="R181" s="1"/>
      <c r="S181" s="1"/>
      <c r="T181" s="1"/>
      <c r="U181" s="1"/>
      <c r="V181" s="1"/>
      <c r="W181" s="1"/>
      <c r="X181" s="1"/>
      <c r="Y181" s="1"/>
      <c r="Z181" s="1"/>
    </row>
    <row r="182" spans="1:26" ht="14" x14ac:dyDescent="0.15">
      <c r="A182" s="21"/>
      <c r="B182" s="21"/>
      <c r="C182" s="21"/>
      <c r="D182" s="21"/>
      <c r="E182" s="1"/>
      <c r="F182" s="1"/>
      <c r="G182" s="1"/>
      <c r="H182" s="1"/>
      <c r="I182" s="1"/>
      <c r="J182" s="1"/>
      <c r="K182" s="1"/>
      <c r="L182" s="1"/>
      <c r="M182" s="1"/>
      <c r="N182" s="1"/>
      <c r="O182" s="1"/>
      <c r="P182" s="1"/>
      <c r="Q182" s="1"/>
      <c r="R182" s="1"/>
      <c r="S182" s="1"/>
      <c r="T182" s="1"/>
      <c r="U182" s="1"/>
      <c r="V182" s="1"/>
      <c r="W182" s="1"/>
      <c r="X182" s="1"/>
      <c r="Y182" s="1"/>
      <c r="Z182" s="1"/>
    </row>
    <row r="183" spans="1:26" ht="14" x14ac:dyDescent="0.15">
      <c r="A183" s="21"/>
      <c r="B183" s="21"/>
      <c r="C183" s="21"/>
      <c r="D183" s="21"/>
      <c r="E183" s="1"/>
      <c r="F183" s="1"/>
      <c r="G183" s="1"/>
      <c r="H183" s="1"/>
      <c r="I183" s="1"/>
      <c r="J183" s="1"/>
      <c r="K183" s="1"/>
      <c r="L183" s="1"/>
      <c r="M183" s="1"/>
      <c r="N183" s="1"/>
      <c r="O183" s="1"/>
      <c r="P183" s="1"/>
      <c r="Q183" s="1"/>
      <c r="R183" s="1"/>
      <c r="S183" s="1"/>
      <c r="T183" s="1"/>
      <c r="U183" s="1"/>
      <c r="V183" s="1"/>
      <c r="W183" s="1"/>
      <c r="X183" s="1"/>
      <c r="Y183" s="1"/>
      <c r="Z183" s="1"/>
    </row>
    <row r="184" spans="1:26" ht="14" x14ac:dyDescent="0.15">
      <c r="A184" s="21"/>
      <c r="B184" s="21"/>
      <c r="C184" s="21"/>
      <c r="D184" s="21"/>
      <c r="E184" s="1"/>
      <c r="F184" s="1"/>
      <c r="G184" s="1"/>
      <c r="H184" s="1"/>
      <c r="I184" s="1"/>
      <c r="J184" s="1"/>
      <c r="K184" s="1"/>
      <c r="L184" s="1"/>
      <c r="M184" s="1"/>
      <c r="N184" s="1"/>
      <c r="O184" s="1"/>
      <c r="P184" s="1"/>
      <c r="Q184" s="1"/>
      <c r="R184" s="1"/>
      <c r="S184" s="1"/>
      <c r="T184" s="1"/>
      <c r="U184" s="1"/>
      <c r="V184" s="1"/>
      <c r="W184" s="1"/>
      <c r="X184" s="1"/>
      <c r="Y184" s="1"/>
      <c r="Z184" s="1"/>
    </row>
    <row r="185" spans="1:26" ht="14" x14ac:dyDescent="0.15">
      <c r="A185" s="21"/>
      <c r="B185" s="21"/>
      <c r="C185" s="21"/>
      <c r="D185" s="21"/>
      <c r="E185" s="1"/>
      <c r="F185" s="1"/>
      <c r="G185" s="1"/>
      <c r="H185" s="1"/>
      <c r="I185" s="1"/>
      <c r="J185" s="1"/>
      <c r="K185" s="1"/>
      <c r="L185" s="1"/>
      <c r="M185" s="1"/>
      <c r="N185" s="1"/>
      <c r="O185" s="1"/>
      <c r="P185" s="1"/>
      <c r="Q185" s="1"/>
      <c r="R185" s="1"/>
      <c r="S185" s="1"/>
      <c r="T185" s="1"/>
      <c r="U185" s="1"/>
      <c r="V185" s="1"/>
      <c r="W185" s="1"/>
      <c r="X185" s="1"/>
      <c r="Y185" s="1"/>
      <c r="Z185" s="1"/>
    </row>
    <row r="186" spans="1:26" ht="14" x14ac:dyDescent="0.15">
      <c r="A186" s="21"/>
      <c r="B186" s="21"/>
      <c r="C186" s="21"/>
      <c r="D186" s="21"/>
      <c r="E186" s="1"/>
      <c r="F186" s="1"/>
      <c r="G186" s="1"/>
      <c r="H186" s="1"/>
      <c r="I186" s="1"/>
      <c r="J186" s="1"/>
      <c r="K186" s="1"/>
      <c r="L186" s="1"/>
      <c r="M186" s="1"/>
      <c r="N186" s="1"/>
      <c r="O186" s="1"/>
      <c r="P186" s="1"/>
      <c r="Q186" s="1"/>
      <c r="R186" s="1"/>
      <c r="S186" s="1"/>
      <c r="T186" s="1"/>
      <c r="U186" s="1"/>
      <c r="V186" s="1"/>
      <c r="W186" s="1"/>
      <c r="X186" s="1"/>
      <c r="Y186" s="1"/>
      <c r="Z186" s="1"/>
    </row>
    <row r="187" spans="1:26" ht="14" x14ac:dyDescent="0.15">
      <c r="A187" s="21"/>
      <c r="B187" s="21"/>
      <c r="C187" s="21"/>
      <c r="D187" s="21"/>
      <c r="E187" s="1"/>
      <c r="F187" s="1"/>
      <c r="G187" s="1"/>
      <c r="H187" s="1"/>
      <c r="I187" s="1"/>
      <c r="J187" s="1"/>
      <c r="K187" s="1"/>
      <c r="L187" s="1"/>
      <c r="M187" s="1"/>
      <c r="N187" s="1"/>
      <c r="O187" s="1"/>
      <c r="P187" s="1"/>
      <c r="Q187" s="1"/>
      <c r="R187" s="1"/>
      <c r="S187" s="1"/>
      <c r="T187" s="1"/>
      <c r="U187" s="1"/>
      <c r="V187" s="1"/>
      <c r="W187" s="1"/>
      <c r="X187" s="1"/>
      <c r="Y187" s="1"/>
      <c r="Z187" s="1"/>
    </row>
    <row r="188" spans="1:26" ht="14" x14ac:dyDescent="0.15">
      <c r="A188" s="21"/>
      <c r="B188" s="21"/>
      <c r="C188" s="21"/>
      <c r="D188" s="21"/>
      <c r="E188" s="1"/>
      <c r="F188" s="1"/>
      <c r="G188" s="1"/>
      <c r="H188" s="1"/>
      <c r="I188" s="1"/>
      <c r="J188" s="1"/>
      <c r="K188" s="1"/>
      <c r="L188" s="1"/>
      <c r="M188" s="1"/>
      <c r="N188" s="1"/>
      <c r="O188" s="1"/>
      <c r="P188" s="1"/>
      <c r="Q188" s="1"/>
      <c r="R188" s="1"/>
      <c r="S188" s="1"/>
      <c r="T188" s="1"/>
      <c r="U188" s="1"/>
      <c r="V188" s="1"/>
      <c r="W188" s="1"/>
      <c r="X188" s="1"/>
      <c r="Y188" s="1"/>
      <c r="Z188" s="1"/>
    </row>
    <row r="189" spans="1:26" ht="14" x14ac:dyDescent="0.15">
      <c r="A189" s="21"/>
      <c r="B189" s="21"/>
      <c r="C189" s="21"/>
      <c r="D189" s="21"/>
      <c r="E189" s="1"/>
      <c r="F189" s="1"/>
      <c r="G189" s="1"/>
      <c r="H189" s="1"/>
      <c r="I189" s="1"/>
      <c r="J189" s="1"/>
      <c r="K189" s="1"/>
      <c r="L189" s="1"/>
      <c r="M189" s="1"/>
      <c r="N189" s="1"/>
      <c r="O189" s="1"/>
      <c r="P189" s="1"/>
      <c r="Q189" s="1"/>
      <c r="R189" s="1"/>
      <c r="S189" s="1"/>
      <c r="T189" s="1"/>
      <c r="U189" s="1"/>
      <c r="V189" s="1"/>
      <c r="W189" s="1"/>
      <c r="X189" s="1"/>
      <c r="Y189" s="1"/>
      <c r="Z189" s="1"/>
    </row>
    <row r="190" spans="1:26" ht="14" x14ac:dyDescent="0.15">
      <c r="A190" s="21"/>
      <c r="B190" s="21"/>
      <c r="C190" s="21"/>
      <c r="D190" s="21"/>
      <c r="E190" s="1"/>
      <c r="F190" s="1"/>
      <c r="G190" s="1"/>
      <c r="H190" s="1"/>
      <c r="I190" s="1"/>
      <c r="J190" s="1"/>
      <c r="K190" s="1"/>
      <c r="L190" s="1"/>
      <c r="M190" s="1"/>
      <c r="N190" s="1"/>
      <c r="O190" s="1"/>
      <c r="P190" s="1"/>
      <c r="Q190" s="1"/>
      <c r="R190" s="1"/>
      <c r="S190" s="1"/>
      <c r="T190" s="1"/>
      <c r="U190" s="1"/>
      <c r="V190" s="1"/>
      <c r="W190" s="1"/>
      <c r="X190" s="1"/>
      <c r="Y190" s="1"/>
      <c r="Z190" s="1"/>
    </row>
    <row r="191" spans="1:26" ht="14" x14ac:dyDescent="0.15">
      <c r="A191" s="21"/>
      <c r="B191" s="21"/>
      <c r="C191" s="21"/>
      <c r="D191" s="21"/>
      <c r="E191" s="1"/>
      <c r="F191" s="1"/>
      <c r="G191" s="1"/>
      <c r="H191" s="1"/>
      <c r="I191" s="1"/>
      <c r="J191" s="1"/>
      <c r="K191" s="1"/>
      <c r="L191" s="1"/>
      <c r="M191" s="1"/>
      <c r="N191" s="1"/>
      <c r="O191" s="1"/>
      <c r="P191" s="1"/>
      <c r="Q191" s="1"/>
      <c r="R191" s="1"/>
      <c r="S191" s="1"/>
      <c r="T191" s="1"/>
      <c r="U191" s="1"/>
      <c r="V191" s="1"/>
      <c r="W191" s="1"/>
      <c r="X191" s="1"/>
      <c r="Y191" s="1"/>
      <c r="Z191" s="1"/>
    </row>
    <row r="192" spans="1:26" ht="14" x14ac:dyDescent="0.15">
      <c r="A192" s="21"/>
      <c r="B192" s="21"/>
      <c r="C192" s="21"/>
      <c r="D192" s="21"/>
      <c r="E192" s="1"/>
      <c r="F192" s="1"/>
      <c r="G192" s="1"/>
      <c r="H192" s="1"/>
      <c r="I192" s="1"/>
      <c r="J192" s="1"/>
      <c r="K192" s="1"/>
      <c r="L192" s="1"/>
      <c r="M192" s="1"/>
      <c r="N192" s="1"/>
      <c r="O192" s="1"/>
      <c r="P192" s="1"/>
      <c r="Q192" s="1"/>
      <c r="R192" s="1"/>
      <c r="S192" s="1"/>
      <c r="T192" s="1"/>
      <c r="U192" s="1"/>
      <c r="V192" s="1"/>
      <c r="W192" s="1"/>
      <c r="X192" s="1"/>
      <c r="Y192" s="1"/>
      <c r="Z192" s="1"/>
    </row>
    <row r="193" spans="1:26" ht="14" x14ac:dyDescent="0.15">
      <c r="A193" s="21"/>
      <c r="B193" s="21"/>
      <c r="C193" s="21"/>
      <c r="D193" s="21"/>
      <c r="E193" s="1"/>
      <c r="F193" s="1"/>
      <c r="G193" s="1"/>
      <c r="H193" s="1"/>
      <c r="I193" s="1"/>
      <c r="J193" s="1"/>
      <c r="K193" s="1"/>
      <c r="L193" s="1"/>
      <c r="M193" s="1"/>
      <c r="N193" s="1"/>
      <c r="O193" s="1"/>
      <c r="P193" s="1"/>
      <c r="Q193" s="1"/>
      <c r="R193" s="1"/>
      <c r="S193" s="1"/>
      <c r="T193" s="1"/>
      <c r="U193" s="1"/>
      <c r="V193" s="1"/>
      <c r="W193" s="1"/>
      <c r="X193" s="1"/>
      <c r="Y193" s="1"/>
      <c r="Z193" s="1"/>
    </row>
    <row r="194" spans="1:26" ht="14" x14ac:dyDescent="0.15">
      <c r="A194" s="21"/>
      <c r="B194" s="21"/>
      <c r="C194" s="21"/>
      <c r="D194" s="21"/>
      <c r="E194" s="1"/>
      <c r="F194" s="1"/>
      <c r="G194" s="1"/>
      <c r="H194" s="1"/>
      <c r="I194" s="1"/>
      <c r="J194" s="1"/>
      <c r="K194" s="1"/>
      <c r="L194" s="1"/>
      <c r="M194" s="1"/>
      <c r="N194" s="1"/>
      <c r="O194" s="1"/>
      <c r="P194" s="1"/>
      <c r="Q194" s="1"/>
      <c r="R194" s="1"/>
      <c r="S194" s="1"/>
      <c r="T194" s="1"/>
      <c r="U194" s="1"/>
      <c r="V194" s="1"/>
      <c r="W194" s="1"/>
      <c r="X194" s="1"/>
      <c r="Y194" s="1"/>
      <c r="Z194" s="1"/>
    </row>
    <row r="195" spans="1:26" ht="14" x14ac:dyDescent="0.15">
      <c r="A195" s="21"/>
      <c r="B195" s="21"/>
      <c r="C195" s="21"/>
      <c r="D195" s="21"/>
      <c r="E195" s="1"/>
      <c r="F195" s="1"/>
      <c r="G195" s="1"/>
      <c r="H195" s="1"/>
      <c r="I195" s="1"/>
      <c r="J195" s="1"/>
      <c r="K195" s="1"/>
      <c r="L195" s="1"/>
      <c r="M195" s="1"/>
      <c r="N195" s="1"/>
      <c r="O195" s="1"/>
      <c r="P195" s="1"/>
      <c r="Q195" s="1"/>
      <c r="R195" s="1"/>
      <c r="S195" s="1"/>
      <c r="T195" s="1"/>
      <c r="U195" s="1"/>
      <c r="V195" s="1"/>
      <c r="W195" s="1"/>
      <c r="X195" s="1"/>
      <c r="Y195" s="1"/>
      <c r="Z195" s="1"/>
    </row>
    <row r="196" spans="1:26" ht="14" x14ac:dyDescent="0.15">
      <c r="A196" s="21"/>
      <c r="B196" s="21"/>
      <c r="C196" s="21"/>
      <c r="D196" s="21"/>
      <c r="E196" s="1"/>
      <c r="F196" s="1"/>
      <c r="G196" s="1"/>
      <c r="H196" s="1"/>
      <c r="I196" s="1"/>
      <c r="J196" s="1"/>
      <c r="K196" s="1"/>
      <c r="L196" s="1"/>
      <c r="M196" s="1"/>
      <c r="N196" s="1"/>
      <c r="O196" s="1"/>
      <c r="P196" s="1"/>
      <c r="Q196" s="1"/>
      <c r="R196" s="1"/>
      <c r="S196" s="1"/>
      <c r="T196" s="1"/>
      <c r="U196" s="1"/>
      <c r="V196" s="1"/>
      <c r="W196" s="1"/>
      <c r="X196" s="1"/>
      <c r="Y196" s="1"/>
      <c r="Z196" s="1"/>
    </row>
    <row r="197" spans="1:26" ht="14" x14ac:dyDescent="0.15">
      <c r="A197" s="21"/>
      <c r="B197" s="21"/>
      <c r="C197" s="21"/>
      <c r="D197" s="21"/>
      <c r="E197" s="1"/>
      <c r="F197" s="1"/>
      <c r="G197" s="1"/>
      <c r="H197" s="1"/>
      <c r="I197" s="1"/>
      <c r="J197" s="1"/>
      <c r="K197" s="1"/>
      <c r="L197" s="1"/>
      <c r="M197" s="1"/>
      <c r="N197" s="1"/>
      <c r="O197" s="1"/>
      <c r="P197" s="1"/>
      <c r="Q197" s="1"/>
      <c r="R197" s="1"/>
      <c r="S197" s="1"/>
      <c r="T197" s="1"/>
      <c r="U197" s="1"/>
      <c r="V197" s="1"/>
      <c r="W197" s="1"/>
      <c r="X197" s="1"/>
      <c r="Y197" s="1"/>
      <c r="Z197" s="1"/>
    </row>
    <row r="198" spans="1:26" ht="14" x14ac:dyDescent="0.15">
      <c r="A198" s="21"/>
      <c r="B198" s="21"/>
      <c r="C198" s="21"/>
      <c r="D198" s="21"/>
      <c r="E198" s="1"/>
      <c r="F198" s="1"/>
      <c r="G198" s="1"/>
      <c r="H198" s="1"/>
      <c r="I198" s="1"/>
      <c r="J198" s="1"/>
      <c r="K198" s="1"/>
      <c r="L198" s="1"/>
      <c r="M198" s="1"/>
      <c r="N198" s="1"/>
      <c r="O198" s="1"/>
      <c r="P198" s="1"/>
      <c r="Q198" s="1"/>
      <c r="R198" s="1"/>
      <c r="S198" s="1"/>
      <c r="T198" s="1"/>
      <c r="U198" s="1"/>
      <c r="V198" s="1"/>
      <c r="W198" s="1"/>
      <c r="X198" s="1"/>
      <c r="Y198" s="1"/>
      <c r="Z198" s="1"/>
    </row>
    <row r="199" spans="1:26" ht="14" x14ac:dyDescent="0.15">
      <c r="A199" s="21"/>
      <c r="B199" s="21"/>
      <c r="C199" s="21"/>
      <c r="D199" s="21"/>
      <c r="E199" s="1"/>
      <c r="F199" s="1"/>
      <c r="G199" s="1"/>
      <c r="H199" s="1"/>
      <c r="I199" s="1"/>
      <c r="J199" s="1"/>
      <c r="K199" s="1"/>
      <c r="L199" s="1"/>
      <c r="M199" s="1"/>
      <c r="N199" s="1"/>
      <c r="O199" s="1"/>
      <c r="P199" s="1"/>
      <c r="Q199" s="1"/>
      <c r="R199" s="1"/>
      <c r="S199" s="1"/>
      <c r="T199" s="1"/>
      <c r="U199" s="1"/>
      <c r="V199" s="1"/>
      <c r="W199" s="1"/>
      <c r="X199" s="1"/>
      <c r="Y199" s="1"/>
      <c r="Z199" s="1"/>
    </row>
    <row r="200" spans="1:26" ht="14" x14ac:dyDescent="0.15">
      <c r="A200" s="21"/>
      <c r="B200" s="21"/>
      <c r="C200" s="21"/>
      <c r="D200" s="21"/>
      <c r="E200" s="1"/>
      <c r="F200" s="1"/>
      <c r="G200" s="1"/>
      <c r="H200" s="1"/>
      <c r="I200" s="1"/>
      <c r="J200" s="1"/>
      <c r="K200" s="1"/>
      <c r="L200" s="1"/>
      <c r="M200" s="1"/>
      <c r="N200" s="1"/>
      <c r="O200" s="1"/>
      <c r="P200" s="1"/>
      <c r="Q200" s="1"/>
      <c r="R200" s="1"/>
      <c r="S200" s="1"/>
      <c r="T200" s="1"/>
      <c r="U200" s="1"/>
      <c r="V200" s="1"/>
      <c r="W200" s="1"/>
      <c r="X200" s="1"/>
      <c r="Y200" s="1"/>
      <c r="Z200" s="1"/>
    </row>
    <row r="201" spans="1:26" ht="14" x14ac:dyDescent="0.15">
      <c r="A201" s="21"/>
      <c r="B201" s="21"/>
      <c r="C201" s="21"/>
      <c r="D201" s="21"/>
      <c r="E201" s="1"/>
      <c r="F201" s="1"/>
      <c r="G201" s="1"/>
      <c r="H201" s="1"/>
      <c r="I201" s="1"/>
      <c r="J201" s="1"/>
      <c r="K201" s="1"/>
      <c r="L201" s="1"/>
      <c r="M201" s="1"/>
      <c r="N201" s="1"/>
      <c r="O201" s="1"/>
      <c r="P201" s="1"/>
      <c r="Q201" s="1"/>
      <c r="R201" s="1"/>
      <c r="S201" s="1"/>
      <c r="T201" s="1"/>
      <c r="U201" s="1"/>
      <c r="V201" s="1"/>
      <c r="W201" s="1"/>
      <c r="X201" s="1"/>
      <c r="Y201" s="1"/>
      <c r="Z201" s="1"/>
    </row>
    <row r="202" spans="1:26" ht="14" x14ac:dyDescent="0.15">
      <c r="A202" s="21"/>
      <c r="B202" s="21"/>
      <c r="C202" s="21"/>
      <c r="D202" s="21"/>
      <c r="E202" s="1"/>
      <c r="F202" s="1"/>
      <c r="G202" s="1"/>
      <c r="H202" s="1"/>
      <c r="I202" s="1"/>
      <c r="J202" s="1"/>
      <c r="K202" s="1"/>
      <c r="L202" s="1"/>
      <c r="M202" s="1"/>
      <c r="N202" s="1"/>
      <c r="O202" s="1"/>
      <c r="P202" s="1"/>
      <c r="Q202" s="1"/>
      <c r="R202" s="1"/>
      <c r="S202" s="1"/>
      <c r="T202" s="1"/>
      <c r="U202" s="1"/>
      <c r="V202" s="1"/>
      <c r="W202" s="1"/>
      <c r="X202" s="1"/>
      <c r="Y202" s="1"/>
      <c r="Z202" s="1"/>
    </row>
    <row r="203" spans="1:26" ht="14" x14ac:dyDescent="0.15">
      <c r="A203" s="21"/>
      <c r="B203" s="21"/>
      <c r="C203" s="21"/>
      <c r="D203" s="21"/>
      <c r="E203" s="1"/>
      <c r="F203" s="1"/>
      <c r="G203" s="1"/>
      <c r="H203" s="1"/>
      <c r="I203" s="1"/>
      <c r="J203" s="1"/>
      <c r="K203" s="1"/>
      <c r="L203" s="1"/>
      <c r="M203" s="1"/>
      <c r="N203" s="1"/>
      <c r="O203" s="1"/>
      <c r="P203" s="1"/>
      <c r="Q203" s="1"/>
      <c r="R203" s="1"/>
      <c r="S203" s="1"/>
      <c r="T203" s="1"/>
      <c r="U203" s="1"/>
      <c r="V203" s="1"/>
      <c r="W203" s="1"/>
      <c r="X203" s="1"/>
      <c r="Y203" s="1"/>
      <c r="Z203" s="1"/>
    </row>
    <row r="204" spans="1:26" ht="14" x14ac:dyDescent="0.15">
      <c r="A204" s="21"/>
      <c r="B204" s="21"/>
      <c r="C204" s="21"/>
      <c r="D204" s="21"/>
      <c r="E204" s="1"/>
      <c r="F204" s="1"/>
      <c r="G204" s="1"/>
      <c r="H204" s="1"/>
      <c r="I204" s="1"/>
      <c r="J204" s="1"/>
      <c r="K204" s="1"/>
      <c r="L204" s="1"/>
      <c r="M204" s="1"/>
      <c r="N204" s="1"/>
      <c r="O204" s="1"/>
      <c r="P204" s="1"/>
      <c r="Q204" s="1"/>
      <c r="R204" s="1"/>
      <c r="S204" s="1"/>
      <c r="T204" s="1"/>
      <c r="U204" s="1"/>
      <c r="V204" s="1"/>
      <c r="W204" s="1"/>
      <c r="X204" s="1"/>
      <c r="Y204" s="1"/>
      <c r="Z204" s="1"/>
    </row>
    <row r="205" spans="1:26" ht="14" x14ac:dyDescent="0.15">
      <c r="A205" s="21"/>
      <c r="B205" s="21"/>
      <c r="C205" s="21"/>
      <c r="D205" s="21"/>
      <c r="E205" s="1"/>
      <c r="F205" s="1"/>
      <c r="G205" s="1"/>
      <c r="H205" s="1"/>
      <c r="I205" s="1"/>
      <c r="J205" s="1"/>
      <c r="K205" s="1"/>
      <c r="L205" s="1"/>
      <c r="M205" s="1"/>
      <c r="N205" s="1"/>
      <c r="O205" s="1"/>
      <c r="P205" s="1"/>
      <c r="Q205" s="1"/>
      <c r="R205" s="1"/>
      <c r="S205" s="1"/>
      <c r="T205" s="1"/>
      <c r="U205" s="1"/>
      <c r="V205" s="1"/>
      <c r="W205" s="1"/>
      <c r="X205" s="1"/>
      <c r="Y205" s="1"/>
      <c r="Z205" s="1"/>
    </row>
    <row r="206" spans="1:26" ht="14" x14ac:dyDescent="0.15">
      <c r="A206" s="21"/>
      <c r="B206" s="21"/>
      <c r="C206" s="21"/>
      <c r="D206" s="21"/>
      <c r="E206" s="1"/>
      <c r="F206" s="1"/>
      <c r="G206" s="1"/>
      <c r="H206" s="1"/>
      <c r="I206" s="1"/>
      <c r="J206" s="1"/>
      <c r="K206" s="1"/>
      <c r="L206" s="1"/>
      <c r="M206" s="1"/>
      <c r="N206" s="1"/>
      <c r="O206" s="1"/>
      <c r="P206" s="1"/>
      <c r="Q206" s="1"/>
      <c r="R206" s="1"/>
      <c r="S206" s="1"/>
      <c r="T206" s="1"/>
      <c r="U206" s="1"/>
      <c r="V206" s="1"/>
      <c r="W206" s="1"/>
      <c r="X206" s="1"/>
      <c r="Y206" s="1"/>
      <c r="Z206" s="1"/>
    </row>
    <row r="207" spans="1:26" ht="14" x14ac:dyDescent="0.15">
      <c r="A207" s="21"/>
      <c r="B207" s="21"/>
      <c r="C207" s="21"/>
      <c r="D207" s="21"/>
      <c r="E207" s="1"/>
      <c r="F207" s="1"/>
      <c r="G207" s="1"/>
      <c r="H207" s="1"/>
      <c r="I207" s="1"/>
      <c r="J207" s="1"/>
      <c r="K207" s="1"/>
      <c r="L207" s="1"/>
      <c r="M207" s="1"/>
      <c r="N207" s="1"/>
      <c r="O207" s="1"/>
      <c r="P207" s="1"/>
      <c r="Q207" s="1"/>
      <c r="R207" s="1"/>
      <c r="S207" s="1"/>
      <c r="T207" s="1"/>
      <c r="U207" s="1"/>
      <c r="V207" s="1"/>
      <c r="W207" s="1"/>
      <c r="X207" s="1"/>
      <c r="Y207" s="1"/>
      <c r="Z207" s="1"/>
    </row>
    <row r="208" spans="1:26" ht="14" x14ac:dyDescent="0.15">
      <c r="A208" s="21"/>
      <c r="B208" s="21"/>
      <c r="C208" s="21"/>
      <c r="D208" s="21"/>
      <c r="E208" s="1"/>
      <c r="F208" s="1"/>
      <c r="G208" s="1"/>
      <c r="H208" s="1"/>
      <c r="I208" s="1"/>
      <c r="J208" s="1"/>
      <c r="K208" s="1"/>
      <c r="L208" s="1"/>
      <c r="M208" s="1"/>
      <c r="N208" s="1"/>
      <c r="O208" s="1"/>
      <c r="P208" s="1"/>
      <c r="Q208" s="1"/>
      <c r="R208" s="1"/>
      <c r="S208" s="1"/>
      <c r="T208" s="1"/>
      <c r="U208" s="1"/>
      <c r="V208" s="1"/>
      <c r="W208" s="1"/>
      <c r="X208" s="1"/>
      <c r="Y208" s="1"/>
      <c r="Z208" s="1"/>
    </row>
    <row r="209" spans="1:26" ht="14" x14ac:dyDescent="0.15">
      <c r="A209" s="21"/>
      <c r="B209" s="21"/>
      <c r="C209" s="21"/>
      <c r="D209" s="21"/>
      <c r="E209" s="1"/>
      <c r="F209" s="1"/>
      <c r="G209" s="1"/>
      <c r="H209" s="1"/>
      <c r="I209" s="1"/>
      <c r="J209" s="1"/>
      <c r="K209" s="1"/>
      <c r="L209" s="1"/>
      <c r="M209" s="1"/>
      <c r="N209" s="1"/>
      <c r="O209" s="1"/>
      <c r="P209" s="1"/>
      <c r="Q209" s="1"/>
      <c r="R209" s="1"/>
      <c r="S209" s="1"/>
      <c r="T209" s="1"/>
      <c r="U209" s="1"/>
      <c r="V209" s="1"/>
      <c r="W209" s="1"/>
      <c r="X209" s="1"/>
      <c r="Y209" s="1"/>
      <c r="Z209" s="1"/>
    </row>
    <row r="210" spans="1:26" ht="14" x14ac:dyDescent="0.15">
      <c r="A210" s="21"/>
      <c r="B210" s="21"/>
      <c r="C210" s="21"/>
      <c r="D210" s="21"/>
      <c r="E210" s="1"/>
      <c r="F210" s="1"/>
      <c r="G210" s="1"/>
      <c r="H210" s="1"/>
      <c r="I210" s="1"/>
      <c r="J210" s="1"/>
      <c r="K210" s="1"/>
      <c r="L210" s="1"/>
      <c r="M210" s="1"/>
      <c r="N210" s="1"/>
      <c r="O210" s="1"/>
      <c r="P210" s="1"/>
      <c r="Q210" s="1"/>
      <c r="R210" s="1"/>
      <c r="S210" s="1"/>
      <c r="T210" s="1"/>
      <c r="U210" s="1"/>
      <c r="V210" s="1"/>
      <c r="W210" s="1"/>
      <c r="X210" s="1"/>
      <c r="Y210" s="1"/>
      <c r="Z210" s="1"/>
    </row>
    <row r="211" spans="1:26" ht="14" x14ac:dyDescent="0.15">
      <c r="A211" s="21"/>
      <c r="B211" s="21"/>
      <c r="C211" s="21"/>
      <c r="D211" s="21"/>
      <c r="E211" s="1"/>
      <c r="F211" s="1"/>
      <c r="G211" s="1"/>
      <c r="H211" s="1"/>
      <c r="I211" s="1"/>
      <c r="J211" s="1"/>
      <c r="K211" s="1"/>
      <c r="L211" s="1"/>
      <c r="M211" s="1"/>
      <c r="N211" s="1"/>
      <c r="O211" s="1"/>
      <c r="P211" s="1"/>
      <c r="Q211" s="1"/>
      <c r="R211" s="1"/>
      <c r="S211" s="1"/>
      <c r="T211" s="1"/>
      <c r="U211" s="1"/>
      <c r="V211" s="1"/>
      <c r="W211" s="1"/>
      <c r="X211" s="1"/>
      <c r="Y211" s="1"/>
      <c r="Z211" s="1"/>
    </row>
    <row r="212" spans="1:26" ht="14" x14ac:dyDescent="0.15">
      <c r="A212" s="21"/>
      <c r="B212" s="21"/>
      <c r="C212" s="21"/>
      <c r="D212" s="21"/>
      <c r="E212" s="1"/>
      <c r="F212" s="1"/>
      <c r="G212" s="1"/>
      <c r="H212" s="1"/>
      <c r="I212" s="1"/>
      <c r="J212" s="1"/>
      <c r="K212" s="1"/>
      <c r="L212" s="1"/>
      <c r="M212" s="1"/>
      <c r="N212" s="1"/>
      <c r="O212" s="1"/>
      <c r="P212" s="1"/>
      <c r="Q212" s="1"/>
      <c r="R212" s="1"/>
      <c r="S212" s="1"/>
      <c r="T212" s="1"/>
      <c r="U212" s="1"/>
      <c r="V212" s="1"/>
      <c r="W212" s="1"/>
      <c r="X212" s="1"/>
      <c r="Y212" s="1"/>
      <c r="Z212" s="1"/>
    </row>
    <row r="213" spans="1:26" ht="14" x14ac:dyDescent="0.15">
      <c r="A213" s="21"/>
      <c r="B213" s="21"/>
      <c r="C213" s="21"/>
      <c r="D213" s="21"/>
      <c r="E213" s="1"/>
      <c r="F213" s="1"/>
      <c r="G213" s="1"/>
      <c r="H213" s="1"/>
      <c r="I213" s="1"/>
      <c r="J213" s="1"/>
      <c r="K213" s="1"/>
      <c r="L213" s="1"/>
      <c r="M213" s="1"/>
      <c r="N213" s="1"/>
      <c r="O213" s="1"/>
      <c r="P213" s="1"/>
      <c r="Q213" s="1"/>
      <c r="R213" s="1"/>
      <c r="S213" s="1"/>
      <c r="T213" s="1"/>
      <c r="U213" s="1"/>
      <c r="V213" s="1"/>
      <c r="W213" s="1"/>
      <c r="X213" s="1"/>
      <c r="Y213" s="1"/>
      <c r="Z213" s="1"/>
    </row>
    <row r="214" spans="1:26" ht="14" x14ac:dyDescent="0.15">
      <c r="A214" s="21"/>
      <c r="B214" s="21"/>
      <c r="C214" s="21"/>
      <c r="D214" s="21"/>
      <c r="E214" s="1"/>
      <c r="F214" s="1"/>
      <c r="G214" s="1"/>
      <c r="H214" s="1"/>
      <c r="I214" s="1"/>
      <c r="J214" s="1"/>
      <c r="K214" s="1"/>
      <c r="L214" s="1"/>
      <c r="M214" s="1"/>
      <c r="N214" s="1"/>
      <c r="O214" s="1"/>
      <c r="P214" s="1"/>
      <c r="Q214" s="1"/>
      <c r="R214" s="1"/>
      <c r="S214" s="1"/>
      <c r="T214" s="1"/>
      <c r="U214" s="1"/>
      <c r="V214" s="1"/>
      <c r="W214" s="1"/>
      <c r="X214" s="1"/>
      <c r="Y214" s="1"/>
      <c r="Z214" s="1"/>
    </row>
    <row r="215" spans="1:26" ht="14" x14ac:dyDescent="0.15">
      <c r="A215" s="21"/>
      <c r="B215" s="21"/>
      <c r="C215" s="21"/>
      <c r="D215" s="21"/>
      <c r="E215" s="1"/>
      <c r="F215" s="1"/>
      <c r="G215" s="1"/>
      <c r="H215" s="1"/>
      <c r="I215" s="1"/>
      <c r="J215" s="1"/>
      <c r="K215" s="1"/>
      <c r="L215" s="1"/>
      <c r="M215" s="1"/>
      <c r="N215" s="1"/>
      <c r="O215" s="1"/>
      <c r="P215" s="1"/>
      <c r="Q215" s="1"/>
      <c r="R215" s="1"/>
      <c r="S215" s="1"/>
      <c r="T215" s="1"/>
      <c r="U215" s="1"/>
      <c r="V215" s="1"/>
      <c r="W215" s="1"/>
      <c r="X215" s="1"/>
      <c r="Y215" s="1"/>
      <c r="Z215" s="1"/>
    </row>
    <row r="216" spans="1:26" ht="14" x14ac:dyDescent="0.15">
      <c r="A216" s="21"/>
      <c r="B216" s="21"/>
      <c r="C216" s="21"/>
      <c r="D216" s="21"/>
      <c r="E216" s="1"/>
      <c r="F216" s="1"/>
      <c r="G216" s="1"/>
      <c r="H216" s="1"/>
      <c r="I216" s="1"/>
      <c r="J216" s="1"/>
      <c r="K216" s="1"/>
      <c r="L216" s="1"/>
      <c r="M216" s="1"/>
      <c r="N216" s="1"/>
      <c r="O216" s="1"/>
      <c r="P216" s="1"/>
      <c r="Q216" s="1"/>
      <c r="R216" s="1"/>
      <c r="S216" s="1"/>
      <c r="T216" s="1"/>
      <c r="U216" s="1"/>
      <c r="V216" s="1"/>
      <c r="W216" s="1"/>
      <c r="X216" s="1"/>
      <c r="Y216" s="1"/>
      <c r="Z216" s="1"/>
    </row>
    <row r="217" spans="1:26" ht="14" x14ac:dyDescent="0.15">
      <c r="A217" s="21"/>
      <c r="B217" s="21"/>
      <c r="C217" s="21"/>
      <c r="D217" s="21"/>
      <c r="E217" s="1"/>
      <c r="F217" s="1"/>
      <c r="G217" s="1"/>
      <c r="H217" s="1"/>
      <c r="I217" s="1"/>
      <c r="J217" s="1"/>
      <c r="K217" s="1"/>
      <c r="L217" s="1"/>
      <c r="M217" s="1"/>
      <c r="N217" s="1"/>
      <c r="O217" s="1"/>
      <c r="P217" s="1"/>
      <c r="Q217" s="1"/>
      <c r="R217" s="1"/>
      <c r="S217" s="1"/>
      <c r="T217" s="1"/>
      <c r="U217" s="1"/>
      <c r="V217" s="1"/>
      <c r="W217" s="1"/>
      <c r="X217" s="1"/>
      <c r="Y217" s="1"/>
      <c r="Z217" s="1"/>
    </row>
    <row r="218" spans="1:26" ht="14" x14ac:dyDescent="0.15">
      <c r="A218" s="21"/>
      <c r="B218" s="21"/>
      <c r="C218" s="21"/>
      <c r="D218" s="21"/>
      <c r="E218" s="1"/>
      <c r="F218" s="1"/>
      <c r="G218" s="1"/>
      <c r="H218" s="1"/>
      <c r="I218" s="1"/>
      <c r="J218" s="1"/>
      <c r="K218" s="1"/>
      <c r="L218" s="1"/>
      <c r="M218" s="1"/>
      <c r="N218" s="1"/>
      <c r="O218" s="1"/>
      <c r="P218" s="1"/>
      <c r="Q218" s="1"/>
      <c r="R218" s="1"/>
      <c r="S218" s="1"/>
      <c r="T218" s="1"/>
      <c r="U218" s="1"/>
      <c r="V218" s="1"/>
      <c r="W218" s="1"/>
      <c r="X218" s="1"/>
      <c r="Y218" s="1"/>
      <c r="Z218" s="1"/>
    </row>
    <row r="219" spans="1:26" ht="14" x14ac:dyDescent="0.15">
      <c r="A219" s="21"/>
      <c r="B219" s="21"/>
      <c r="C219" s="21"/>
      <c r="D219" s="21"/>
      <c r="E219" s="1"/>
      <c r="F219" s="1"/>
      <c r="G219" s="1"/>
      <c r="H219" s="1"/>
      <c r="I219" s="1"/>
      <c r="J219" s="1"/>
      <c r="K219" s="1"/>
      <c r="L219" s="1"/>
      <c r="M219" s="1"/>
      <c r="N219" s="1"/>
      <c r="O219" s="1"/>
      <c r="P219" s="1"/>
      <c r="Q219" s="1"/>
      <c r="R219" s="1"/>
      <c r="S219" s="1"/>
      <c r="T219" s="1"/>
      <c r="U219" s="1"/>
      <c r="V219" s="1"/>
      <c r="W219" s="1"/>
      <c r="X219" s="1"/>
      <c r="Y219" s="1"/>
      <c r="Z219" s="1"/>
    </row>
    <row r="220" spans="1:26" ht="14" x14ac:dyDescent="0.15">
      <c r="A220" s="21"/>
      <c r="B220" s="21"/>
      <c r="C220" s="21"/>
      <c r="D220" s="21"/>
      <c r="E220" s="1"/>
      <c r="F220" s="1"/>
      <c r="G220" s="1"/>
      <c r="H220" s="1"/>
      <c r="I220" s="1"/>
      <c r="J220" s="1"/>
      <c r="K220" s="1"/>
      <c r="L220" s="1"/>
      <c r="M220" s="1"/>
      <c r="N220" s="1"/>
      <c r="O220" s="1"/>
      <c r="P220" s="1"/>
      <c r="Q220" s="1"/>
      <c r="R220" s="1"/>
      <c r="S220" s="1"/>
      <c r="T220" s="1"/>
      <c r="U220" s="1"/>
      <c r="V220" s="1"/>
      <c r="W220" s="1"/>
      <c r="X220" s="1"/>
      <c r="Y220" s="1"/>
      <c r="Z220" s="1"/>
    </row>
    <row r="221" spans="1:26" ht="14" x14ac:dyDescent="0.15">
      <c r="A221" s="21"/>
      <c r="B221" s="21"/>
      <c r="C221" s="21"/>
      <c r="D221" s="21"/>
      <c r="E221" s="1"/>
      <c r="F221" s="1"/>
      <c r="G221" s="1"/>
      <c r="H221" s="1"/>
      <c r="I221" s="1"/>
      <c r="J221" s="1"/>
      <c r="K221" s="1"/>
      <c r="L221" s="1"/>
      <c r="M221" s="1"/>
      <c r="N221" s="1"/>
      <c r="O221" s="1"/>
      <c r="P221" s="1"/>
      <c r="Q221" s="1"/>
      <c r="R221" s="1"/>
      <c r="S221" s="1"/>
      <c r="T221" s="1"/>
      <c r="U221" s="1"/>
      <c r="V221" s="1"/>
      <c r="W221" s="1"/>
      <c r="X221" s="1"/>
      <c r="Y221" s="1"/>
      <c r="Z221" s="1"/>
    </row>
    <row r="222" spans="1:26" ht="14" x14ac:dyDescent="0.15">
      <c r="A222" s="21"/>
      <c r="B222" s="21"/>
      <c r="C222" s="21"/>
      <c r="D222" s="21"/>
      <c r="E222" s="1"/>
      <c r="F222" s="1"/>
      <c r="G222" s="1"/>
      <c r="H222" s="1"/>
      <c r="I222" s="1"/>
      <c r="J222" s="1"/>
      <c r="K222" s="1"/>
      <c r="L222" s="1"/>
      <c r="M222" s="1"/>
      <c r="N222" s="1"/>
      <c r="O222" s="1"/>
      <c r="P222" s="1"/>
      <c r="Q222" s="1"/>
      <c r="R222" s="1"/>
      <c r="S222" s="1"/>
      <c r="T222" s="1"/>
      <c r="U222" s="1"/>
      <c r="V222" s="1"/>
      <c r="W222" s="1"/>
      <c r="X222" s="1"/>
      <c r="Y222" s="1"/>
      <c r="Z222" s="1"/>
    </row>
    <row r="223" spans="1:26" ht="14" x14ac:dyDescent="0.15">
      <c r="A223" s="21"/>
      <c r="B223" s="21"/>
      <c r="C223" s="21"/>
      <c r="D223" s="21"/>
      <c r="E223" s="1"/>
      <c r="F223" s="1"/>
      <c r="G223" s="1"/>
      <c r="H223" s="1"/>
      <c r="I223" s="1"/>
      <c r="J223" s="1"/>
      <c r="K223" s="1"/>
      <c r="L223" s="1"/>
      <c r="M223" s="1"/>
      <c r="N223" s="1"/>
      <c r="O223" s="1"/>
      <c r="P223" s="1"/>
      <c r="Q223" s="1"/>
      <c r="R223" s="1"/>
      <c r="S223" s="1"/>
      <c r="T223" s="1"/>
      <c r="U223" s="1"/>
      <c r="V223" s="1"/>
      <c r="W223" s="1"/>
      <c r="X223" s="1"/>
      <c r="Y223" s="1"/>
      <c r="Z223" s="1"/>
    </row>
    <row r="224" spans="1:26" ht="14" x14ac:dyDescent="0.15">
      <c r="A224" s="21"/>
      <c r="B224" s="21"/>
      <c r="C224" s="21"/>
      <c r="D224" s="21"/>
      <c r="E224" s="1"/>
      <c r="F224" s="1"/>
      <c r="G224" s="1"/>
      <c r="H224" s="1"/>
      <c r="I224" s="1"/>
      <c r="J224" s="1"/>
      <c r="K224" s="1"/>
      <c r="L224" s="1"/>
      <c r="M224" s="1"/>
      <c r="N224" s="1"/>
      <c r="O224" s="1"/>
      <c r="P224" s="1"/>
      <c r="Q224" s="1"/>
      <c r="R224" s="1"/>
      <c r="S224" s="1"/>
      <c r="T224" s="1"/>
      <c r="U224" s="1"/>
      <c r="V224" s="1"/>
      <c r="W224" s="1"/>
      <c r="X224" s="1"/>
      <c r="Y224" s="1"/>
      <c r="Z224" s="1"/>
    </row>
    <row r="225" spans="1:26" ht="14" x14ac:dyDescent="0.15">
      <c r="A225" s="21"/>
      <c r="B225" s="21"/>
      <c r="C225" s="21"/>
      <c r="D225" s="21"/>
      <c r="E225" s="1"/>
      <c r="F225" s="1"/>
      <c r="G225" s="1"/>
      <c r="H225" s="1"/>
      <c r="I225" s="1"/>
      <c r="J225" s="1"/>
      <c r="K225" s="1"/>
      <c r="L225" s="1"/>
      <c r="M225" s="1"/>
      <c r="N225" s="1"/>
      <c r="O225" s="1"/>
      <c r="P225" s="1"/>
      <c r="Q225" s="1"/>
      <c r="R225" s="1"/>
      <c r="S225" s="1"/>
      <c r="T225" s="1"/>
      <c r="U225" s="1"/>
      <c r="V225" s="1"/>
      <c r="W225" s="1"/>
      <c r="X225" s="1"/>
      <c r="Y225" s="1"/>
      <c r="Z225" s="1"/>
    </row>
    <row r="226" spans="1:26" ht="14" x14ac:dyDescent="0.15">
      <c r="A226" s="21"/>
      <c r="B226" s="21"/>
      <c r="C226" s="21"/>
      <c r="D226" s="21"/>
      <c r="E226" s="1"/>
      <c r="F226" s="1"/>
      <c r="G226" s="1"/>
      <c r="H226" s="1"/>
      <c r="I226" s="1"/>
      <c r="J226" s="1"/>
      <c r="K226" s="1"/>
      <c r="L226" s="1"/>
      <c r="M226" s="1"/>
      <c r="N226" s="1"/>
      <c r="O226" s="1"/>
      <c r="P226" s="1"/>
      <c r="Q226" s="1"/>
      <c r="R226" s="1"/>
      <c r="S226" s="1"/>
      <c r="T226" s="1"/>
      <c r="U226" s="1"/>
      <c r="V226" s="1"/>
      <c r="W226" s="1"/>
      <c r="X226" s="1"/>
      <c r="Y226" s="1"/>
      <c r="Z226" s="1"/>
    </row>
    <row r="227" spans="1:26" ht="14" x14ac:dyDescent="0.15">
      <c r="A227" s="21"/>
      <c r="B227" s="21"/>
      <c r="C227" s="21"/>
      <c r="D227" s="21"/>
      <c r="E227" s="1"/>
      <c r="F227" s="1"/>
      <c r="G227" s="1"/>
      <c r="H227" s="1"/>
      <c r="I227" s="1"/>
      <c r="J227" s="1"/>
      <c r="K227" s="1"/>
      <c r="L227" s="1"/>
      <c r="M227" s="1"/>
      <c r="N227" s="1"/>
      <c r="O227" s="1"/>
      <c r="P227" s="1"/>
      <c r="Q227" s="1"/>
      <c r="R227" s="1"/>
      <c r="S227" s="1"/>
      <c r="T227" s="1"/>
      <c r="U227" s="1"/>
      <c r="V227" s="1"/>
      <c r="W227" s="1"/>
      <c r="X227" s="1"/>
      <c r="Y227" s="1"/>
      <c r="Z227" s="1"/>
    </row>
    <row r="228" spans="1:26" ht="14" x14ac:dyDescent="0.15">
      <c r="A228" s="21"/>
      <c r="B228" s="21"/>
      <c r="C228" s="21"/>
      <c r="D228" s="21"/>
      <c r="E228" s="1"/>
      <c r="F228" s="1"/>
      <c r="G228" s="1"/>
      <c r="H228" s="1"/>
      <c r="I228" s="1"/>
      <c r="J228" s="1"/>
      <c r="K228" s="1"/>
      <c r="L228" s="1"/>
      <c r="M228" s="1"/>
      <c r="N228" s="1"/>
      <c r="O228" s="1"/>
      <c r="P228" s="1"/>
      <c r="Q228" s="1"/>
      <c r="R228" s="1"/>
      <c r="S228" s="1"/>
      <c r="T228" s="1"/>
      <c r="U228" s="1"/>
      <c r="V228" s="1"/>
      <c r="W228" s="1"/>
      <c r="X228" s="1"/>
      <c r="Y228" s="1"/>
      <c r="Z228" s="1"/>
    </row>
    <row r="229" spans="1:26" ht="14" x14ac:dyDescent="0.15">
      <c r="A229" s="21"/>
      <c r="B229" s="21"/>
      <c r="C229" s="21"/>
      <c r="D229" s="21"/>
      <c r="E229" s="1"/>
      <c r="F229" s="1"/>
      <c r="G229" s="1"/>
      <c r="H229" s="1"/>
      <c r="I229" s="1"/>
      <c r="J229" s="1"/>
      <c r="K229" s="1"/>
      <c r="L229" s="1"/>
      <c r="M229" s="1"/>
      <c r="N229" s="1"/>
      <c r="O229" s="1"/>
      <c r="P229" s="1"/>
      <c r="Q229" s="1"/>
      <c r="R229" s="1"/>
      <c r="S229" s="1"/>
      <c r="T229" s="1"/>
      <c r="U229" s="1"/>
      <c r="V229" s="1"/>
      <c r="W229" s="1"/>
      <c r="X229" s="1"/>
      <c r="Y229" s="1"/>
      <c r="Z229" s="1"/>
    </row>
    <row r="230" spans="1:26" ht="14" x14ac:dyDescent="0.15">
      <c r="A230" s="21"/>
      <c r="B230" s="21"/>
      <c r="C230" s="21"/>
      <c r="D230" s="21"/>
      <c r="E230" s="1"/>
      <c r="F230" s="1"/>
      <c r="G230" s="1"/>
      <c r="H230" s="1"/>
      <c r="I230" s="1"/>
      <c r="J230" s="1"/>
      <c r="K230" s="1"/>
      <c r="L230" s="1"/>
      <c r="M230" s="1"/>
      <c r="N230" s="1"/>
      <c r="O230" s="1"/>
      <c r="P230" s="1"/>
      <c r="Q230" s="1"/>
      <c r="R230" s="1"/>
      <c r="S230" s="1"/>
      <c r="T230" s="1"/>
      <c r="U230" s="1"/>
      <c r="V230" s="1"/>
      <c r="W230" s="1"/>
      <c r="X230" s="1"/>
      <c r="Y230" s="1"/>
      <c r="Z230" s="1"/>
    </row>
    <row r="231" spans="1:26" ht="14" x14ac:dyDescent="0.15">
      <c r="A231" s="21"/>
      <c r="B231" s="21"/>
      <c r="C231" s="21"/>
      <c r="D231" s="21"/>
      <c r="E231" s="1"/>
      <c r="F231" s="1"/>
      <c r="G231" s="1"/>
      <c r="H231" s="1"/>
      <c r="I231" s="1"/>
      <c r="J231" s="1"/>
      <c r="K231" s="1"/>
      <c r="L231" s="1"/>
      <c r="M231" s="1"/>
      <c r="N231" s="1"/>
      <c r="O231" s="1"/>
      <c r="P231" s="1"/>
      <c r="Q231" s="1"/>
      <c r="R231" s="1"/>
      <c r="S231" s="1"/>
      <c r="T231" s="1"/>
      <c r="U231" s="1"/>
      <c r="V231" s="1"/>
      <c r="W231" s="1"/>
      <c r="X231" s="1"/>
      <c r="Y231" s="1"/>
      <c r="Z231" s="1"/>
    </row>
    <row r="232" spans="1:26" ht="14" x14ac:dyDescent="0.15">
      <c r="A232" s="21"/>
      <c r="B232" s="21"/>
      <c r="C232" s="21"/>
      <c r="D232" s="21"/>
      <c r="E232" s="1"/>
      <c r="F232" s="1"/>
      <c r="G232" s="1"/>
      <c r="H232" s="1"/>
      <c r="I232" s="1"/>
      <c r="J232" s="1"/>
      <c r="K232" s="1"/>
      <c r="L232" s="1"/>
      <c r="M232" s="1"/>
      <c r="N232" s="1"/>
      <c r="O232" s="1"/>
      <c r="P232" s="1"/>
      <c r="Q232" s="1"/>
      <c r="R232" s="1"/>
      <c r="S232" s="1"/>
      <c r="T232" s="1"/>
      <c r="U232" s="1"/>
      <c r="V232" s="1"/>
      <c r="W232" s="1"/>
      <c r="X232" s="1"/>
      <c r="Y232" s="1"/>
      <c r="Z232" s="1"/>
    </row>
    <row r="233" spans="1:26" ht="14" x14ac:dyDescent="0.15">
      <c r="A233" s="21"/>
      <c r="B233" s="21"/>
      <c r="C233" s="21"/>
      <c r="D233" s="21"/>
      <c r="E233" s="1"/>
      <c r="F233" s="1"/>
      <c r="G233" s="1"/>
      <c r="H233" s="1"/>
      <c r="I233" s="1"/>
      <c r="J233" s="1"/>
      <c r="K233" s="1"/>
      <c r="L233" s="1"/>
      <c r="M233" s="1"/>
      <c r="N233" s="1"/>
      <c r="O233" s="1"/>
      <c r="P233" s="1"/>
      <c r="Q233" s="1"/>
      <c r="R233" s="1"/>
      <c r="S233" s="1"/>
      <c r="T233" s="1"/>
      <c r="U233" s="1"/>
      <c r="V233" s="1"/>
      <c r="W233" s="1"/>
      <c r="X233" s="1"/>
      <c r="Y233" s="1"/>
      <c r="Z233" s="1"/>
    </row>
    <row r="234" spans="1:26" ht="14" x14ac:dyDescent="0.15">
      <c r="A234" s="21"/>
      <c r="B234" s="21"/>
      <c r="C234" s="21"/>
      <c r="D234" s="21"/>
      <c r="E234" s="1"/>
      <c r="F234" s="1"/>
      <c r="G234" s="1"/>
      <c r="H234" s="1"/>
      <c r="I234" s="1"/>
      <c r="J234" s="1"/>
      <c r="K234" s="1"/>
      <c r="L234" s="1"/>
      <c r="M234" s="1"/>
      <c r="N234" s="1"/>
      <c r="O234" s="1"/>
      <c r="P234" s="1"/>
      <c r="Q234" s="1"/>
      <c r="R234" s="1"/>
      <c r="S234" s="1"/>
      <c r="T234" s="1"/>
      <c r="U234" s="1"/>
      <c r="V234" s="1"/>
      <c r="W234" s="1"/>
      <c r="X234" s="1"/>
      <c r="Y234" s="1"/>
      <c r="Z234" s="1"/>
    </row>
    <row r="235" spans="1:26" ht="14" x14ac:dyDescent="0.15">
      <c r="A235" s="21"/>
      <c r="B235" s="21"/>
      <c r="C235" s="21"/>
      <c r="D235" s="21"/>
      <c r="E235" s="1"/>
      <c r="F235" s="1"/>
      <c r="G235" s="1"/>
      <c r="H235" s="1"/>
      <c r="I235" s="1"/>
      <c r="J235" s="1"/>
      <c r="K235" s="1"/>
      <c r="L235" s="1"/>
      <c r="M235" s="1"/>
      <c r="N235" s="1"/>
      <c r="O235" s="1"/>
      <c r="P235" s="1"/>
      <c r="Q235" s="1"/>
      <c r="R235" s="1"/>
      <c r="S235" s="1"/>
      <c r="T235" s="1"/>
      <c r="U235" s="1"/>
      <c r="V235" s="1"/>
      <c r="W235" s="1"/>
      <c r="X235" s="1"/>
      <c r="Y235" s="1"/>
      <c r="Z235" s="1"/>
    </row>
    <row r="236" spans="1:26" ht="14" x14ac:dyDescent="0.15">
      <c r="A236" s="21"/>
      <c r="B236" s="21"/>
      <c r="C236" s="21"/>
      <c r="D236" s="21"/>
      <c r="E236" s="1"/>
      <c r="F236" s="1"/>
      <c r="G236" s="1"/>
      <c r="H236" s="1"/>
      <c r="I236" s="1"/>
      <c r="J236" s="1"/>
      <c r="K236" s="1"/>
      <c r="L236" s="1"/>
      <c r="M236" s="1"/>
      <c r="N236" s="1"/>
      <c r="O236" s="1"/>
      <c r="P236" s="1"/>
      <c r="Q236" s="1"/>
      <c r="R236" s="1"/>
      <c r="S236" s="1"/>
      <c r="T236" s="1"/>
      <c r="U236" s="1"/>
      <c r="V236" s="1"/>
      <c r="W236" s="1"/>
      <c r="X236" s="1"/>
      <c r="Y236" s="1"/>
      <c r="Z236" s="1"/>
    </row>
    <row r="237" spans="1:26" ht="14" x14ac:dyDescent="0.15">
      <c r="A237" s="21"/>
      <c r="B237" s="21"/>
      <c r="C237" s="21"/>
      <c r="D237" s="21"/>
      <c r="E237" s="1"/>
      <c r="F237" s="1"/>
      <c r="G237" s="1"/>
      <c r="H237" s="1"/>
      <c r="I237" s="1"/>
      <c r="J237" s="1"/>
      <c r="K237" s="1"/>
      <c r="L237" s="1"/>
      <c r="M237" s="1"/>
      <c r="N237" s="1"/>
      <c r="O237" s="1"/>
      <c r="P237" s="1"/>
      <c r="Q237" s="1"/>
      <c r="R237" s="1"/>
      <c r="S237" s="1"/>
      <c r="T237" s="1"/>
      <c r="U237" s="1"/>
      <c r="V237" s="1"/>
      <c r="W237" s="1"/>
      <c r="X237" s="1"/>
      <c r="Y237" s="1"/>
      <c r="Z237" s="1"/>
    </row>
    <row r="238" spans="1:26" ht="14" x14ac:dyDescent="0.15">
      <c r="A238" s="21"/>
      <c r="B238" s="21"/>
      <c r="C238" s="21"/>
      <c r="D238" s="21"/>
      <c r="E238" s="1"/>
      <c r="F238" s="1"/>
      <c r="G238" s="1"/>
      <c r="H238" s="1"/>
      <c r="I238" s="1"/>
      <c r="J238" s="1"/>
      <c r="K238" s="1"/>
      <c r="L238" s="1"/>
      <c r="M238" s="1"/>
      <c r="N238" s="1"/>
      <c r="O238" s="1"/>
      <c r="P238" s="1"/>
      <c r="Q238" s="1"/>
      <c r="R238" s="1"/>
      <c r="S238" s="1"/>
      <c r="T238" s="1"/>
      <c r="U238" s="1"/>
      <c r="V238" s="1"/>
      <c r="W238" s="1"/>
      <c r="X238" s="1"/>
      <c r="Y238" s="1"/>
      <c r="Z238" s="1"/>
    </row>
    <row r="239" spans="1:26" ht="14" x14ac:dyDescent="0.15">
      <c r="A239" s="21"/>
      <c r="B239" s="21"/>
      <c r="C239" s="21"/>
      <c r="D239" s="21"/>
      <c r="E239" s="1"/>
      <c r="F239" s="1"/>
      <c r="G239" s="1"/>
      <c r="H239" s="1"/>
      <c r="I239" s="1"/>
      <c r="J239" s="1"/>
      <c r="K239" s="1"/>
      <c r="L239" s="1"/>
      <c r="M239" s="1"/>
      <c r="N239" s="1"/>
      <c r="O239" s="1"/>
      <c r="P239" s="1"/>
      <c r="Q239" s="1"/>
      <c r="R239" s="1"/>
      <c r="S239" s="1"/>
      <c r="T239" s="1"/>
      <c r="U239" s="1"/>
      <c r="V239" s="1"/>
      <c r="W239" s="1"/>
      <c r="X239" s="1"/>
      <c r="Y239" s="1"/>
      <c r="Z239" s="1"/>
    </row>
    <row r="240" spans="1:26" ht="14" x14ac:dyDescent="0.15">
      <c r="A240" s="21"/>
      <c r="B240" s="21"/>
      <c r="C240" s="21"/>
      <c r="D240" s="21"/>
      <c r="E240" s="1"/>
      <c r="F240" s="1"/>
      <c r="G240" s="1"/>
      <c r="H240" s="1"/>
      <c r="I240" s="1"/>
      <c r="J240" s="1"/>
      <c r="K240" s="1"/>
      <c r="L240" s="1"/>
      <c r="M240" s="1"/>
      <c r="N240" s="1"/>
      <c r="O240" s="1"/>
      <c r="P240" s="1"/>
      <c r="Q240" s="1"/>
      <c r="R240" s="1"/>
      <c r="S240" s="1"/>
      <c r="T240" s="1"/>
      <c r="U240" s="1"/>
      <c r="V240" s="1"/>
      <c r="W240" s="1"/>
      <c r="X240" s="1"/>
      <c r="Y240" s="1"/>
      <c r="Z240" s="1"/>
    </row>
    <row r="241" spans="1:26" ht="14" x14ac:dyDescent="0.15">
      <c r="A241" s="21"/>
      <c r="B241" s="21"/>
      <c r="C241" s="21"/>
      <c r="D241" s="21"/>
      <c r="E241" s="1"/>
      <c r="F241" s="1"/>
      <c r="G241" s="1"/>
      <c r="H241" s="1"/>
      <c r="I241" s="1"/>
      <c r="J241" s="1"/>
      <c r="K241" s="1"/>
      <c r="L241" s="1"/>
      <c r="M241" s="1"/>
      <c r="N241" s="1"/>
      <c r="O241" s="1"/>
      <c r="P241" s="1"/>
      <c r="Q241" s="1"/>
      <c r="R241" s="1"/>
      <c r="S241" s="1"/>
      <c r="T241" s="1"/>
      <c r="U241" s="1"/>
      <c r="V241" s="1"/>
      <c r="W241" s="1"/>
      <c r="X241" s="1"/>
      <c r="Y241" s="1"/>
      <c r="Z241" s="1"/>
    </row>
    <row r="242" spans="1:26" ht="14" x14ac:dyDescent="0.15">
      <c r="A242" s="21"/>
      <c r="B242" s="21"/>
      <c r="C242" s="21"/>
      <c r="D242" s="21"/>
      <c r="E242" s="1"/>
      <c r="F242" s="1"/>
      <c r="G242" s="1"/>
      <c r="H242" s="1"/>
      <c r="I242" s="1"/>
      <c r="J242" s="1"/>
      <c r="K242" s="1"/>
      <c r="L242" s="1"/>
      <c r="M242" s="1"/>
      <c r="N242" s="1"/>
      <c r="O242" s="1"/>
      <c r="P242" s="1"/>
      <c r="Q242" s="1"/>
      <c r="R242" s="1"/>
      <c r="S242" s="1"/>
      <c r="T242" s="1"/>
      <c r="U242" s="1"/>
      <c r="V242" s="1"/>
      <c r="W242" s="1"/>
      <c r="X242" s="1"/>
      <c r="Y242" s="1"/>
      <c r="Z242" s="1"/>
    </row>
    <row r="243" spans="1:26" ht="14" x14ac:dyDescent="0.15">
      <c r="A243" s="21"/>
      <c r="B243" s="21"/>
      <c r="C243" s="21"/>
      <c r="D243" s="21"/>
      <c r="E243" s="1"/>
      <c r="F243" s="1"/>
      <c r="G243" s="1"/>
      <c r="H243" s="1"/>
      <c r="I243" s="1"/>
      <c r="J243" s="1"/>
      <c r="K243" s="1"/>
      <c r="L243" s="1"/>
      <c r="M243" s="1"/>
      <c r="N243" s="1"/>
      <c r="O243" s="1"/>
      <c r="P243" s="1"/>
      <c r="Q243" s="1"/>
      <c r="R243" s="1"/>
      <c r="S243" s="1"/>
      <c r="T243" s="1"/>
      <c r="U243" s="1"/>
      <c r="V243" s="1"/>
      <c r="W243" s="1"/>
      <c r="X243" s="1"/>
      <c r="Y243" s="1"/>
      <c r="Z243" s="1"/>
    </row>
    <row r="244" spans="1:26" ht="14" x14ac:dyDescent="0.15">
      <c r="A244" s="21"/>
      <c r="B244" s="21"/>
      <c r="C244" s="21"/>
      <c r="D244" s="21"/>
      <c r="E244" s="1"/>
      <c r="F244" s="1"/>
      <c r="G244" s="1"/>
      <c r="H244" s="1"/>
      <c r="I244" s="1"/>
      <c r="J244" s="1"/>
      <c r="K244" s="1"/>
      <c r="L244" s="1"/>
      <c r="M244" s="1"/>
      <c r="N244" s="1"/>
      <c r="O244" s="1"/>
      <c r="P244" s="1"/>
      <c r="Q244" s="1"/>
      <c r="R244" s="1"/>
      <c r="S244" s="1"/>
      <c r="T244" s="1"/>
      <c r="U244" s="1"/>
      <c r="V244" s="1"/>
      <c r="W244" s="1"/>
      <c r="X244" s="1"/>
      <c r="Y244" s="1"/>
      <c r="Z244" s="1"/>
    </row>
    <row r="245" spans="1:26" ht="14" x14ac:dyDescent="0.15">
      <c r="A245" s="21"/>
      <c r="B245" s="21"/>
      <c r="C245" s="21"/>
      <c r="D245" s="21"/>
      <c r="E245" s="1"/>
      <c r="F245" s="1"/>
      <c r="G245" s="1"/>
      <c r="H245" s="1"/>
      <c r="I245" s="1"/>
      <c r="J245" s="1"/>
      <c r="K245" s="1"/>
      <c r="L245" s="1"/>
      <c r="M245" s="1"/>
      <c r="N245" s="1"/>
      <c r="O245" s="1"/>
      <c r="P245" s="1"/>
      <c r="Q245" s="1"/>
      <c r="R245" s="1"/>
      <c r="S245" s="1"/>
      <c r="T245" s="1"/>
      <c r="U245" s="1"/>
      <c r="V245" s="1"/>
      <c r="W245" s="1"/>
      <c r="X245" s="1"/>
      <c r="Y245" s="1"/>
      <c r="Z245" s="1"/>
    </row>
    <row r="246" spans="1:26" ht="14" x14ac:dyDescent="0.15">
      <c r="A246" s="21"/>
      <c r="B246" s="21"/>
      <c r="C246" s="21"/>
      <c r="D246" s="21"/>
      <c r="E246" s="1"/>
      <c r="F246" s="1"/>
      <c r="G246" s="1"/>
      <c r="H246" s="1"/>
      <c r="I246" s="1"/>
      <c r="J246" s="1"/>
      <c r="K246" s="1"/>
      <c r="L246" s="1"/>
      <c r="M246" s="1"/>
      <c r="N246" s="1"/>
      <c r="O246" s="1"/>
      <c r="P246" s="1"/>
      <c r="Q246" s="1"/>
      <c r="R246" s="1"/>
      <c r="S246" s="1"/>
      <c r="T246" s="1"/>
      <c r="U246" s="1"/>
      <c r="V246" s="1"/>
      <c r="W246" s="1"/>
      <c r="X246" s="1"/>
      <c r="Y246" s="1"/>
      <c r="Z246" s="1"/>
    </row>
    <row r="247" spans="1:26" ht="14" x14ac:dyDescent="0.15">
      <c r="A247" s="21"/>
      <c r="B247" s="21"/>
      <c r="C247" s="21"/>
      <c r="D247" s="21"/>
      <c r="E247" s="1"/>
      <c r="F247" s="1"/>
      <c r="G247" s="1"/>
      <c r="H247" s="1"/>
      <c r="I247" s="1"/>
      <c r="J247" s="1"/>
      <c r="K247" s="1"/>
      <c r="L247" s="1"/>
      <c r="M247" s="1"/>
      <c r="N247" s="1"/>
      <c r="O247" s="1"/>
      <c r="P247" s="1"/>
      <c r="Q247" s="1"/>
      <c r="R247" s="1"/>
      <c r="S247" s="1"/>
      <c r="T247" s="1"/>
      <c r="U247" s="1"/>
      <c r="V247" s="1"/>
      <c r="W247" s="1"/>
      <c r="X247" s="1"/>
      <c r="Y247" s="1"/>
      <c r="Z247" s="1"/>
    </row>
    <row r="248" spans="1:26" ht="14" x14ac:dyDescent="0.15">
      <c r="A248" s="21"/>
      <c r="B248" s="21"/>
      <c r="C248" s="21"/>
      <c r="D248" s="21"/>
      <c r="E248" s="1"/>
      <c r="F248" s="1"/>
      <c r="G248" s="1"/>
      <c r="H248" s="1"/>
      <c r="I248" s="1"/>
      <c r="J248" s="1"/>
      <c r="K248" s="1"/>
      <c r="L248" s="1"/>
      <c r="M248" s="1"/>
      <c r="N248" s="1"/>
      <c r="O248" s="1"/>
      <c r="P248" s="1"/>
      <c r="Q248" s="1"/>
      <c r="R248" s="1"/>
      <c r="S248" s="1"/>
      <c r="T248" s="1"/>
      <c r="U248" s="1"/>
      <c r="V248" s="1"/>
      <c r="W248" s="1"/>
      <c r="X248" s="1"/>
      <c r="Y248" s="1"/>
      <c r="Z248" s="1"/>
    </row>
    <row r="249" spans="1:26" ht="14" x14ac:dyDescent="0.15">
      <c r="A249" s="21"/>
      <c r="B249" s="21"/>
      <c r="C249" s="21"/>
      <c r="D249" s="21"/>
      <c r="E249" s="1"/>
      <c r="F249" s="1"/>
      <c r="G249" s="1"/>
      <c r="H249" s="1"/>
      <c r="I249" s="1"/>
      <c r="J249" s="1"/>
      <c r="K249" s="1"/>
      <c r="L249" s="1"/>
      <c r="M249" s="1"/>
      <c r="N249" s="1"/>
      <c r="O249" s="1"/>
      <c r="P249" s="1"/>
      <c r="Q249" s="1"/>
      <c r="R249" s="1"/>
      <c r="S249" s="1"/>
      <c r="T249" s="1"/>
      <c r="U249" s="1"/>
      <c r="V249" s="1"/>
      <c r="W249" s="1"/>
      <c r="X249" s="1"/>
      <c r="Y249" s="1"/>
      <c r="Z249" s="1"/>
    </row>
    <row r="250" spans="1:26" ht="14" x14ac:dyDescent="0.15">
      <c r="A250" s="21"/>
      <c r="B250" s="21"/>
      <c r="C250" s="21"/>
      <c r="D250" s="21"/>
      <c r="E250" s="1"/>
      <c r="F250" s="1"/>
      <c r="G250" s="1"/>
      <c r="H250" s="1"/>
      <c r="I250" s="1"/>
      <c r="J250" s="1"/>
      <c r="K250" s="1"/>
      <c r="L250" s="1"/>
      <c r="M250" s="1"/>
      <c r="N250" s="1"/>
      <c r="O250" s="1"/>
      <c r="P250" s="1"/>
      <c r="Q250" s="1"/>
      <c r="R250" s="1"/>
      <c r="S250" s="1"/>
      <c r="T250" s="1"/>
      <c r="U250" s="1"/>
      <c r="V250" s="1"/>
      <c r="W250" s="1"/>
      <c r="X250" s="1"/>
      <c r="Y250" s="1"/>
      <c r="Z250" s="1"/>
    </row>
    <row r="251" spans="1:26" ht="14" x14ac:dyDescent="0.15">
      <c r="A251" s="21"/>
      <c r="B251" s="21"/>
      <c r="C251" s="21"/>
      <c r="D251" s="21"/>
      <c r="E251" s="1"/>
      <c r="F251" s="1"/>
      <c r="G251" s="1"/>
      <c r="H251" s="1"/>
      <c r="I251" s="1"/>
      <c r="J251" s="1"/>
      <c r="K251" s="1"/>
      <c r="L251" s="1"/>
      <c r="M251" s="1"/>
      <c r="N251" s="1"/>
      <c r="O251" s="1"/>
      <c r="P251" s="1"/>
      <c r="Q251" s="1"/>
      <c r="R251" s="1"/>
      <c r="S251" s="1"/>
      <c r="T251" s="1"/>
      <c r="U251" s="1"/>
      <c r="V251" s="1"/>
      <c r="W251" s="1"/>
      <c r="X251" s="1"/>
      <c r="Y251" s="1"/>
      <c r="Z251" s="1"/>
    </row>
    <row r="252" spans="1:26" ht="14" x14ac:dyDescent="0.15">
      <c r="A252" s="21"/>
      <c r="B252" s="21"/>
      <c r="C252" s="21"/>
      <c r="D252" s="21"/>
      <c r="E252" s="1"/>
      <c r="F252" s="1"/>
      <c r="G252" s="1"/>
      <c r="H252" s="1"/>
      <c r="I252" s="1"/>
      <c r="J252" s="1"/>
      <c r="K252" s="1"/>
      <c r="L252" s="1"/>
      <c r="M252" s="1"/>
      <c r="N252" s="1"/>
      <c r="O252" s="1"/>
      <c r="P252" s="1"/>
      <c r="Q252" s="1"/>
      <c r="R252" s="1"/>
      <c r="S252" s="1"/>
      <c r="T252" s="1"/>
      <c r="U252" s="1"/>
      <c r="V252" s="1"/>
      <c r="W252" s="1"/>
      <c r="X252" s="1"/>
      <c r="Y252" s="1"/>
      <c r="Z252" s="1"/>
    </row>
    <row r="253" spans="1:26" ht="14" x14ac:dyDescent="0.15">
      <c r="A253" s="21"/>
      <c r="B253" s="21"/>
      <c r="C253" s="21"/>
      <c r="D253" s="21"/>
      <c r="E253" s="1"/>
      <c r="F253" s="1"/>
      <c r="G253" s="1"/>
      <c r="H253" s="1"/>
      <c r="I253" s="1"/>
      <c r="J253" s="1"/>
      <c r="K253" s="1"/>
      <c r="L253" s="1"/>
      <c r="M253" s="1"/>
      <c r="N253" s="1"/>
      <c r="O253" s="1"/>
      <c r="P253" s="1"/>
      <c r="Q253" s="1"/>
      <c r="R253" s="1"/>
      <c r="S253" s="1"/>
      <c r="T253" s="1"/>
      <c r="U253" s="1"/>
      <c r="V253" s="1"/>
      <c r="W253" s="1"/>
      <c r="X253" s="1"/>
      <c r="Y253" s="1"/>
      <c r="Z253" s="1"/>
    </row>
    <row r="254" spans="1:26" ht="14" x14ac:dyDescent="0.15">
      <c r="A254" s="21"/>
      <c r="B254" s="21"/>
      <c r="C254" s="21"/>
      <c r="D254" s="21"/>
      <c r="E254" s="1"/>
      <c r="F254" s="1"/>
      <c r="G254" s="1"/>
      <c r="H254" s="1"/>
      <c r="I254" s="1"/>
      <c r="J254" s="1"/>
      <c r="K254" s="1"/>
      <c r="L254" s="1"/>
      <c r="M254" s="1"/>
      <c r="N254" s="1"/>
      <c r="O254" s="1"/>
      <c r="P254" s="1"/>
      <c r="Q254" s="1"/>
      <c r="R254" s="1"/>
      <c r="S254" s="1"/>
      <c r="T254" s="1"/>
      <c r="U254" s="1"/>
      <c r="V254" s="1"/>
      <c r="W254" s="1"/>
      <c r="X254" s="1"/>
      <c r="Y254" s="1"/>
      <c r="Z254" s="1"/>
    </row>
    <row r="255" spans="1:26" ht="14" x14ac:dyDescent="0.15">
      <c r="A255" s="21"/>
      <c r="B255" s="21"/>
      <c r="C255" s="21"/>
      <c r="D255" s="21"/>
      <c r="E255" s="1"/>
      <c r="F255" s="1"/>
      <c r="G255" s="1"/>
      <c r="H255" s="1"/>
      <c r="I255" s="1"/>
      <c r="J255" s="1"/>
      <c r="K255" s="1"/>
      <c r="L255" s="1"/>
      <c r="M255" s="1"/>
      <c r="N255" s="1"/>
      <c r="O255" s="1"/>
      <c r="P255" s="1"/>
      <c r="Q255" s="1"/>
      <c r="R255" s="1"/>
      <c r="S255" s="1"/>
      <c r="T255" s="1"/>
      <c r="U255" s="1"/>
      <c r="V255" s="1"/>
      <c r="W255" s="1"/>
      <c r="X255" s="1"/>
      <c r="Y255" s="1"/>
      <c r="Z255" s="1"/>
    </row>
    <row r="256" spans="1:26" ht="14" x14ac:dyDescent="0.15">
      <c r="A256" s="21"/>
      <c r="B256" s="21"/>
      <c r="C256" s="21"/>
      <c r="D256" s="21"/>
      <c r="E256" s="1"/>
      <c r="F256" s="1"/>
      <c r="G256" s="1"/>
      <c r="H256" s="1"/>
      <c r="I256" s="1"/>
      <c r="J256" s="1"/>
      <c r="K256" s="1"/>
      <c r="L256" s="1"/>
      <c r="M256" s="1"/>
      <c r="N256" s="1"/>
      <c r="O256" s="1"/>
      <c r="P256" s="1"/>
      <c r="Q256" s="1"/>
      <c r="R256" s="1"/>
      <c r="S256" s="1"/>
      <c r="T256" s="1"/>
      <c r="U256" s="1"/>
      <c r="V256" s="1"/>
      <c r="W256" s="1"/>
      <c r="X256" s="1"/>
      <c r="Y256" s="1"/>
      <c r="Z256" s="1"/>
    </row>
    <row r="257" spans="1:26" ht="14" x14ac:dyDescent="0.15">
      <c r="A257" s="21"/>
      <c r="B257" s="21"/>
      <c r="C257" s="21"/>
      <c r="D257" s="21"/>
      <c r="E257" s="1"/>
      <c r="F257" s="1"/>
      <c r="G257" s="1"/>
      <c r="H257" s="1"/>
      <c r="I257" s="1"/>
      <c r="J257" s="1"/>
      <c r="K257" s="1"/>
      <c r="L257" s="1"/>
      <c r="M257" s="1"/>
      <c r="N257" s="1"/>
      <c r="O257" s="1"/>
      <c r="P257" s="1"/>
      <c r="Q257" s="1"/>
      <c r="R257" s="1"/>
      <c r="S257" s="1"/>
      <c r="T257" s="1"/>
      <c r="U257" s="1"/>
      <c r="V257" s="1"/>
      <c r="W257" s="1"/>
      <c r="X257" s="1"/>
      <c r="Y257" s="1"/>
      <c r="Z257" s="1"/>
    </row>
    <row r="258" spans="1:26" ht="14" x14ac:dyDescent="0.15">
      <c r="A258" s="21"/>
      <c r="B258" s="21"/>
      <c r="C258" s="21"/>
      <c r="D258" s="21"/>
      <c r="E258" s="1"/>
      <c r="F258" s="1"/>
      <c r="G258" s="1"/>
      <c r="H258" s="1"/>
      <c r="I258" s="1"/>
      <c r="J258" s="1"/>
      <c r="K258" s="1"/>
      <c r="L258" s="1"/>
      <c r="M258" s="1"/>
      <c r="N258" s="1"/>
      <c r="O258" s="1"/>
      <c r="P258" s="1"/>
      <c r="Q258" s="1"/>
      <c r="R258" s="1"/>
      <c r="S258" s="1"/>
      <c r="T258" s="1"/>
      <c r="U258" s="1"/>
      <c r="V258" s="1"/>
      <c r="W258" s="1"/>
      <c r="X258" s="1"/>
      <c r="Y258" s="1"/>
      <c r="Z258" s="1"/>
    </row>
    <row r="259" spans="1:26" ht="14" x14ac:dyDescent="0.15">
      <c r="A259" s="21"/>
      <c r="B259" s="21"/>
      <c r="C259" s="21"/>
      <c r="D259" s="21"/>
      <c r="E259" s="1"/>
      <c r="F259" s="1"/>
      <c r="G259" s="1"/>
      <c r="H259" s="1"/>
      <c r="I259" s="1"/>
      <c r="J259" s="1"/>
      <c r="K259" s="1"/>
      <c r="L259" s="1"/>
      <c r="M259" s="1"/>
      <c r="N259" s="1"/>
      <c r="O259" s="1"/>
      <c r="P259" s="1"/>
      <c r="Q259" s="1"/>
      <c r="R259" s="1"/>
      <c r="S259" s="1"/>
      <c r="T259" s="1"/>
      <c r="U259" s="1"/>
      <c r="V259" s="1"/>
      <c r="W259" s="1"/>
      <c r="X259" s="1"/>
      <c r="Y259" s="1"/>
      <c r="Z259" s="1"/>
    </row>
    <row r="260" spans="1:26" ht="14" x14ac:dyDescent="0.15">
      <c r="A260" s="21"/>
      <c r="B260" s="21"/>
      <c r="C260" s="21"/>
      <c r="D260" s="21"/>
      <c r="E260" s="1"/>
      <c r="F260" s="1"/>
      <c r="G260" s="1"/>
      <c r="H260" s="1"/>
      <c r="I260" s="1"/>
      <c r="J260" s="1"/>
      <c r="K260" s="1"/>
      <c r="L260" s="1"/>
      <c r="M260" s="1"/>
      <c r="N260" s="1"/>
      <c r="O260" s="1"/>
      <c r="P260" s="1"/>
      <c r="Q260" s="1"/>
      <c r="R260" s="1"/>
      <c r="S260" s="1"/>
      <c r="T260" s="1"/>
      <c r="U260" s="1"/>
      <c r="V260" s="1"/>
      <c r="W260" s="1"/>
      <c r="X260" s="1"/>
      <c r="Y260" s="1"/>
      <c r="Z260" s="1"/>
    </row>
    <row r="261" spans="1:26" ht="14" x14ac:dyDescent="0.15">
      <c r="A261" s="21"/>
      <c r="B261" s="21"/>
      <c r="C261" s="21"/>
      <c r="D261" s="21"/>
      <c r="E261" s="1"/>
      <c r="F261" s="1"/>
      <c r="G261" s="1"/>
      <c r="H261" s="1"/>
      <c r="I261" s="1"/>
      <c r="J261" s="1"/>
      <c r="K261" s="1"/>
      <c r="L261" s="1"/>
      <c r="M261" s="1"/>
      <c r="N261" s="1"/>
      <c r="O261" s="1"/>
      <c r="P261" s="1"/>
      <c r="Q261" s="1"/>
      <c r="R261" s="1"/>
      <c r="S261" s="1"/>
      <c r="T261" s="1"/>
      <c r="U261" s="1"/>
      <c r="V261" s="1"/>
      <c r="W261" s="1"/>
      <c r="X261" s="1"/>
      <c r="Y261" s="1"/>
      <c r="Z261" s="1"/>
    </row>
    <row r="262" spans="1:26" ht="14" x14ac:dyDescent="0.15">
      <c r="A262" s="21"/>
      <c r="B262" s="21"/>
      <c r="C262" s="21"/>
      <c r="D262" s="21"/>
      <c r="E262" s="1"/>
      <c r="F262" s="1"/>
      <c r="G262" s="1"/>
      <c r="H262" s="1"/>
      <c r="I262" s="1"/>
      <c r="J262" s="1"/>
      <c r="K262" s="1"/>
      <c r="L262" s="1"/>
      <c r="M262" s="1"/>
      <c r="N262" s="1"/>
      <c r="O262" s="1"/>
      <c r="P262" s="1"/>
      <c r="Q262" s="1"/>
      <c r="R262" s="1"/>
      <c r="S262" s="1"/>
      <c r="T262" s="1"/>
      <c r="U262" s="1"/>
      <c r="V262" s="1"/>
      <c r="W262" s="1"/>
      <c r="X262" s="1"/>
      <c r="Y262" s="1"/>
      <c r="Z262" s="1"/>
    </row>
    <row r="263" spans="1:26" ht="14" x14ac:dyDescent="0.15">
      <c r="A263" s="21"/>
      <c r="B263" s="21"/>
      <c r="C263" s="21"/>
      <c r="D263" s="21"/>
      <c r="E263" s="1"/>
      <c r="F263" s="1"/>
      <c r="G263" s="1"/>
      <c r="H263" s="1"/>
      <c r="I263" s="1"/>
      <c r="J263" s="1"/>
      <c r="K263" s="1"/>
      <c r="L263" s="1"/>
      <c r="M263" s="1"/>
      <c r="N263" s="1"/>
      <c r="O263" s="1"/>
      <c r="P263" s="1"/>
      <c r="Q263" s="1"/>
      <c r="R263" s="1"/>
      <c r="S263" s="1"/>
      <c r="T263" s="1"/>
      <c r="U263" s="1"/>
      <c r="V263" s="1"/>
      <c r="W263" s="1"/>
      <c r="X263" s="1"/>
      <c r="Y263" s="1"/>
      <c r="Z263" s="1"/>
    </row>
    <row r="264" spans="1:26" ht="14" x14ac:dyDescent="0.15">
      <c r="A264" s="21"/>
      <c r="B264" s="21"/>
      <c r="C264" s="21"/>
      <c r="D264" s="21"/>
      <c r="E264" s="1"/>
      <c r="F264" s="1"/>
      <c r="G264" s="1"/>
      <c r="H264" s="1"/>
      <c r="I264" s="1"/>
      <c r="J264" s="1"/>
      <c r="K264" s="1"/>
      <c r="L264" s="1"/>
      <c r="M264" s="1"/>
      <c r="N264" s="1"/>
      <c r="O264" s="1"/>
      <c r="P264" s="1"/>
      <c r="Q264" s="1"/>
      <c r="R264" s="1"/>
      <c r="S264" s="1"/>
      <c r="T264" s="1"/>
      <c r="U264" s="1"/>
      <c r="V264" s="1"/>
      <c r="W264" s="1"/>
      <c r="X264" s="1"/>
      <c r="Y264" s="1"/>
      <c r="Z264" s="1"/>
    </row>
    <row r="265" spans="1:26" ht="14" x14ac:dyDescent="0.15">
      <c r="A265" s="21"/>
      <c r="B265" s="21"/>
      <c r="C265" s="21"/>
      <c r="D265" s="21"/>
      <c r="E265" s="1"/>
      <c r="F265" s="1"/>
      <c r="G265" s="1"/>
      <c r="H265" s="1"/>
      <c r="I265" s="1"/>
      <c r="J265" s="1"/>
      <c r="K265" s="1"/>
      <c r="L265" s="1"/>
      <c r="M265" s="1"/>
      <c r="N265" s="1"/>
      <c r="O265" s="1"/>
      <c r="P265" s="1"/>
      <c r="Q265" s="1"/>
      <c r="R265" s="1"/>
      <c r="S265" s="1"/>
      <c r="T265" s="1"/>
      <c r="U265" s="1"/>
      <c r="V265" s="1"/>
      <c r="W265" s="1"/>
      <c r="X265" s="1"/>
      <c r="Y265" s="1"/>
      <c r="Z265" s="1"/>
    </row>
    <row r="266" spans="1:26" ht="14" x14ac:dyDescent="0.15">
      <c r="A266" s="21"/>
      <c r="B266" s="21"/>
      <c r="C266" s="21"/>
      <c r="D266" s="21"/>
      <c r="E266" s="1"/>
      <c r="F266" s="1"/>
      <c r="G266" s="1"/>
      <c r="H266" s="1"/>
      <c r="I266" s="1"/>
      <c r="J266" s="1"/>
      <c r="K266" s="1"/>
      <c r="L266" s="1"/>
      <c r="M266" s="1"/>
      <c r="N266" s="1"/>
      <c r="O266" s="1"/>
      <c r="P266" s="1"/>
      <c r="Q266" s="1"/>
      <c r="R266" s="1"/>
      <c r="S266" s="1"/>
      <c r="T266" s="1"/>
      <c r="U266" s="1"/>
      <c r="V266" s="1"/>
      <c r="W266" s="1"/>
      <c r="X266" s="1"/>
      <c r="Y266" s="1"/>
      <c r="Z266" s="1"/>
    </row>
    <row r="267" spans="1:26" ht="14" x14ac:dyDescent="0.15">
      <c r="A267" s="21"/>
      <c r="B267" s="21"/>
      <c r="C267" s="21"/>
      <c r="D267" s="21"/>
      <c r="E267" s="1"/>
      <c r="F267" s="1"/>
      <c r="G267" s="1"/>
      <c r="H267" s="1"/>
      <c r="I267" s="1"/>
      <c r="J267" s="1"/>
      <c r="K267" s="1"/>
      <c r="L267" s="1"/>
      <c r="M267" s="1"/>
      <c r="N267" s="1"/>
      <c r="O267" s="1"/>
      <c r="P267" s="1"/>
      <c r="Q267" s="1"/>
      <c r="R267" s="1"/>
      <c r="S267" s="1"/>
      <c r="T267" s="1"/>
      <c r="U267" s="1"/>
      <c r="V267" s="1"/>
      <c r="W267" s="1"/>
      <c r="X267" s="1"/>
      <c r="Y267" s="1"/>
      <c r="Z267" s="1"/>
    </row>
    <row r="268" spans="1:26" ht="14" x14ac:dyDescent="0.15">
      <c r="A268" s="21"/>
      <c r="B268" s="21"/>
      <c r="C268" s="21"/>
      <c r="D268" s="21"/>
      <c r="E268" s="1"/>
      <c r="F268" s="1"/>
      <c r="G268" s="1"/>
      <c r="H268" s="1"/>
      <c r="I268" s="1"/>
      <c r="J268" s="1"/>
      <c r="K268" s="1"/>
      <c r="L268" s="1"/>
      <c r="M268" s="1"/>
      <c r="N268" s="1"/>
      <c r="O268" s="1"/>
      <c r="P268" s="1"/>
      <c r="Q268" s="1"/>
      <c r="R268" s="1"/>
      <c r="S268" s="1"/>
      <c r="T268" s="1"/>
      <c r="U268" s="1"/>
      <c r="V268" s="1"/>
      <c r="W268" s="1"/>
      <c r="X268" s="1"/>
      <c r="Y268" s="1"/>
      <c r="Z268" s="1"/>
    </row>
    <row r="269" spans="1:26" ht="14" x14ac:dyDescent="0.15">
      <c r="A269" s="21"/>
      <c r="B269" s="21"/>
      <c r="C269" s="21"/>
      <c r="D269" s="21"/>
      <c r="E269" s="1"/>
      <c r="F269" s="1"/>
      <c r="G269" s="1"/>
      <c r="H269" s="1"/>
      <c r="I269" s="1"/>
      <c r="J269" s="1"/>
      <c r="K269" s="1"/>
      <c r="L269" s="1"/>
      <c r="M269" s="1"/>
      <c r="N269" s="1"/>
      <c r="O269" s="1"/>
      <c r="P269" s="1"/>
      <c r="Q269" s="1"/>
      <c r="R269" s="1"/>
      <c r="S269" s="1"/>
      <c r="T269" s="1"/>
      <c r="U269" s="1"/>
      <c r="V269" s="1"/>
      <c r="W269" s="1"/>
      <c r="X269" s="1"/>
      <c r="Y269" s="1"/>
      <c r="Z269" s="1"/>
    </row>
    <row r="270" spans="1:26" ht="14" x14ac:dyDescent="0.15">
      <c r="A270" s="21"/>
      <c r="B270" s="21"/>
      <c r="C270" s="21"/>
      <c r="D270" s="21"/>
      <c r="E270" s="1"/>
      <c r="F270" s="1"/>
      <c r="G270" s="1"/>
      <c r="H270" s="1"/>
      <c r="I270" s="1"/>
      <c r="J270" s="1"/>
      <c r="K270" s="1"/>
      <c r="L270" s="1"/>
      <c r="M270" s="1"/>
      <c r="N270" s="1"/>
      <c r="O270" s="1"/>
      <c r="P270" s="1"/>
      <c r="Q270" s="1"/>
      <c r="R270" s="1"/>
      <c r="S270" s="1"/>
      <c r="T270" s="1"/>
      <c r="U270" s="1"/>
      <c r="V270" s="1"/>
      <c r="W270" s="1"/>
      <c r="X270" s="1"/>
      <c r="Y270" s="1"/>
      <c r="Z270" s="1"/>
    </row>
    <row r="271" spans="1:26" ht="14" x14ac:dyDescent="0.15">
      <c r="A271" s="21"/>
      <c r="B271" s="21"/>
      <c r="C271" s="21"/>
      <c r="D271" s="21"/>
      <c r="E271" s="1"/>
      <c r="F271" s="1"/>
      <c r="G271" s="1"/>
      <c r="H271" s="1"/>
      <c r="I271" s="1"/>
      <c r="J271" s="1"/>
      <c r="K271" s="1"/>
      <c r="L271" s="1"/>
      <c r="M271" s="1"/>
      <c r="N271" s="1"/>
      <c r="O271" s="1"/>
      <c r="P271" s="1"/>
      <c r="Q271" s="1"/>
      <c r="R271" s="1"/>
      <c r="S271" s="1"/>
      <c r="T271" s="1"/>
      <c r="U271" s="1"/>
      <c r="V271" s="1"/>
      <c r="W271" s="1"/>
      <c r="X271" s="1"/>
      <c r="Y271" s="1"/>
      <c r="Z271" s="1"/>
    </row>
    <row r="272" spans="1:26" ht="14" x14ac:dyDescent="0.15">
      <c r="A272" s="21"/>
      <c r="B272" s="21"/>
      <c r="C272" s="21"/>
      <c r="D272" s="21"/>
      <c r="E272" s="1"/>
      <c r="F272" s="1"/>
      <c r="G272" s="1"/>
      <c r="H272" s="1"/>
      <c r="I272" s="1"/>
      <c r="J272" s="1"/>
      <c r="K272" s="1"/>
      <c r="L272" s="1"/>
      <c r="M272" s="1"/>
      <c r="N272" s="1"/>
      <c r="O272" s="1"/>
      <c r="P272" s="1"/>
      <c r="Q272" s="1"/>
      <c r="R272" s="1"/>
      <c r="S272" s="1"/>
      <c r="T272" s="1"/>
      <c r="U272" s="1"/>
      <c r="V272" s="1"/>
      <c r="W272" s="1"/>
      <c r="X272" s="1"/>
      <c r="Y272" s="1"/>
      <c r="Z272" s="1"/>
    </row>
    <row r="273" spans="1:26" ht="14" x14ac:dyDescent="0.15">
      <c r="A273" s="21"/>
      <c r="B273" s="21"/>
      <c r="C273" s="21"/>
      <c r="D273" s="21"/>
      <c r="E273" s="1"/>
      <c r="F273" s="1"/>
      <c r="G273" s="1"/>
      <c r="H273" s="1"/>
      <c r="I273" s="1"/>
      <c r="J273" s="1"/>
      <c r="K273" s="1"/>
      <c r="L273" s="1"/>
      <c r="M273" s="1"/>
      <c r="N273" s="1"/>
      <c r="O273" s="1"/>
      <c r="P273" s="1"/>
      <c r="Q273" s="1"/>
      <c r="R273" s="1"/>
      <c r="S273" s="1"/>
      <c r="T273" s="1"/>
      <c r="U273" s="1"/>
      <c r="V273" s="1"/>
      <c r="W273" s="1"/>
      <c r="X273" s="1"/>
      <c r="Y273" s="1"/>
      <c r="Z273" s="1"/>
    </row>
    <row r="274" spans="1:26" ht="14" x14ac:dyDescent="0.15">
      <c r="A274" s="21"/>
      <c r="B274" s="21"/>
      <c r="C274" s="21"/>
      <c r="D274" s="21"/>
      <c r="E274" s="1"/>
      <c r="F274" s="1"/>
      <c r="G274" s="1"/>
      <c r="H274" s="1"/>
      <c r="I274" s="1"/>
      <c r="J274" s="1"/>
      <c r="K274" s="1"/>
      <c r="L274" s="1"/>
      <c r="M274" s="1"/>
      <c r="N274" s="1"/>
      <c r="O274" s="1"/>
      <c r="P274" s="1"/>
      <c r="Q274" s="1"/>
      <c r="R274" s="1"/>
      <c r="S274" s="1"/>
      <c r="T274" s="1"/>
      <c r="U274" s="1"/>
      <c r="V274" s="1"/>
      <c r="W274" s="1"/>
      <c r="X274" s="1"/>
      <c r="Y274" s="1"/>
      <c r="Z274" s="1"/>
    </row>
    <row r="275" spans="1:26" ht="14" x14ac:dyDescent="0.15">
      <c r="A275" s="21"/>
      <c r="B275" s="21"/>
      <c r="C275" s="21"/>
      <c r="D275" s="21"/>
      <c r="E275" s="1"/>
      <c r="F275" s="1"/>
      <c r="G275" s="1"/>
      <c r="H275" s="1"/>
      <c r="I275" s="1"/>
      <c r="J275" s="1"/>
      <c r="K275" s="1"/>
      <c r="L275" s="1"/>
      <c r="M275" s="1"/>
      <c r="N275" s="1"/>
      <c r="O275" s="1"/>
      <c r="P275" s="1"/>
      <c r="Q275" s="1"/>
      <c r="R275" s="1"/>
      <c r="S275" s="1"/>
      <c r="T275" s="1"/>
      <c r="U275" s="1"/>
      <c r="V275" s="1"/>
      <c r="W275" s="1"/>
      <c r="X275" s="1"/>
      <c r="Y275" s="1"/>
      <c r="Z275" s="1"/>
    </row>
    <row r="276" spans="1:26" ht="14" x14ac:dyDescent="0.15">
      <c r="A276" s="21"/>
      <c r="B276" s="21"/>
      <c r="C276" s="21"/>
      <c r="D276" s="21"/>
      <c r="E276" s="1"/>
      <c r="F276" s="1"/>
      <c r="G276" s="1"/>
      <c r="H276" s="1"/>
      <c r="I276" s="1"/>
      <c r="J276" s="1"/>
      <c r="K276" s="1"/>
      <c r="L276" s="1"/>
      <c r="M276" s="1"/>
      <c r="N276" s="1"/>
      <c r="O276" s="1"/>
      <c r="P276" s="1"/>
      <c r="Q276" s="1"/>
      <c r="R276" s="1"/>
      <c r="S276" s="1"/>
      <c r="T276" s="1"/>
      <c r="U276" s="1"/>
      <c r="V276" s="1"/>
      <c r="W276" s="1"/>
      <c r="X276" s="1"/>
      <c r="Y276" s="1"/>
      <c r="Z276" s="1"/>
    </row>
    <row r="277" spans="1:26" ht="14" x14ac:dyDescent="0.15">
      <c r="A277" s="21"/>
      <c r="B277" s="21"/>
      <c r="C277" s="21"/>
      <c r="D277" s="21"/>
      <c r="E277" s="1"/>
      <c r="F277" s="1"/>
      <c r="G277" s="1"/>
      <c r="H277" s="1"/>
      <c r="I277" s="1"/>
      <c r="J277" s="1"/>
      <c r="K277" s="1"/>
      <c r="L277" s="1"/>
      <c r="M277" s="1"/>
      <c r="N277" s="1"/>
      <c r="O277" s="1"/>
      <c r="P277" s="1"/>
      <c r="Q277" s="1"/>
      <c r="R277" s="1"/>
      <c r="S277" s="1"/>
      <c r="T277" s="1"/>
      <c r="U277" s="1"/>
      <c r="V277" s="1"/>
      <c r="W277" s="1"/>
      <c r="X277" s="1"/>
      <c r="Y277" s="1"/>
      <c r="Z277" s="1"/>
    </row>
    <row r="278" spans="1:26" ht="14" x14ac:dyDescent="0.15">
      <c r="A278" s="21"/>
      <c r="B278" s="21"/>
      <c r="C278" s="21"/>
      <c r="D278" s="21"/>
      <c r="E278" s="1"/>
      <c r="F278" s="1"/>
      <c r="G278" s="1"/>
      <c r="H278" s="1"/>
      <c r="I278" s="1"/>
      <c r="J278" s="1"/>
      <c r="K278" s="1"/>
      <c r="L278" s="1"/>
      <c r="M278" s="1"/>
      <c r="N278" s="1"/>
      <c r="O278" s="1"/>
      <c r="P278" s="1"/>
      <c r="Q278" s="1"/>
      <c r="R278" s="1"/>
      <c r="S278" s="1"/>
      <c r="T278" s="1"/>
      <c r="U278" s="1"/>
      <c r="V278" s="1"/>
      <c r="W278" s="1"/>
      <c r="X278" s="1"/>
      <c r="Y278" s="1"/>
      <c r="Z278" s="1"/>
    </row>
    <row r="279" spans="1:26" ht="14" x14ac:dyDescent="0.15">
      <c r="A279" s="21"/>
      <c r="B279" s="21"/>
      <c r="C279" s="21"/>
      <c r="D279" s="21"/>
      <c r="E279" s="1"/>
      <c r="F279" s="1"/>
      <c r="G279" s="1"/>
      <c r="H279" s="1"/>
      <c r="I279" s="1"/>
      <c r="J279" s="1"/>
      <c r="K279" s="1"/>
      <c r="L279" s="1"/>
      <c r="M279" s="1"/>
      <c r="N279" s="1"/>
      <c r="O279" s="1"/>
      <c r="P279" s="1"/>
      <c r="Q279" s="1"/>
      <c r="R279" s="1"/>
      <c r="S279" s="1"/>
      <c r="T279" s="1"/>
      <c r="U279" s="1"/>
      <c r="V279" s="1"/>
      <c r="W279" s="1"/>
      <c r="X279" s="1"/>
      <c r="Y279" s="1"/>
      <c r="Z279" s="1"/>
    </row>
    <row r="280" spans="1:26" ht="14" x14ac:dyDescent="0.15">
      <c r="A280" s="21"/>
      <c r="B280" s="21"/>
      <c r="C280" s="21"/>
      <c r="D280" s="21"/>
      <c r="E280" s="1"/>
      <c r="F280" s="1"/>
      <c r="G280" s="1"/>
      <c r="H280" s="1"/>
      <c r="I280" s="1"/>
      <c r="J280" s="1"/>
      <c r="K280" s="1"/>
      <c r="L280" s="1"/>
      <c r="M280" s="1"/>
      <c r="N280" s="1"/>
      <c r="O280" s="1"/>
      <c r="P280" s="1"/>
      <c r="Q280" s="1"/>
      <c r="R280" s="1"/>
      <c r="S280" s="1"/>
      <c r="T280" s="1"/>
      <c r="U280" s="1"/>
      <c r="V280" s="1"/>
      <c r="W280" s="1"/>
      <c r="X280" s="1"/>
      <c r="Y280" s="1"/>
      <c r="Z280" s="1"/>
    </row>
    <row r="281" spans="1:26" ht="14" x14ac:dyDescent="0.15">
      <c r="A281" s="21"/>
      <c r="B281" s="21"/>
      <c r="C281" s="21"/>
      <c r="D281" s="21"/>
      <c r="E281" s="1"/>
      <c r="F281" s="1"/>
      <c r="G281" s="1"/>
      <c r="H281" s="1"/>
      <c r="I281" s="1"/>
      <c r="J281" s="1"/>
      <c r="K281" s="1"/>
      <c r="L281" s="1"/>
      <c r="M281" s="1"/>
      <c r="N281" s="1"/>
      <c r="O281" s="1"/>
      <c r="P281" s="1"/>
      <c r="Q281" s="1"/>
      <c r="R281" s="1"/>
      <c r="S281" s="1"/>
      <c r="T281" s="1"/>
      <c r="U281" s="1"/>
      <c r="V281" s="1"/>
      <c r="W281" s="1"/>
      <c r="X281" s="1"/>
      <c r="Y281" s="1"/>
      <c r="Z281" s="1"/>
    </row>
    <row r="282" spans="1:26" ht="14" x14ac:dyDescent="0.15">
      <c r="A282" s="21"/>
      <c r="B282" s="21"/>
      <c r="C282" s="21"/>
      <c r="D282" s="21"/>
      <c r="E282" s="1"/>
      <c r="F282" s="1"/>
      <c r="G282" s="1"/>
      <c r="H282" s="1"/>
      <c r="I282" s="1"/>
      <c r="J282" s="1"/>
      <c r="K282" s="1"/>
      <c r="L282" s="1"/>
      <c r="M282" s="1"/>
      <c r="N282" s="1"/>
      <c r="O282" s="1"/>
      <c r="P282" s="1"/>
      <c r="Q282" s="1"/>
      <c r="R282" s="1"/>
      <c r="S282" s="1"/>
      <c r="T282" s="1"/>
      <c r="U282" s="1"/>
      <c r="V282" s="1"/>
      <c r="W282" s="1"/>
      <c r="X282" s="1"/>
      <c r="Y282" s="1"/>
      <c r="Z282" s="1"/>
    </row>
    <row r="283" spans="1:26" ht="14" x14ac:dyDescent="0.15">
      <c r="A283" s="21"/>
      <c r="B283" s="21"/>
      <c r="C283" s="21"/>
      <c r="D283" s="21"/>
      <c r="E283" s="1"/>
      <c r="F283" s="1"/>
      <c r="G283" s="1"/>
      <c r="H283" s="1"/>
      <c r="I283" s="1"/>
      <c r="J283" s="1"/>
      <c r="K283" s="1"/>
      <c r="L283" s="1"/>
      <c r="M283" s="1"/>
      <c r="N283" s="1"/>
      <c r="O283" s="1"/>
      <c r="P283" s="1"/>
      <c r="Q283" s="1"/>
      <c r="R283" s="1"/>
      <c r="S283" s="1"/>
      <c r="T283" s="1"/>
      <c r="U283" s="1"/>
      <c r="V283" s="1"/>
      <c r="W283" s="1"/>
      <c r="X283" s="1"/>
      <c r="Y283" s="1"/>
      <c r="Z283" s="1"/>
    </row>
    <row r="284" spans="1:26" ht="14" x14ac:dyDescent="0.15">
      <c r="A284" s="21"/>
      <c r="B284" s="21"/>
      <c r="C284" s="21"/>
      <c r="D284" s="21"/>
      <c r="E284" s="1"/>
      <c r="F284" s="1"/>
      <c r="G284" s="1"/>
      <c r="H284" s="1"/>
      <c r="I284" s="1"/>
      <c r="J284" s="1"/>
      <c r="K284" s="1"/>
      <c r="L284" s="1"/>
      <c r="M284" s="1"/>
      <c r="N284" s="1"/>
      <c r="O284" s="1"/>
      <c r="P284" s="1"/>
      <c r="Q284" s="1"/>
      <c r="R284" s="1"/>
      <c r="S284" s="1"/>
      <c r="T284" s="1"/>
      <c r="U284" s="1"/>
      <c r="V284" s="1"/>
      <c r="W284" s="1"/>
      <c r="X284" s="1"/>
      <c r="Y284" s="1"/>
      <c r="Z284" s="1"/>
    </row>
    <row r="285" spans="1:26" ht="14" x14ac:dyDescent="0.15">
      <c r="A285" s="21"/>
      <c r="B285" s="21"/>
      <c r="C285" s="21"/>
      <c r="D285" s="21"/>
      <c r="E285" s="1"/>
      <c r="F285" s="1"/>
      <c r="G285" s="1"/>
      <c r="H285" s="1"/>
      <c r="I285" s="1"/>
      <c r="J285" s="1"/>
      <c r="K285" s="1"/>
      <c r="L285" s="1"/>
      <c r="M285" s="1"/>
      <c r="N285" s="1"/>
      <c r="O285" s="1"/>
      <c r="P285" s="1"/>
      <c r="Q285" s="1"/>
      <c r="R285" s="1"/>
      <c r="S285" s="1"/>
      <c r="T285" s="1"/>
      <c r="U285" s="1"/>
      <c r="V285" s="1"/>
      <c r="W285" s="1"/>
      <c r="X285" s="1"/>
      <c r="Y285" s="1"/>
      <c r="Z285" s="1"/>
    </row>
    <row r="286" spans="1:26" ht="14" x14ac:dyDescent="0.15">
      <c r="A286" s="21"/>
      <c r="B286" s="21"/>
      <c r="C286" s="21"/>
      <c r="D286" s="21"/>
      <c r="E286" s="1"/>
      <c r="F286" s="1"/>
      <c r="G286" s="1"/>
      <c r="H286" s="1"/>
      <c r="I286" s="1"/>
      <c r="J286" s="1"/>
      <c r="K286" s="1"/>
      <c r="L286" s="1"/>
      <c r="M286" s="1"/>
      <c r="N286" s="1"/>
      <c r="O286" s="1"/>
      <c r="P286" s="1"/>
      <c r="Q286" s="1"/>
      <c r="R286" s="1"/>
      <c r="S286" s="1"/>
      <c r="T286" s="1"/>
      <c r="U286" s="1"/>
      <c r="V286" s="1"/>
      <c r="W286" s="1"/>
      <c r="X286" s="1"/>
      <c r="Y286" s="1"/>
      <c r="Z286" s="1"/>
    </row>
    <row r="287" spans="1:26" ht="14" x14ac:dyDescent="0.15">
      <c r="A287" s="21"/>
      <c r="B287" s="21"/>
      <c r="C287" s="21"/>
      <c r="D287" s="21"/>
      <c r="E287" s="1"/>
      <c r="F287" s="1"/>
      <c r="G287" s="1"/>
      <c r="H287" s="1"/>
      <c r="I287" s="1"/>
      <c r="J287" s="1"/>
      <c r="K287" s="1"/>
      <c r="L287" s="1"/>
      <c r="M287" s="1"/>
      <c r="N287" s="1"/>
      <c r="O287" s="1"/>
      <c r="P287" s="1"/>
      <c r="Q287" s="1"/>
      <c r="R287" s="1"/>
      <c r="S287" s="1"/>
      <c r="T287" s="1"/>
      <c r="U287" s="1"/>
      <c r="V287" s="1"/>
      <c r="W287" s="1"/>
      <c r="X287" s="1"/>
      <c r="Y287" s="1"/>
      <c r="Z287" s="1"/>
    </row>
    <row r="288" spans="1:26" ht="14" x14ac:dyDescent="0.15">
      <c r="A288" s="21"/>
      <c r="B288" s="21"/>
      <c r="C288" s="21"/>
      <c r="D288" s="21"/>
      <c r="E288" s="1"/>
      <c r="F288" s="1"/>
      <c r="G288" s="1"/>
      <c r="H288" s="1"/>
      <c r="I288" s="1"/>
      <c r="J288" s="1"/>
      <c r="K288" s="1"/>
      <c r="L288" s="1"/>
      <c r="M288" s="1"/>
      <c r="N288" s="1"/>
      <c r="O288" s="1"/>
      <c r="P288" s="1"/>
      <c r="Q288" s="1"/>
      <c r="R288" s="1"/>
      <c r="S288" s="1"/>
      <c r="T288" s="1"/>
      <c r="U288" s="1"/>
      <c r="V288" s="1"/>
      <c r="W288" s="1"/>
      <c r="X288" s="1"/>
      <c r="Y288" s="1"/>
      <c r="Z288" s="1"/>
    </row>
    <row r="289" spans="1:26" ht="14" x14ac:dyDescent="0.15">
      <c r="A289" s="21"/>
      <c r="B289" s="21"/>
      <c r="C289" s="21"/>
      <c r="D289" s="21"/>
      <c r="E289" s="1"/>
      <c r="F289" s="1"/>
      <c r="G289" s="1"/>
      <c r="H289" s="1"/>
      <c r="I289" s="1"/>
      <c r="J289" s="1"/>
      <c r="K289" s="1"/>
      <c r="L289" s="1"/>
      <c r="M289" s="1"/>
      <c r="N289" s="1"/>
      <c r="O289" s="1"/>
      <c r="P289" s="1"/>
      <c r="Q289" s="1"/>
      <c r="R289" s="1"/>
      <c r="S289" s="1"/>
      <c r="T289" s="1"/>
      <c r="U289" s="1"/>
      <c r="V289" s="1"/>
      <c r="W289" s="1"/>
      <c r="X289" s="1"/>
      <c r="Y289" s="1"/>
      <c r="Z289" s="1"/>
    </row>
    <row r="290" spans="1:26" ht="14" x14ac:dyDescent="0.15">
      <c r="A290" s="21"/>
      <c r="B290" s="21"/>
      <c r="C290" s="21"/>
      <c r="D290" s="21"/>
      <c r="E290" s="1"/>
      <c r="F290" s="1"/>
      <c r="G290" s="1"/>
      <c r="H290" s="1"/>
      <c r="I290" s="1"/>
      <c r="J290" s="1"/>
      <c r="K290" s="1"/>
      <c r="L290" s="1"/>
      <c r="M290" s="1"/>
      <c r="N290" s="1"/>
      <c r="O290" s="1"/>
      <c r="P290" s="1"/>
      <c r="Q290" s="1"/>
      <c r="R290" s="1"/>
      <c r="S290" s="1"/>
      <c r="T290" s="1"/>
      <c r="U290" s="1"/>
      <c r="V290" s="1"/>
      <c r="W290" s="1"/>
      <c r="X290" s="1"/>
      <c r="Y290" s="1"/>
      <c r="Z290" s="1"/>
    </row>
    <row r="291" spans="1:26" ht="14" x14ac:dyDescent="0.15">
      <c r="A291" s="21"/>
      <c r="B291" s="21"/>
      <c r="C291" s="21"/>
      <c r="D291" s="21"/>
      <c r="E291" s="1"/>
      <c r="F291" s="1"/>
      <c r="G291" s="1"/>
      <c r="H291" s="1"/>
      <c r="I291" s="1"/>
      <c r="J291" s="1"/>
      <c r="K291" s="1"/>
      <c r="L291" s="1"/>
      <c r="M291" s="1"/>
      <c r="N291" s="1"/>
      <c r="O291" s="1"/>
      <c r="P291" s="1"/>
      <c r="Q291" s="1"/>
      <c r="R291" s="1"/>
      <c r="S291" s="1"/>
      <c r="T291" s="1"/>
      <c r="U291" s="1"/>
      <c r="V291" s="1"/>
      <c r="W291" s="1"/>
      <c r="X291" s="1"/>
      <c r="Y291" s="1"/>
      <c r="Z291" s="1"/>
    </row>
    <row r="292" spans="1:26" ht="14" x14ac:dyDescent="0.15">
      <c r="A292" s="21"/>
      <c r="B292" s="21"/>
      <c r="C292" s="21"/>
      <c r="D292" s="21"/>
      <c r="E292" s="1"/>
      <c r="F292" s="1"/>
      <c r="G292" s="1"/>
      <c r="H292" s="1"/>
      <c r="I292" s="1"/>
      <c r="J292" s="1"/>
      <c r="K292" s="1"/>
      <c r="L292" s="1"/>
      <c r="M292" s="1"/>
      <c r="N292" s="1"/>
      <c r="O292" s="1"/>
      <c r="P292" s="1"/>
      <c r="Q292" s="1"/>
      <c r="R292" s="1"/>
      <c r="S292" s="1"/>
      <c r="T292" s="1"/>
      <c r="U292" s="1"/>
      <c r="V292" s="1"/>
      <c r="W292" s="1"/>
      <c r="X292" s="1"/>
      <c r="Y292" s="1"/>
      <c r="Z292" s="1"/>
    </row>
    <row r="293" spans="1:26" ht="14" x14ac:dyDescent="0.15">
      <c r="A293" s="21"/>
      <c r="B293" s="21"/>
      <c r="C293" s="21"/>
      <c r="D293" s="21"/>
      <c r="E293" s="1"/>
      <c r="F293" s="1"/>
      <c r="G293" s="1"/>
      <c r="H293" s="1"/>
      <c r="I293" s="1"/>
      <c r="J293" s="1"/>
      <c r="K293" s="1"/>
      <c r="L293" s="1"/>
      <c r="M293" s="1"/>
      <c r="N293" s="1"/>
      <c r="O293" s="1"/>
      <c r="P293" s="1"/>
      <c r="Q293" s="1"/>
      <c r="R293" s="1"/>
      <c r="S293" s="1"/>
      <c r="T293" s="1"/>
      <c r="U293" s="1"/>
      <c r="V293" s="1"/>
      <c r="W293" s="1"/>
      <c r="X293" s="1"/>
      <c r="Y293" s="1"/>
      <c r="Z293" s="1"/>
    </row>
    <row r="294" spans="1:26" ht="14" x14ac:dyDescent="0.15">
      <c r="A294" s="21"/>
      <c r="B294" s="21"/>
      <c r="C294" s="21"/>
      <c r="D294" s="21"/>
      <c r="E294" s="1"/>
      <c r="F294" s="1"/>
      <c r="G294" s="1"/>
      <c r="H294" s="1"/>
      <c r="I294" s="1"/>
      <c r="J294" s="1"/>
      <c r="K294" s="1"/>
      <c r="L294" s="1"/>
      <c r="M294" s="1"/>
      <c r="N294" s="1"/>
      <c r="O294" s="1"/>
      <c r="P294" s="1"/>
      <c r="Q294" s="1"/>
      <c r="R294" s="1"/>
      <c r="S294" s="1"/>
      <c r="T294" s="1"/>
      <c r="U294" s="1"/>
      <c r="V294" s="1"/>
      <c r="W294" s="1"/>
      <c r="X294" s="1"/>
      <c r="Y294" s="1"/>
      <c r="Z294" s="1"/>
    </row>
    <row r="295" spans="1:26" ht="14" x14ac:dyDescent="0.15">
      <c r="A295" s="21"/>
      <c r="B295" s="21"/>
      <c r="C295" s="21"/>
      <c r="D295" s="21"/>
      <c r="E295" s="1"/>
      <c r="F295" s="1"/>
      <c r="G295" s="1"/>
      <c r="H295" s="1"/>
      <c r="I295" s="1"/>
      <c r="J295" s="1"/>
      <c r="K295" s="1"/>
      <c r="L295" s="1"/>
      <c r="M295" s="1"/>
      <c r="N295" s="1"/>
      <c r="O295" s="1"/>
      <c r="P295" s="1"/>
      <c r="Q295" s="1"/>
      <c r="R295" s="1"/>
      <c r="S295" s="1"/>
      <c r="T295" s="1"/>
      <c r="U295" s="1"/>
      <c r="V295" s="1"/>
      <c r="W295" s="1"/>
      <c r="X295" s="1"/>
      <c r="Y295" s="1"/>
      <c r="Z295" s="1"/>
    </row>
    <row r="296" spans="1:26" ht="14" x14ac:dyDescent="0.15">
      <c r="A296" s="21"/>
      <c r="B296" s="21"/>
      <c r="C296" s="21"/>
      <c r="D296" s="21"/>
      <c r="E296" s="1"/>
      <c r="F296" s="1"/>
      <c r="G296" s="1"/>
      <c r="H296" s="1"/>
      <c r="I296" s="1"/>
      <c r="J296" s="1"/>
      <c r="K296" s="1"/>
      <c r="L296" s="1"/>
      <c r="M296" s="1"/>
      <c r="N296" s="1"/>
      <c r="O296" s="1"/>
      <c r="P296" s="1"/>
      <c r="Q296" s="1"/>
      <c r="R296" s="1"/>
      <c r="S296" s="1"/>
      <c r="T296" s="1"/>
      <c r="U296" s="1"/>
      <c r="V296" s="1"/>
      <c r="W296" s="1"/>
      <c r="X296" s="1"/>
      <c r="Y296" s="1"/>
      <c r="Z296" s="1"/>
    </row>
    <row r="297" spans="1:26" ht="14" x14ac:dyDescent="0.15">
      <c r="A297" s="21"/>
      <c r="B297" s="21"/>
      <c r="C297" s="21"/>
      <c r="D297" s="21"/>
      <c r="E297" s="1"/>
      <c r="F297" s="1"/>
      <c r="G297" s="1"/>
      <c r="H297" s="1"/>
      <c r="I297" s="1"/>
      <c r="J297" s="1"/>
      <c r="K297" s="1"/>
      <c r="L297" s="1"/>
      <c r="M297" s="1"/>
      <c r="N297" s="1"/>
      <c r="O297" s="1"/>
      <c r="P297" s="1"/>
      <c r="Q297" s="1"/>
      <c r="R297" s="1"/>
      <c r="S297" s="1"/>
      <c r="T297" s="1"/>
      <c r="U297" s="1"/>
      <c r="V297" s="1"/>
      <c r="W297" s="1"/>
      <c r="X297" s="1"/>
      <c r="Y297" s="1"/>
      <c r="Z297" s="1"/>
    </row>
    <row r="298" spans="1:26" ht="14" x14ac:dyDescent="0.15">
      <c r="A298" s="21"/>
      <c r="B298" s="21"/>
      <c r="C298" s="21"/>
      <c r="D298" s="21"/>
      <c r="E298" s="1"/>
      <c r="F298" s="1"/>
      <c r="G298" s="1"/>
      <c r="H298" s="1"/>
      <c r="I298" s="1"/>
      <c r="J298" s="1"/>
      <c r="K298" s="1"/>
      <c r="L298" s="1"/>
      <c r="M298" s="1"/>
      <c r="N298" s="1"/>
      <c r="O298" s="1"/>
      <c r="P298" s="1"/>
      <c r="Q298" s="1"/>
      <c r="R298" s="1"/>
      <c r="S298" s="1"/>
      <c r="T298" s="1"/>
      <c r="U298" s="1"/>
      <c r="V298" s="1"/>
      <c r="W298" s="1"/>
      <c r="X298" s="1"/>
      <c r="Y298" s="1"/>
      <c r="Z298" s="1"/>
    </row>
    <row r="299" spans="1:26" ht="14" x14ac:dyDescent="0.15">
      <c r="A299" s="21"/>
      <c r="B299" s="21"/>
      <c r="C299" s="21"/>
      <c r="D299" s="21"/>
      <c r="E299" s="1"/>
      <c r="F299" s="1"/>
      <c r="G299" s="1"/>
      <c r="H299" s="1"/>
      <c r="I299" s="1"/>
      <c r="J299" s="1"/>
      <c r="K299" s="1"/>
      <c r="L299" s="1"/>
      <c r="M299" s="1"/>
      <c r="N299" s="1"/>
      <c r="O299" s="1"/>
      <c r="P299" s="1"/>
      <c r="Q299" s="1"/>
      <c r="R299" s="1"/>
      <c r="S299" s="1"/>
      <c r="T299" s="1"/>
      <c r="U299" s="1"/>
      <c r="V299" s="1"/>
      <c r="W299" s="1"/>
      <c r="X299" s="1"/>
      <c r="Y299" s="1"/>
      <c r="Z299" s="1"/>
    </row>
    <row r="300" spans="1:26" ht="14" x14ac:dyDescent="0.15">
      <c r="A300" s="21"/>
      <c r="B300" s="21"/>
      <c r="C300" s="21"/>
      <c r="D300" s="21"/>
      <c r="E300" s="1"/>
      <c r="F300" s="1"/>
      <c r="G300" s="1"/>
      <c r="H300" s="1"/>
      <c r="I300" s="1"/>
      <c r="J300" s="1"/>
      <c r="K300" s="1"/>
      <c r="L300" s="1"/>
      <c r="M300" s="1"/>
      <c r="N300" s="1"/>
      <c r="O300" s="1"/>
      <c r="P300" s="1"/>
      <c r="Q300" s="1"/>
      <c r="R300" s="1"/>
      <c r="S300" s="1"/>
      <c r="T300" s="1"/>
      <c r="U300" s="1"/>
      <c r="V300" s="1"/>
      <c r="W300" s="1"/>
      <c r="X300" s="1"/>
      <c r="Y300" s="1"/>
      <c r="Z300" s="1"/>
    </row>
    <row r="301" spans="1:26" ht="14" x14ac:dyDescent="0.15">
      <c r="A301" s="21"/>
      <c r="B301" s="21"/>
      <c r="C301" s="21"/>
      <c r="D301" s="21"/>
      <c r="E301" s="1"/>
      <c r="F301" s="1"/>
      <c r="G301" s="1"/>
      <c r="H301" s="1"/>
      <c r="I301" s="1"/>
      <c r="J301" s="1"/>
      <c r="K301" s="1"/>
      <c r="L301" s="1"/>
      <c r="M301" s="1"/>
      <c r="N301" s="1"/>
      <c r="O301" s="1"/>
      <c r="P301" s="1"/>
      <c r="Q301" s="1"/>
      <c r="R301" s="1"/>
      <c r="S301" s="1"/>
      <c r="T301" s="1"/>
      <c r="U301" s="1"/>
      <c r="V301" s="1"/>
      <c r="W301" s="1"/>
      <c r="X301" s="1"/>
      <c r="Y301" s="1"/>
      <c r="Z301" s="1"/>
    </row>
    <row r="302" spans="1:26" ht="14" x14ac:dyDescent="0.15">
      <c r="A302" s="21"/>
      <c r="B302" s="21"/>
      <c r="C302" s="21"/>
      <c r="D302" s="21"/>
      <c r="E302" s="1"/>
      <c r="F302" s="1"/>
      <c r="G302" s="1"/>
      <c r="H302" s="1"/>
      <c r="I302" s="1"/>
      <c r="J302" s="1"/>
      <c r="K302" s="1"/>
      <c r="L302" s="1"/>
      <c r="M302" s="1"/>
      <c r="N302" s="1"/>
      <c r="O302" s="1"/>
      <c r="P302" s="1"/>
      <c r="Q302" s="1"/>
      <c r="R302" s="1"/>
      <c r="S302" s="1"/>
      <c r="T302" s="1"/>
      <c r="U302" s="1"/>
      <c r="V302" s="1"/>
      <c r="W302" s="1"/>
      <c r="X302" s="1"/>
      <c r="Y302" s="1"/>
      <c r="Z302" s="1"/>
    </row>
    <row r="303" spans="1:26" ht="14" x14ac:dyDescent="0.15">
      <c r="A303" s="21"/>
      <c r="B303" s="21"/>
      <c r="C303" s="21"/>
      <c r="D303" s="21"/>
      <c r="E303" s="1"/>
      <c r="F303" s="1"/>
      <c r="G303" s="1"/>
      <c r="H303" s="1"/>
      <c r="I303" s="1"/>
      <c r="J303" s="1"/>
      <c r="K303" s="1"/>
      <c r="L303" s="1"/>
      <c r="M303" s="1"/>
      <c r="N303" s="1"/>
      <c r="O303" s="1"/>
      <c r="P303" s="1"/>
      <c r="Q303" s="1"/>
      <c r="R303" s="1"/>
      <c r="S303" s="1"/>
      <c r="T303" s="1"/>
      <c r="U303" s="1"/>
      <c r="V303" s="1"/>
      <c r="W303" s="1"/>
      <c r="X303" s="1"/>
      <c r="Y303" s="1"/>
      <c r="Z303" s="1"/>
    </row>
    <row r="304" spans="1:26" ht="14" x14ac:dyDescent="0.15">
      <c r="A304" s="21"/>
      <c r="B304" s="21"/>
      <c r="C304" s="21"/>
      <c r="D304" s="21"/>
      <c r="E304" s="1"/>
      <c r="F304" s="1"/>
      <c r="G304" s="1"/>
      <c r="H304" s="1"/>
      <c r="I304" s="1"/>
      <c r="J304" s="1"/>
      <c r="K304" s="1"/>
      <c r="L304" s="1"/>
      <c r="M304" s="1"/>
      <c r="N304" s="1"/>
      <c r="O304" s="1"/>
      <c r="P304" s="1"/>
      <c r="Q304" s="1"/>
      <c r="R304" s="1"/>
      <c r="S304" s="1"/>
      <c r="T304" s="1"/>
      <c r="U304" s="1"/>
      <c r="V304" s="1"/>
      <c r="W304" s="1"/>
      <c r="X304" s="1"/>
      <c r="Y304" s="1"/>
      <c r="Z304" s="1"/>
    </row>
    <row r="305" spans="1:26" ht="14" x14ac:dyDescent="0.15">
      <c r="A305" s="21"/>
      <c r="B305" s="21"/>
      <c r="C305" s="21"/>
      <c r="D305" s="21"/>
      <c r="E305" s="1"/>
      <c r="F305" s="1"/>
      <c r="G305" s="1"/>
      <c r="H305" s="1"/>
      <c r="I305" s="1"/>
      <c r="J305" s="1"/>
      <c r="K305" s="1"/>
      <c r="L305" s="1"/>
      <c r="M305" s="1"/>
      <c r="N305" s="1"/>
      <c r="O305" s="1"/>
      <c r="P305" s="1"/>
      <c r="Q305" s="1"/>
      <c r="R305" s="1"/>
      <c r="S305" s="1"/>
      <c r="T305" s="1"/>
      <c r="U305" s="1"/>
      <c r="V305" s="1"/>
      <c r="W305" s="1"/>
      <c r="X305" s="1"/>
      <c r="Y305" s="1"/>
      <c r="Z305" s="1"/>
    </row>
    <row r="306" spans="1:26" ht="14" x14ac:dyDescent="0.15">
      <c r="A306" s="21"/>
      <c r="B306" s="21"/>
      <c r="C306" s="21"/>
      <c r="D306" s="21"/>
      <c r="E306" s="1"/>
      <c r="F306" s="1"/>
      <c r="G306" s="1"/>
      <c r="H306" s="1"/>
      <c r="I306" s="1"/>
      <c r="J306" s="1"/>
      <c r="K306" s="1"/>
      <c r="L306" s="1"/>
      <c r="M306" s="1"/>
      <c r="N306" s="1"/>
      <c r="O306" s="1"/>
      <c r="P306" s="1"/>
      <c r="Q306" s="1"/>
      <c r="R306" s="1"/>
      <c r="S306" s="1"/>
      <c r="T306" s="1"/>
      <c r="U306" s="1"/>
      <c r="V306" s="1"/>
      <c r="W306" s="1"/>
      <c r="X306" s="1"/>
      <c r="Y306" s="1"/>
      <c r="Z306" s="1"/>
    </row>
    <row r="307" spans="1:26" ht="14" x14ac:dyDescent="0.15">
      <c r="A307" s="21"/>
      <c r="B307" s="21"/>
      <c r="C307" s="21"/>
      <c r="D307" s="21"/>
      <c r="E307" s="1"/>
      <c r="F307" s="1"/>
      <c r="G307" s="1"/>
      <c r="H307" s="1"/>
      <c r="I307" s="1"/>
      <c r="J307" s="1"/>
      <c r="K307" s="1"/>
      <c r="L307" s="1"/>
      <c r="M307" s="1"/>
      <c r="N307" s="1"/>
      <c r="O307" s="1"/>
      <c r="P307" s="1"/>
      <c r="Q307" s="1"/>
      <c r="R307" s="1"/>
      <c r="S307" s="1"/>
      <c r="T307" s="1"/>
      <c r="U307" s="1"/>
      <c r="V307" s="1"/>
      <c r="W307" s="1"/>
      <c r="X307" s="1"/>
      <c r="Y307" s="1"/>
      <c r="Z307" s="1"/>
    </row>
    <row r="308" spans="1:26" ht="14" x14ac:dyDescent="0.15">
      <c r="A308" s="21"/>
      <c r="B308" s="21"/>
      <c r="C308" s="21"/>
      <c r="D308" s="21"/>
      <c r="E308" s="1"/>
      <c r="F308" s="1"/>
      <c r="G308" s="1"/>
      <c r="H308" s="1"/>
      <c r="I308" s="1"/>
      <c r="J308" s="1"/>
      <c r="K308" s="1"/>
      <c r="L308" s="1"/>
      <c r="M308" s="1"/>
      <c r="N308" s="1"/>
      <c r="O308" s="1"/>
      <c r="P308" s="1"/>
      <c r="Q308" s="1"/>
      <c r="R308" s="1"/>
      <c r="S308" s="1"/>
      <c r="T308" s="1"/>
      <c r="U308" s="1"/>
      <c r="V308" s="1"/>
      <c r="W308" s="1"/>
      <c r="X308" s="1"/>
      <c r="Y308" s="1"/>
      <c r="Z308" s="1"/>
    </row>
    <row r="309" spans="1:26" ht="14" x14ac:dyDescent="0.15">
      <c r="A309" s="21"/>
      <c r="B309" s="21"/>
      <c r="C309" s="21"/>
      <c r="D309" s="21"/>
      <c r="E309" s="1"/>
      <c r="F309" s="1"/>
      <c r="G309" s="1"/>
      <c r="H309" s="1"/>
      <c r="I309" s="1"/>
      <c r="J309" s="1"/>
      <c r="K309" s="1"/>
      <c r="L309" s="1"/>
      <c r="M309" s="1"/>
      <c r="N309" s="1"/>
      <c r="O309" s="1"/>
      <c r="P309" s="1"/>
      <c r="Q309" s="1"/>
      <c r="R309" s="1"/>
      <c r="S309" s="1"/>
      <c r="T309" s="1"/>
      <c r="U309" s="1"/>
      <c r="V309" s="1"/>
      <c r="W309" s="1"/>
      <c r="X309" s="1"/>
      <c r="Y309" s="1"/>
      <c r="Z309" s="1"/>
    </row>
    <row r="310" spans="1:26" ht="14" x14ac:dyDescent="0.15">
      <c r="A310" s="21"/>
      <c r="B310" s="21"/>
      <c r="C310" s="21"/>
      <c r="D310" s="21"/>
      <c r="E310" s="1"/>
      <c r="F310" s="1"/>
      <c r="G310" s="1"/>
      <c r="H310" s="1"/>
      <c r="I310" s="1"/>
      <c r="J310" s="1"/>
      <c r="K310" s="1"/>
      <c r="L310" s="1"/>
      <c r="M310" s="1"/>
      <c r="N310" s="1"/>
      <c r="O310" s="1"/>
      <c r="P310" s="1"/>
      <c r="Q310" s="1"/>
      <c r="R310" s="1"/>
      <c r="S310" s="1"/>
      <c r="T310" s="1"/>
      <c r="U310" s="1"/>
      <c r="V310" s="1"/>
      <c r="W310" s="1"/>
      <c r="X310" s="1"/>
      <c r="Y310" s="1"/>
      <c r="Z310" s="1"/>
    </row>
    <row r="311" spans="1:26" ht="14" x14ac:dyDescent="0.15">
      <c r="A311" s="21"/>
      <c r="B311" s="21"/>
      <c r="C311" s="21"/>
      <c r="D311" s="21"/>
      <c r="E311" s="1"/>
      <c r="F311" s="1"/>
      <c r="G311" s="1"/>
      <c r="H311" s="1"/>
      <c r="I311" s="1"/>
      <c r="J311" s="1"/>
      <c r="K311" s="1"/>
      <c r="L311" s="1"/>
      <c r="M311" s="1"/>
      <c r="N311" s="1"/>
      <c r="O311" s="1"/>
      <c r="P311" s="1"/>
      <c r="Q311" s="1"/>
      <c r="R311" s="1"/>
      <c r="S311" s="1"/>
      <c r="T311" s="1"/>
      <c r="U311" s="1"/>
      <c r="V311" s="1"/>
      <c r="W311" s="1"/>
      <c r="X311" s="1"/>
      <c r="Y311" s="1"/>
      <c r="Z311" s="1"/>
    </row>
    <row r="312" spans="1:26" ht="14" x14ac:dyDescent="0.15">
      <c r="A312" s="21"/>
      <c r="B312" s="21"/>
      <c r="C312" s="21"/>
      <c r="D312" s="21"/>
      <c r="E312" s="1"/>
      <c r="F312" s="1"/>
      <c r="G312" s="1"/>
      <c r="H312" s="1"/>
      <c r="I312" s="1"/>
      <c r="J312" s="1"/>
      <c r="K312" s="1"/>
      <c r="L312" s="1"/>
      <c r="M312" s="1"/>
      <c r="N312" s="1"/>
      <c r="O312" s="1"/>
      <c r="P312" s="1"/>
      <c r="Q312" s="1"/>
      <c r="R312" s="1"/>
      <c r="S312" s="1"/>
      <c r="T312" s="1"/>
      <c r="U312" s="1"/>
      <c r="V312" s="1"/>
      <c r="W312" s="1"/>
      <c r="X312" s="1"/>
      <c r="Y312" s="1"/>
      <c r="Z312" s="1"/>
    </row>
    <row r="313" spans="1:26" ht="14" x14ac:dyDescent="0.15">
      <c r="A313" s="21"/>
      <c r="B313" s="21"/>
      <c r="C313" s="21"/>
      <c r="D313" s="21"/>
      <c r="E313" s="1"/>
      <c r="F313" s="1"/>
      <c r="G313" s="1"/>
      <c r="H313" s="1"/>
      <c r="I313" s="1"/>
      <c r="J313" s="1"/>
      <c r="K313" s="1"/>
      <c r="L313" s="1"/>
      <c r="M313" s="1"/>
      <c r="N313" s="1"/>
      <c r="O313" s="1"/>
      <c r="P313" s="1"/>
      <c r="Q313" s="1"/>
      <c r="R313" s="1"/>
      <c r="S313" s="1"/>
      <c r="T313" s="1"/>
      <c r="U313" s="1"/>
      <c r="V313" s="1"/>
      <c r="W313" s="1"/>
      <c r="X313" s="1"/>
      <c r="Y313" s="1"/>
      <c r="Z313" s="1"/>
    </row>
    <row r="314" spans="1:26" ht="14" x14ac:dyDescent="0.15">
      <c r="A314" s="21"/>
      <c r="B314" s="21"/>
      <c r="C314" s="21"/>
      <c r="D314" s="21"/>
      <c r="E314" s="1"/>
      <c r="F314" s="1"/>
      <c r="G314" s="1"/>
      <c r="H314" s="1"/>
      <c r="I314" s="1"/>
      <c r="J314" s="1"/>
      <c r="K314" s="1"/>
      <c r="L314" s="1"/>
      <c r="M314" s="1"/>
      <c r="N314" s="1"/>
      <c r="O314" s="1"/>
      <c r="P314" s="1"/>
      <c r="Q314" s="1"/>
      <c r="R314" s="1"/>
      <c r="S314" s="1"/>
      <c r="T314" s="1"/>
      <c r="U314" s="1"/>
      <c r="V314" s="1"/>
      <c r="W314" s="1"/>
      <c r="X314" s="1"/>
      <c r="Y314" s="1"/>
      <c r="Z314" s="1"/>
    </row>
    <row r="315" spans="1:26" ht="14" x14ac:dyDescent="0.15">
      <c r="A315" s="21"/>
      <c r="B315" s="21"/>
      <c r="C315" s="21"/>
      <c r="D315" s="21"/>
      <c r="E315" s="1"/>
      <c r="F315" s="1"/>
      <c r="G315" s="1"/>
      <c r="H315" s="1"/>
      <c r="I315" s="1"/>
      <c r="J315" s="1"/>
      <c r="K315" s="1"/>
      <c r="L315" s="1"/>
      <c r="M315" s="1"/>
      <c r="N315" s="1"/>
      <c r="O315" s="1"/>
      <c r="P315" s="1"/>
      <c r="Q315" s="1"/>
      <c r="R315" s="1"/>
      <c r="S315" s="1"/>
      <c r="T315" s="1"/>
      <c r="U315" s="1"/>
      <c r="V315" s="1"/>
      <c r="W315" s="1"/>
      <c r="X315" s="1"/>
      <c r="Y315" s="1"/>
      <c r="Z315" s="1"/>
    </row>
    <row r="316" spans="1:26" ht="14" x14ac:dyDescent="0.15">
      <c r="A316" s="21"/>
      <c r="B316" s="21"/>
      <c r="C316" s="21"/>
      <c r="D316" s="21"/>
      <c r="E316" s="1"/>
      <c r="F316" s="1"/>
      <c r="G316" s="1"/>
      <c r="H316" s="1"/>
      <c r="I316" s="1"/>
      <c r="J316" s="1"/>
      <c r="K316" s="1"/>
      <c r="L316" s="1"/>
      <c r="M316" s="1"/>
      <c r="N316" s="1"/>
      <c r="O316" s="1"/>
      <c r="P316" s="1"/>
      <c r="Q316" s="1"/>
      <c r="R316" s="1"/>
      <c r="S316" s="1"/>
      <c r="T316" s="1"/>
      <c r="U316" s="1"/>
      <c r="V316" s="1"/>
      <c r="W316" s="1"/>
      <c r="X316" s="1"/>
      <c r="Y316" s="1"/>
      <c r="Z316" s="1"/>
    </row>
    <row r="317" spans="1:26" ht="14" x14ac:dyDescent="0.15">
      <c r="A317" s="21"/>
      <c r="B317" s="21"/>
      <c r="C317" s="21"/>
      <c r="D317" s="21"/>
      <c r="E317" s="1"/>
      <c r="F317" s="1"/>
      <c r="G317" s="1"/>
      <c r="H317" s="1"/>
      <c r="I317" s="1"/>
      <c r="J317" s="1"/>
      <c r="K317" s="1"/>
      <c r="L317" s="1"/>
      <c r="M317" s="1"/>
      <c r="N317" s="1"/>
      <c r="O317" s="1"/>
      <c r="P317" s="1"/>
      <c r="Q317" s="1"/>
      <c r="R317" s="1"/>
      <c r="S317" s="1"/>
      <c r="T317" s="1"/>
      <c r="U317" s="1"/>
      <c r="V317" s="1"/>
      <c r="W317" s="1"/>
      <c r="X317" s="1"/>
      <c r="Y317" s="1"/>
      <c r="Z317" s="1"/>
    </row>
    <row r="318" spans="1:26" ht="14" x14ac:dyDescent="0.15">
      <c r="A318" s="21"/>
      <c r="B318" s="21"/>
      <c r="C318" s="21"/>
      <c r="D318" s="21"/>
      <c r="E318" s="1"/>
      <c r="F318" s="1"/>
      <c r="G318" s="1"/>
      <c r="H318" s="1"/>
      <c r="I318" s="1"/>
      <c r="J318" s="1"/>
      <c r="K318" s="1"/>
      <c r="L318" s="1"/>
      <c r="M318" s="1"/>
      <c r="N318" s="1"/>
      <c r="O318" s="1"/>
      <c r="P318" s="1"/>
      <c r="Q318" s="1"/>
      <c r="R318" s="1"/>
      <c r="S318" s="1"/>
      <c r="T318" s="1"/>
      <c r="U318" s="1"/>
      <c r="V318" s="1"/>
      <c r="W318" s="1"/>
      <c r="X318" s="1"/>
      <c r="Y318" s="1"/>
      <c r="Z318" s="1"/>
    </row>
    <row r="319" spans="1:26" ht="14" x14ac:dyDescent="0.15">
      <c r="A319" s="21"/>
      <c r="B319" s="21"/>
      <c r="C319" s="21"/>
      <c r="D319" s="21"/>
      <c r="E319" s="1"/>
      <c r="F319" s="1"/>
      <c r="G319" s="1"/>
      <c r="H319" s="1"/>
      <c r="I319" s="1"/>
      <c r="J319" s="1"/>
      <c r="K319" s="1"/>
      <c r="L319" s="1"/>
      <c r="M319" s="1"/>
      <c r="N319" s="1"/>
      <c r="O319" s="1"/>
      <c r="P319" s="1"/>
      <c r="Q319" s="1"/>
      <c r="R319" s="1"/>
      <c r="S319" s="1"/>
      <c r="T319" s="1"/>
      <c r="U319" s="1"/>
      <c r="V319" s="1"/>
      <c r="W319" s="1"/>
      <c r="X319" s="1"/>
      <c r="Y319" s="1"/>
      <c r="Z319" s="1"/>
    </row>
    <row r="320" spans="1:26" ht="14" x14ac:dyDescent="0.15">
      <c r="A320" s="21"/>
      <c r="B320" s="21"/>
      <c r="C320" s="21"/>
      <c r="D320" s="21"/>
      <c r="E320" s="1"/>
      <c r="F320" s="1"/>
      <c r="G320" s="1"/>
      <c r="H320" s="1"/>
      <c r="I320" s="1"/>
      <c r="J320" s="1"/>
      <c r="K320" s="1"/>
      <c r="L320" s="1"/>
      <c r="M320" s="1"/>
      <c r="N320" s="1"/>
      <c r="O320" s="1"/>
      <c r="P320" s="1"/>
      <c r="Q320" s="1"/>
      <c r="R320" s="1"/>
      <c r="S320" s="1"/>
      <c r="T320" s="1"/>
      <c r="U320" s="1"/>
      <c r="V320" s="1"/>
      <c r="W320" s="1"/>
      <c r="X320" s="1"/>
      <c r="Y320" s="1"/>
      <c r="Z320" s="1"/>
    </row>
    <row r="321" spans="1:26" ht="14" x14ac:dyDescent="0.15">
      <c r="A321" s="21"/>
      <c r="B321" s="21"/>
      <c r="C321" s="21"/>
      <c r="D321" s="21"/>
      <c r="E321" s="1"/>
      <c r="F321" s="1"/>
      <c r="G321" s="1"/>
      <c r="H321" s="1"/>
      <c r="I321" s="1"/>
      <c r="J321" s="1"/>
      <c r="K321" s="1"/>
      <c r="L321" s="1"/>
      <c r="M321" s="1"/>
      <c r="N321" s="1"/>
      <c r="O321" s="1"/>
      <c r="P321" s="1"/>
      <c r="Q321" s="1"/>
      <c r="R321" s="1"/>
      <c r="S321" s="1"/>
      <c r="T321" s="1"/>
      <c r="U321" s="1"/>
      <c r="V321" s="1"/>
      <c r="W321" s="1"/>
      <c r="X321" s="1"/>
      <c r="Y321" s="1"/>
      <c r="Z321" s="1"/>
    </row>
    <row r="322" spans="1:26" ht="14" x14ac:dyDescent="0.15">
      <c r="A322" s="21"/>
      <c r="B322" s="21"/>
      <c r="C322" s="21"/>
      <c r="D322" s="21"/>
      <c r="E322" s="1"/>
      <c r="F322" s="1"/>
      <c r="G322" s="1"/>
      <c r="H322" s="1"/>
      <c r="I322" s="1"/>
      <c r="J322" s="1"/>
      <c r="K322" s="1"/>
      <c r="L322" s="1"/>
      <c r="M322" s="1"/>
      <c r="N322" s="1"/>
      <c r="O322" s="1"/>
      <c r="P322" s="1"/>
      <c r="Q322" s="1"/>
      <c r="R322" s="1"/>
      <c r="S322" s="1"/>
      <c r="T322" s="1"/>
      <c r="U322" s="1"/>
      <c r="V322" s="1"/>
      <c r="W322" s="1"/>
      <c r="X322" s="1"/>
      <c r="Y322" s="1"/>
      <c r="Z322" s="1"/>
    </row>
    <row r="323" spans="1:26" ht="14" x14ac:dyDescent="0.15">
      <c r="A323" s="21"/>
      <c r="B323" s="21"/>
      <c r="C323" s="21"/>
      <c r="D323" s="21"/>
      <c r="E323" s="1"/>
      <c r="F323" s="1"/>
      <c r="G323" s="1"/>
      <c r="H323" s="1"/>
      <c r="I323" s="1"/>
      <c r="J323" s="1"/>
      <c r="K323" s="1"/>
      <c r="L323" s="1"/>
      <c r="M323" s="1"/>
      <c r="N323" s="1"/>
      <c r="O323" s="1"/>
      <c r="P323" s="1"/>
      <c r="Q323" s="1"/>
      <c r="R323" s="1"/>
      <c r="S323" s="1"/>
      <c r="T323" s="1"/>
      <c r="U323" s="1"/>
      <c r="V323" s="1"/>
      <c r="W323" s="1"/>
      <c r="X323" s="1"/>
      <c r="Y323" s="1"/>
      <c r="Z323" s="1"/>
    </row>
    <row r="324" spans="1:26" ht="14" x14ac:dyDescent="0.15">
      <c r="A324" s="21"/>
      <c r="B324" s="21"/>
      <c r="C324" s="21"/>
      <c r="D324" s="21"/>
      <c r="E324" s="1"/>
      <c r="F324" s="1"/>
      <c r="G324" s="1"/>
      <c r="H324" s="1"/>
      <c r="I324" s="1"/>
      <c r="J324" s="1"/>
      <c r="K324" s="1"/>
      <c r="L324" s="1"/>
      <c r="M324" s="1"/>
      <c r="N324" s="1"/>
      <c r="O324" s="1"/>
      <c r="P324" s="1"/>
      <c r="Q324" s="1"/>
      <c r="R324" s="1"/>
      <c r="S324" s="1"/>
      <c r="T324" s="1"/>
      <c r="U324" s="1"/>
      <c r="V324" s="1"/>
      <c r="W324" s="1"/>
      <c r="X324" s="1"/>
      <c r="Y324" s="1"/>
      <c r="Z324" s="1"/>
    </row>
    <row r="325" spans="1:26" ht="14" x14ac:dyDescent="0.15">
      <c r="A325" s="21"/>
      <c r="B325" s="21"/>
      <c r="C325" s="21"/>
      <c r="D325" s="21"/>
      <c r="E325" s="1"/>
      <c r="F325" s="1"/>
      <c r="G325" s="1"/>
      <c r="H325" s="1"/>
      <c r="I325" s="1"/>
      <c r="J325" s="1"/>
      <c r="K325" s="1"/>
      <c r="L325" s="1"/>
      <c r="M325" s="1"/>
      <c r="N325" s="1"/>
      <c r="O325" s="1"/>
      <c r="P325" s="1"/>
      <c r="Q325" s="1"/>
      <c r="R325" s="1"/>
      <c r="S325" s="1"/>
      <c r="T325" s="1"/>
      <c r="U325" s="1"/>
      <c r="V325" s="1"/>
      <c r="W325" s="1"/>
      <c r="X325" s="1"/>
      <c r="Y325" s="1"/>
      <c r="Z325" s="1"/>
    </row>
    <row r="326" spans="1:26" ht="14" x14ac:dyDescent="0.15">
      <c r="A326" s="21"/>
      <c r="B326" s="21"/>
      <c r="C326" s="21"/>
      <c r="D326" s="21"/>
      <c r="E326" s="1"/>
      <c r="F326" s="1"/>
      <c r="G326" s="1"/>
      <c r="H326" s="1"/>
      <c r="I326" s="1"/>
      <c r="J326" s="1"/>
      <c r="K326" s="1"/>
      <c r="L326" s="1"/>
      <c r="M326" s="1"/>
      <c r="N326" s="1"/>
      <c r="O326" s="1"/>
      <c r="P326" s="1"/>
      <c r="Q326" s="1"/>
      <c r="R326" s="1"/>
      <c r="S326" s="1"/>
      <c r="T326" s="1"/>
      <c r="U326" s="1"/>
      <c r="V326" s="1"/>
      <c r="W326" s="1"/>
      <c r="X326" s="1"/>
      <c r="Y326" s="1"/>
      <c r="Z326" s="1"/>
    </row>
    <row r="327" spans="1:26" ht="14" x14ac:dyDescent="0.15">
      <c r="A327" s="21"/>
      <c r="B327" s="21"/>
      <c r="C327" s="21"/>
      <c r="D327" s="21"/>
      <c r="E327" s="1"/>
      <c r="F327" s="1"/>
      <c r="G327" s="1"/>
      <c r="H327" s="1"/>
      <c r="I327" s="1"/>
      <c r="J327" s="1"/>
      <c r="K327" s="1"/>
      <c r="L327" s="1"/>
      <c r="M327" s="1"/>
      <c r="N327" s="1"/>
      <c r="O327" s="1"/>
      <c r="P327" s="1"/>
      <c r="Q327" s="1"/>
      <c r="R327" s="1"/>
      <c r="S327" s="1"/>
      <c r="T327" s="1"/>
      <c r="U327" s="1"/>
      <c r="V327" s="1"/>
      <c r="W327" s="1"/>
      <c r="X327" s="1"/>
      <c r="Y327" s="1"/>
      <c r="Z327" s="1"/>
    </row>
    <row r="328" spans="1:26" ht="14" x14ac:dyDescent="0.15">
      <c r="A328" s="21"/>
      <c r="B328" s="21"/>
      <c r="C328" s="21"/>
      <c r="D328" s="21"/>
      <c r="E328" s="1"/>
      <c r="F328" s="1"/>
      <c r="G328" s="1"/>
      <c r="H328" s="1"/>
      <c r="I328" s="1"/>
      <c r="J328" s="1"/>
      <c r="K328" s="1"/>
      <c r="L328" s="1"/>
      <c r="M328" s="1"/>
      <c r="N328" s="1"/>
      <c r="O328" s="1"/>
      <c r="P328" s="1"/>
      <c r="Q328" s="1"/>
      <c r="R328" s="1"/>
      <c r="S328" s="1"/>
      <c r="T328" s="1"/>
      <c r="U328" s="1"/>
      <c r="V328" s="1"/>
      <c r="W328" s="1"/>
      <c r="X328" s="1"/>
      <c r="Y328" s="1"/>
      <c r="Z328" s="1"/>
    </row>
    <row r="329" spans="1:26" ht="14" x14ac:dyDescent="0.15">
      <c r="A329" s="21"/>
      <c r="B329" s="21"/>
      <c r="C329" s="21"/>
      <c r="D329" s="21"/>
      <c r="E329" s="1"/>
      <c r="F329" s="1"/>
      <c r="G329" s="1"/>
      <c r="H329" s="1"/>
      <c r="I329" s="1"/>
      <c r="J329" s="1"/>
      <c r="K329" s="1"/>
      <c r="L329" s="1"/>
      <c r="M329" s="1"/>
      <c r="N329" s="1"/>
      <c r="O329" s="1"/>
      <c r="P329" s="1"/>
      <c r="Q329" s="1"/>
      <c r="R329" s="1"/>
      <c r="S329" s="1"/>
      <c r="T329" s="1"/>
      <c r="U329" s="1"/>
      <c r="V329" s="1"/>
      <c r="W329" s="1"/>
      <c r="X329" s="1"/>
      <c r="Y329" s="1"/>
      <c r="Z329" s="1"/>
    </row>
    <row r="330" spans="1:26" ht="14" x14ac:dyDescent="0.15">
      <c r="A330" s="21"/>
      <c r="B330" s="21"/>
      <c r="C330" s="21"/>
      <c r="D330" s="21"/>
      <c r="E330" s="1"/>
      <c r="F330" s="1"/>
      <c r="G330" s="1"/>
      <c r="H330" s="1"/>
      <c r="I330" s="1"/>
      <c r="J330" s="1"/>
      <c r="K330" s="1"/>
      <c r="L330" s="1"/>
      <c r="M330" s="1"/>
      <c r="N330" s="1"/>
      <c r="O330" s="1"/>
      <c r="P330" s="1"/>
      <c r="Q330" s="1"/>
      <c r="R330" s="1"/>
      <c r="S330" s="1"/>
      <c r="T330" s="1"/>
      <c r="U330" s="1"/>
      <c r="V330" s="1"/>
      <c r="W330" s="1"/>
      <c r="X330" s="1"/>
      <c r="Y330" s="1"/>
      <c r="Z330" s="1"/>
    </row>
    <row r="331" spans="1:26" ht="14" x14ac:dyDescent="0.15">
      <c r="A331" s="21"/>
      <c r="B331" s="21"/>
      <c r="C331" s="21"/>
      <c r="D331" s="21"/>
      <c r="E331" s="1"/>
      <c r="F331" s="1"/>
      <c r="G331" s="1"/>
      <c r="H331" s="1"/>
      <c r="I331" s="1"/>
      <c r="J331" s="1"/>
      <c r="K331" s="1"/>
      <c r="L331" s="1"/>
      <c r="M331" s="1"/>
      <c r="N331" s="1"/>
      <c r="O331" s="1"/>
      <c r="P331" s="1"/>
      <c r="Q331" s="1"/>
      <c r="R331" s="1"/>
      <c r="S331" s="1"/>
      <c r="T331" s="1"/>
      <c r="U331" s="1"/>
      <c r="V331" s="1"/>
      <c r="W331" s="1"/>
      <c r="X331" s="1"/>
      <c r="Y331" s="1"/>
      <c r="Z331" s="1"/>
    </row>
    <row r="332" spans="1:26" ht="14" x14ac:dyDescent="0.15">
      <c r="A332" s="21"/>
      <c r="B332" s="21"/>
      <c r="C332" s="21"/>
      <c r="D332" s="21"/>
      <c r="E332" s="1"/>
      <c r="F332" s="1"/>
      <c r="G332" s="1"/>
      <c r="H332" s="1"/>
      <c r="I332" s="1"/>
      <c r="J332" s="1"/>
      <c r="K332" s="1"/>
      <c r="L332" s="1"/>
      <c r="M332" s="1"/>
      <c r="N332" s="1"/>
      <c r="O332" s="1"/>
      <c r="P332" s="1"/>
      <c r="Q332" s="1"/>
      <c r="R332" s="1"/>
      <c r="S332" s="1"/>
      <c r="T332" s="1"/>
      <c r="U332" s="1"/>
      <c r="V332" s="1"/>
      <c r="W332" s="1"/>
      <c r="X332" s="1"/>
      <c r="Y332" s="1"/>
      <c r="Z332" s="1"/>
    </row>
    <row r="333" spans="1:26" ht="14" x14ac:dyDescent="0.15">
      <c r="A333" s="21"/>
      <c r="B333" s="21"/>
      <c r="C333" s="21"/>
      <c r="D333" s="21"/>
      <c r="E333" s="1"/>
      <c r="F333" s="1"/>
      <c r="G333" s="1"/>
      <c r="H333" s="1"/>
      <c r="I333" s="1"/>
      <c r="J333" s="1"/>
      <c r="K333" s="1"/>
      <c r="L333" s="1"/>
      <c r="M333" s="1"/>
      <c r="N333" s="1"/>
      <c r="O333" s="1"/>
      <c r="P333" s="1"/>
      <c r="Q333" s="1"/>
      <c r="R333" s="1"/>
      <c r="S333" s="1"/>
      <c r="T333" s="1"/>
      <c r="U333" s="1"/>
      <c r="V333" s="1"/>
      <c r="W333" s="1"/>
      <c r="X333" s="1"/>
      <c r="Y333" s="1"/>
      <c r="Z333" s="1"/>
    </row>
    <row r="334" spans="1:26" ht="14" x14ac:dyDescent="0.15">
      <c r="A334" s="21"/>
      <c r="B334" s="21"/>
      <c r="C334" s="21"/>
      <c r="D334" s="21"/>
      <c r="E334" s="1"/>
      <c r="F334" s="1"/>
      <c r="G334" s="1"/>
      <c r="H334" s="1"/>
      <c r="I334" s="1"/>
      <c r="J334" s="1"/>
      <c r="K334" s="1"/>
      <c r="L334" s="1"/>
      <c r="M334" s="1"/>
      <c r="N334" s="1"/>
      <c r="O334" s="1"/>
      <c r="P334" s="1"/>
      <c r="Q334" s="1"/>
      <c r="R334" s="1"/>
      <c r="S334" s="1"/>
      <c r="T334" s="1"/>
      <c r="U334" s="1"/>
      <c r="V334" s="1"/>
      <c r="W334" s="1"/>
      <c r="X334" s="1"/>
      <c r="Y334" s="1"/>
      <c r="Z334" s="1"/>
    </row>
    <row r="335" spans="1:26" ht="14" x14ac:dyDescent="0.15">
      <c r="A335" s="21"/>
      <c r="B335" s="21"/>
      <c r="C335" s="21"/>
      <c r="D335" s="21"/>
      <c r="E335" s="1"/>
      <c r="F335" s="1"/>
      <c r="G335" s="1"/>
      <c r="H335" s="1"/>
      <c r="I335" s="1"/>
      <c r="J335" s="1"/>
      <c r="K335" s="1"/>
      <c r="L335" s="1"/>
      <c r="M335" s="1"/>
      <c r="N335" s="1"/>
      <c r="O335" s="1"/>
      <c r="P335" s="1"/>
      <c r="Q335" s="1"/>
      <c r="R335" s="1"/>
      <c r="S335" s="1"/>
      <c r="T335" s="1"/>
      <c r="U335" s="1"/>
      <c r="V335" s="1"/>
      <c r="W335" s="1"/>
      <c r="X335" s="1"/>
      <c r="Y335" s="1"/>
      <c r="Z335" s="1"/>
    </row>
    <row r="336" spans="1:26" ht="14" x14ac:dyDescent="0.15">
      <c r="A336" s="21"/>
      <c r="B336" s="21"/>
      <c r="C336" s="21"/>
      <c r="D336" s="21"/>
      <c r="E336" s="1"/>
      <c r="F336" s="1"/>
      <c r="G336" s="1"/>
      <c r="H336" s="1"/>
      <c r="I336" s="1"/>
      <c r="J336" s="1"/>
      <c r="K336" s="1"/>
      <c r="L336" s="1"/>
      <c r="M336" s="1"/>
      <c r="N336" s="1"/>
      <c r="O336" s="1"/>
      <c r="P336" s="1"/>
      <c r="Q336" s="1"/>
      <c r="R336" s="1"/>
      <c r="S336" s="1"/>
      <c r="T336" s="1"/>
      <c r="U336" s="1"/>
      <c r="V336" s="1"/>
      <c r="W336" s="1"/>
      <c r="X336" s="1"/>
      <c r="Y336" s="1"/>
      <c r="Z336" s="1"/>
    </row>
    <row r="337" spans="1:26" ht="14" x14ac:dyDescent="0.15">
      <c r="A337" s="21"/>
      <c r="B337" s="21"/>
      <c r="C337" s="21"/>
      <c r="D337" s="21"/>
      <c r="E337" s="1"/>
      <c r="F337" s="1"/>
      <c r="G337" s="1"/>
      <c r="H337" s="1"/>
      <c r="I337" s="1"/>
      <c r="J337" s="1"/>
      <c r="K337" s="1"/>
      <c r="L337" s="1"/>
      <c r="M337" s="1"/>
      <c r="N337" s="1"/>
      <c r="O337" s="1"/>
      <c r="P337" s="1"/>
      <c r="Q337" s="1"/>
      <c r="R337" s="1"/>
      <c r="S337" s="1"/>
      <c r="T337" s="1"/>
      <c r="U337" s="1"/>
      <c r="V337" s="1"/>
      <c r="W337" s="1"/>
      <c r="X337" s="1"/>
      <c r="Y337" s="1"/>
      <c r="Z337" s="1"/>
    </row>
    <row r="338" spans="1:26" ht="14" x14ac:dyDescent="0.15">
      <c r="A338" s="21"/>
      <c r="B338" s="21"/>
      <c r="C338" s="21"/>
      <c r="D338" s="21"/>
      <c r="E338" s="1"/>
      <c r="F338" s="1"/>
      <c r="G338" s="1"/>
      <c r="H338" s="1"/>
      <c r="I338" s="1"/>
      <c r="J338" s="1"/>
      <c r="K338" s="1"/>
      <c r="L338" s="1"/>
      <c r="M338" s="1"/>
      <c r="N338" s="1"/>
      <c r="O338" s="1"/>
      <c r="P338" s="1"/>
      <c r="Q338" s="1"/>
      <c r="R338" s="1"/>
      <c r="S338" s="1"/>
      <c r="T338" s="1"/>
      <c r="U338" s="1"/>
      <c r="V338" s="1"/>
      <c r="W338" s="1"/>
      <c r="X338" s="1"/>
      <c r="Y338" s="1"/>
      <c r="Z338" s="1"/>
    </row>
    <row r="339" spans="1:26" ht="14" x14ac:dyDescent="0.15">
      <c r="A339" s="21"/>
      <c r="B339" s="21"/>
      <c r="C339" s="21"/>
      <c r="D339" s="21"/>
      <c r="E339" s="1"/>
      <c r="F339" s="1"/>
      <c r="G339" s="1"/>
      <c r="H339" s="1"/>
      <c r="I339" s="1"/>
      <c r="J339" s="1"/>
      <c r="K339" s="1"/>
      <c r="L339" s="1"/>
      <c r="M339" s="1"/>
      <c r="N339" s="1"/>
      <c r="O339" s="1"/>
      <c r="P339" s="1"/>
      <c r="Q339" s="1"/>
      <c r="R339" s="1"/>
      <c r="S339" s="1"/>
      <c r="T339" s="1"/>
      <c r="U339" s="1"/>
      <c r="V339" s="1"/>
      <c r="W339" s="1"/>
      <c r="X339" s="1"/>
      <c r="Y339" s="1"/>
      <c r="Z339" s="1"/>
    </row>
    <row r="340" spans="1:26" ht="14" x14ac:dyDescent="0.15">
      <c r="A340" s="21"/>
      <c r="B340" s="21"/>
      <c r="C340" s="21"/>
      <c r="D340" s="21"/>
      <c r="E340" s="1"/>
      <c r="F340" s="1"/>
      <c r="G340" s="1"/>
      <c r="H340" s="1"/>
      <c r="I340" s="1"/>
      <c r="J340" s="1"/>
      <c r="K340" s="1"/>
      <c r="L340" s="1"/>
      <c r="M340" s="1"/>
      <c r="N340" s="1"/>
      <c r="O340" s="1"/>
      <c r="P340" s="1"/>
      <c r="Q340" s="1"/>
      <c r="R340" s="1"/>
      <c r="S340" s="1"/>
      <c r="T340" s="1"/>
      <c r="U340" s="1"/>
      <c r="V340" s="1"/>
      <c r="W340" s="1"/>
      <c r="X340" s="1"/>
      <c r="Y340" s="1"/>
      <c r="Z340" s="1"/>
    </row>
    <row r="341" spans="1:26" ht="14" x14ac:dyDescent="0.15">
      <c r="A341" s="21"/>
      <c r="B341" s="21"/>
      <c r="C341" s="21"/>
      <c r="D341" s="21"/>
      <c r="E341" s="1"/>
      <c r="F341" s="1"/>
      <c r="G341" s="1"/>
      <c r="H341" s="1"/>
      <c r="I341" s="1"/>
      <c r="J341" s="1"/>
      <c r="K341" s="1"/>
      <c r="L341" s="1"/>
      <c r="M341" s="1"/>
      <c r="N341" s="1"/>
      <c r="O341" s="1"/>
      <c r="P341" s="1"/>
      <c r="Q341" s="1"/>
      <c r="R341" s="1"/>
      <c r="S341" s="1"/>
      <c r="T341" s="1"/>
      <c r="U341" s="1"/>
      <c r="V341" s="1"/>
      <c r="W341" s="1"/>
      <c r="X341" s="1"/>
      <c r="Y341" s="1"/>
      <c r="Z341" s="1"/>
    </row>
    <row r="342" spans="1:26" ht="14" x14ac:dyDescent="0.15">
      <c r="A342" s="21"/>
      <c r="B342" s="21"/>
      <c r="C342" s="21"/>
      <c r="D342" s="21"/>
      <c r="E342" s="1"/>
      <c r="F342" s="1"/>
      <c r="G342" s="1"/>
      <c r="H342" s="1"/>
      <c r="I342" s="1"/>
      <c r="J342" s="1"/>
      <c r="K342" s="1"/>
      <c r="L342" s="1"/>
      <c r="M342" s="1"/>
      <c r="N342" s="1"/>
      <c r="O342" s="1"/>
      <c r="P342" s="1"/>
      <c r="Q342" s="1"/>
      <c r="R342" s="1"/>
      <c r="S342" s="1"/>
      <c r="T342" s="1"/>
      <c r="U342" s="1"/>
      <c r="V342" s="1"/>
      <c r="W342" s="1"/>
      <c r="X342" s="1"/>
      <c r="Y342" s="1"/>
      <c r="Z342" s="1"/>
    </row>
    <row r="343" spans="1:26" ht="14" x14ac:dyDescent="0.15">
      <c r="A343" s="21"/>
      <c r="B343" s="21"/>
      <c r="C343" s="21"/>
      <c r="D343" s="21"/>
      <c r="E343" s="1"/>
      <c r="F343" s="1"/>
      <c r="G343" s="1"/>
      <c r="H343" s="1"/>
      <c r="I343" s="1"/>
      <c r="J343" s="1"/>
      <c r="K343" s="1"/>
      <c r="L343" s="1"/>
      <c r="M343" s="1"/>
      <c r="N343" s="1"/>
      <c r="O343" s="1"/>
      <c r="P343" s="1"/>
      <c r="Q343" s="1"/>
      <c r="R343" s="1"/>
      <c r="S343" s="1"/>
      <c r="T343" s="1"/>
      <c r="U343" s="1"/>
      <c r="V343" s="1"/>
      <c r="W343" s="1"/>
      <c r="X343" s="1"/>
      <c r="Y343" s="1"/>
      <c r="Z343" s="1"/>
    </row>
    <row r="344" spans="1:26" ht="14" x14ac:dyDescent="0.15">
      <c r="A344" s="21"/>
      <c r="B344" s="21"/>
      <c r="C344" s="21"/>
      <c r="D344" s="21"/>
      <c r="E344" s="1"/>
      <c r="F344" s="1"/>
      <c r="G344" s="1"/>
      <c r="H344" s="1"/>
      <c r="I344" s="1"/>
      <c r="J344" s="1"/>
      <c r="K344" s="1"/>
      <c r="L344" s="1"/>
      <c r="M344" s="1"/>
      <c r="N344" s="1"/>
      <c r="O344" s="1"/>
      <c r="P344" s="1"/>
      <c r="Q344" s="1"/>
      <c r="R344" s="1"/>
      <c r="S344" s="1"/>
      <c r="T344" s="1"/>
      <c r="U344" s="1"/>
      <c r="V344" s="1"/>
      <c r="W344" s="1"/>
      <c r="X344" s="1"/>
      <c r="Y344" s="1"/>
      <c r="Z344" s="1"/>
    </row>
    <row r="345" spans="1:26" ht="14" x14ac:dyDescent="0.15">
      <c r="A345" s="21"/>
      <c r="B345" s="21"/>
      <c r="C345" s="21"/>
      <c r="D345" s="21"/>
      <c r="E345" s="1"/>
      <c r="F345" s="1"/>
      <c r="G345" s="1"/>
      <c r="H345" s="1"/>
      <c r="I345" s="1"/>
      <c r="J345" s="1"/>
      <c r="K345" s="1"/>
      <c r="L345" s="1"/>
      <c r="M345" s="1"/>
      <c r="N345" s="1"/>
      <c r="O345" s="1"/>
      <c r="P345" s="1"/>
      <c r="Q345" s="1"/>
      <c r="R345" s="1"/>
      <c r="S345" s="1"/>
      <c r="T345" s="1"/>
      <c r="U345" s="1"/>
      <c r="V345" s="1"/>
      <c r="W345" s="1"/>
      <c r="X345" s="1"/>
      <c r="Y345" s="1"/>
      <c r="Z345" s="1"/>
    </row>
    <row r="346" spans="1:26" ht="14" x14ac:dyDescent="0.15">
      <c r="A346" s="21"/>
      <c r="B346" s="21"/>
      <c r="C346" s="21"/>
      <c r="D346" s="21"/>
      <c r="E346" s="1"/>
      <c r="F346" s="1"/>
      <c r="G346" s="1"/>
      <c r="H346" s="1"/>
      <c r="I346" s="1"/>
      <c r="J346" s="1"/>
      <c r="K346" s="1"/>
      <c r="L346" s="1"/>
      <c r="M346" s="1"/>
      <c r="N346" s="1"/>
      <c r="O346" s="1"/>
      <c r="P346" s="1"/>
      <c r="Q346" s="1"/>
      <c r="R346" s="1"/>
      <c r="S346" s="1"/>
      <c r="T346" s="1"/>
      <c r="U346" s="1"/>
      <c r="V346" s="1"/>
      <c r="W346" s="1"/>
      <c r="X346" s="1"/>
      <c r="Y346" s="1"/>
      <c r="Z346" s="1"/>
    </row>
    <row r="347" spans="1:26" ht="14" x14ac:dyDescent="0.15">
      <c r="A347" s="21"/>
      <c r="B347" s="21"/>
      <c r="C347" s="21"/>
      <c r="D347" s="21"/>
      <c r="E347" s="1"/>
      <c r="F347" s="1"/>
      <c r="G347" s="1"/>
      <c r="H347" s="1"/>
      <c r="I347" s="1"/>
      <c r="J347" s="1"/>
      <c r="K347" s="1"/>
      <c r="L347" s="1"/>
      <c r="M347" s="1"/>
      <c r="N347" s="1"/>
      <c r="O347" s="1"/>
      <c r="P347" s="1"/>
      <c r="Q347" s="1"/>
      <c r="R347" s="1"/>
      <c r="S347" s="1"/>
      <c r="T347" s="1"/>
      <c r="U347" s="1"/>
      <c r="V347" s="1"/>
      <c r="W347" s="1"/>
      <c r="X347" s="1"/>
      <c r="Y347" s="1"/>
      <c r="Z347" s="1"/>
    </row>
    <row r="348" spans="1:26" ht="14" x14ac:dyDescent="0.15">
      <c r="A348" s="21"/>
      <c r="B348" s="21"/>
      <c r="C348" s="21"/>
      <c r="D348" s="21"/>
      <c r="E348" s="1"/>
      <c r="F348" s="1"/>
      <c r="G348" s="1"/>
      <c r="H348" s="1"/>
      <c r="I348" s="1"/>
      <c r="J348" s="1"/>
      <c r="K348" s="1"/>
      <c r="L348" s="1"/>
      <c r="M348" s="1"/>
      <c r="N348" s="1"/>
      <c r="O348" s="1"/>
      <c r="P348" s="1"/>
      <c r="Q348" s="1"/>
      <c r="R348" s="1"/>
      <c r="S348" s="1"/>
      <c r="T348" s="1"/>
      <c r="U348" s="1"/>
      <c r="V348" s="1"/>
      <c r="W348" s="1"/>
      <c r="X348" s="1"/>
      <c r="Y348" s="1"/>
      <c r="Z348" s="1"/>
    </row>
    <row r="349" spans="1:26" ht="14" x14ac:dyDescent="0.15">
      <c r="A349" s="21"/>
      <c r="B349" s="21"/>
      <c r="C349" s="21"/>
      <c r="D349" s="21"/>
      <c r="E349" s="1"/>
      <c r="F349" s="1"/>
      <c r="G349" s="1"/>
      <c r="H349" s="1"/>
      <c r="I349" s="1"/>
      <c r="J349" s="1"/>
      <c r="K349" s="1"/>
      <c r="L349" s="1"/>
      <c r="M349" s="1"/>
      <c r="N349" s="1"/>
      <c r="O349" s="1"/>
      <c r="P349" s="1"/>
      <c r="Q349" s="1"/>
      <c r="R349" s="1"/>
      <c r="S349" s="1"/>
      <c r="T349" s="1"/>
      <c r="U349" s="1"/>
      <c r="V349" s="1"/>
      <c r="W349" s="1"/>
      <c r="X349" s="1"/>
      <c r="Y349" s="1"/>
      <c r="Z349" s="1"/>
    </row>
    <row r="350" spans="1:26" ht="14" x14ac:dyDescent="0.15">
      <c r="A350" s="21"/>
      <c r="B350" s="21"/>
      <c r="C350" s="21"/>
      <c r="D350" s="21"/>
      <c r="E350" s="1"/>
      <c r="F350" s="1"/>
      <c r="G350" s="1"/>
      <c r="H350" s="1"/>
      <c r="I350" s="1"/>
      <c r="J350" s="1"/>
      <c r="K350" s="1"/>
      <c r="L350" s="1"/>
      <c r="M350" s="1"/>
      <c r="N350" s="1"/>
      <c r="O350" s="1"/>
      <c r="P350" s="1"/>
      <c r="Q350" s="1"/>
      <c r="R350" s="1"/>
      <c r="S350" s="1"/>
      <c r="T350" s="1"/>
      <c r="U350" s="1"/>
      <c r="V350" s="1"/>
      <c r="W350" s="1"/>
      <c r="X350" s="1"/>
      <c r="Y350" s="1"/>
      <c r="Z350" s="1"/>
    </row>
    <row r="351" spans="1:26" ht="14" x14ac:dyDescent="0.15">
      <c r="A351" s="21"/>
      <c r="B351" s="21"/>
      <c r="C351" s="21"/>
      <c r="D351" s="21"/>
      <c r="E351" s="1"/>
      <c r="F351" s="1"/>
      <c r="G351" s="1"/>
      <c r="H351" s="1"/>
      <c r="I351" s="1"/>
      <c r="J351" s="1"/>
      <c r="K351" s="1"/>
      <c r="L351" s="1"/>
      <c r="M351" s="1"/>
      <c r="N351" s="1"/>
      <c r="O351" s="1"/>
      <c r="P351" s="1"/>
      <c r="Q351" s="1"/>
      <c r="R351" s="1"/>
      <c r="S351" s="1"/>
      <c r="T351" s="1"/>
      <c r="U351" s="1"/>
      <c r="V351" s="1"/>
      <c r="W351" s="1"/>
      <c r="X351" s="1"/>
      <c r="Y351" s="1"/>
      <c r="Z351" s="1"/>
    </row>
    <row r="352" spans="1:26" ht="14" x14ac:dyDescent="0.15">
      <c r="A352" s="21"/>
      <c r="B352" s="21"/>
      <c r="C352" s="21"/>
      <c r="D352" s="21"/>
      <c r="E352" s="1"/>
      <c r="F352" s="1"/>
      <c r="G352" s="1"/>
      <c r="H352" s="1"/>
      <c r="I352" s="1"/>
      <c r="J352" s="1"/>
      <c r="K352" s="1"/>
      <c r="L352" s="1"/>
      <c r="M352" s="1"/>
      <c r="N352" s="1"/>
      <c r="O352" s="1"/>
      <c r="P352" s="1"/>
      <c r="Q352" s="1"/>
      <c r="R352" s="1"/>
      <c r="S352" s="1"/>
      <c r="T352" s="1"/>
      <c r="U352" s="1"/>
      <c r="V352" s="1"/>
      <c r="W352" s="1"/>
      <c r="X352" s="1"/>
      <c r="Y352" s="1"/>
      <c r="Z352" s="1"/>
    </row>
    <row r="353" spans="1:26" ht="14" x14ac:dyDescent="0.15">
      <c r="A353" s="21"/>
      <c r="B353" s="21"/>
      <c r="C353" s="21"/>
      <c r="D353" s="21"/>
      <c r="E353" s="1"/>
      <c r="F353" s="1"/>
      <c r="G353" s="1"/>
      <c r="H353" s="1"/>
      <c r="I353" s="1"/>
      <c r="J353" s="1"/>
      <c r="K353" s="1"/>
      <c r="L353" s="1"/>
      <c r="M353" s="1"/>
      <c r="N353" s="1"/>
      <c r="O353" s="1"/>
      <c r="P353" s="1"/>
      <c r="Q353" s="1"/>
      <c r="R353" s="1"/>
      <c r="S353" s="1"/>
      <c r="T353" s="1"/>
      <c r="U353" s="1"/>
      <c r="V353" s="1"/>
      <c r="W353" s="1"/>
      <c r="X353" s="1"/>
      <c r="Y353" s="1"/>
      <c r="Z353" s="1"/>
    </row>
    <row r="354" spans="1:26" ht="14" x14ac:dyDescent="0.15">
      <c r="A354" s="21"/>
      <c r="B354" s="21"/>
      <c r="C354" s="21"/>
      <c r="D354" s="21"/>
      <c r="E354" s="1"/>
      <c r="F354" s="1"/>
      <c r="G354" s="1"/>
      <c r="H354" s="1"/>
      <c r="I354" s="1"/>
      <c r="J354" s="1"/>
      <c r="K354" s="1"/>
      <c r="L354" s="1"/>
      <c r="M354" s="1"/>
      <c r="N354" s="1"/>
      <c r="O354" s="1"/>
      <c r="P354" s="1"/>
      <c r="Q354" s="1"/>
      <c r="R354" s="1"/>
      <c r="S354" s="1"/>
      <c r="T354" s="1"/>
      <c r="U354" s="1"/>
      <c r="V354" s="1"/>
      <c r="W354" s="1"/>
      <c r="X354" s="1"/>
      <c r="Y354" s="1"/>
      <c r="Z354" s="1"/>
    </row>
    <row r="355" spans="1:26" ht="14" x14ac:dyDescent="0.15">
      <c r="A355" s="21"/>
      <c r="B355" s="21"/>
      <c r="C355" s="21"/>
      <c r="D355" s="21"/>
      <c r="E355" s="1"/>
      <c r="F355" s="1"/>
      <c r="G355" s="1"/>
      <c r="H355" s="1"/>
      <c r="I355" s="1"/>
      <c r="J355" s="1"/>
      <c r="K355" s="1"/>
      <c r="L355" s="1"/>
      <c r="M355" s="1"/>
      <c r="N355" s="1"/>
      <c r="O355" s="1"/>
      <c r="P355" s="1"/>
      <c r="Q355" s="1"/>
      <c r="R355" s="1"/>
      <c r="S355" s="1"/>
      <c r="T355" s="1"/>
      <c r="U355" s="1"/>
      <c r="V355" s="1"/>
      <c r="W355" s="1"/>
      <c r="X355" s="1"/>
      <c r="Y355" s="1"/>
      <c r="Z355" s="1"/>
    </row>
    <row r="356" spans="1:26" ht="14" x14ac:dyDescent="0.15">
      <c r="A356" s="21"/>
      <c r="B356" s="21"/>
      <c r="C356" s="21"/>
      <c r="D356" s="21"/>
      <c r="E356" s="1"/>
      <c r="F356" s="1"/>
      <c r="G356" s="1"/>
      <c r="H356" s="1"/>
      <c r="I356" s="1"/>
      <c r="J356" s="1"/>
      <c r="K356" s="1"/>
      <c r="L356" s="1"/>
      <c r="M356" s="1"/>
      <c r="N356" s="1"/>
      <c r="O356" s="1"/>
      <c r="P356" s="1"/>
      <c r="Q356" s="1"/>
      <c r="R356" s="1"/>
      <c r="S356" s="1"/>
      <c r="T356" s="1"/>
      <c r="U356" s="1"/>
      <c r="V356" s="1"/>
      <c r="W356" s="1"/>
      <c r="X356" s="1"/>
      <c r="Y356" s="1"/>
      <c r="Z356" s="1"/>
    </row>
    <row r="357" spans="1:26" ht="14" x14ac:dyDescent="0.15">
      <c r="A357" s="21"/>
      <c r="B357" s="21"/>
      <c r="C357" s="21"/>
      <c r="D357" s="21"/>
      <c r="E357" s="1"/>
      <c r="F357" s="1"/>
      <c r="G357" s="1"/>
      <c r="H357" s="1"/>
      <c r="I357" s="1"/>
      <c r="J357" s="1"/>
      <c r="K357" s="1"/>
      <c r="L357" s="1"/>
      <c r="M357" s="1"/>
      <c r="N357" s="1"/>
      <c r="O357" s="1"/>
      <c r="P357" s="1"/>
      <c r="Q357" s="1"/>
      <c r="R357" s="1"/>
      <c r="S357" s="1"/>
      <c r="T357" s="1"/>
      <c r="U357" s="1"/>
      <c r="V357" s="1"/>
      <c r="W357" s="1"/>
      <c r="X357" s="1"/>
      <c r="Y357" s="1"/>
      <c r="Z357" s="1"/>
    </row>
    <row r="358" spans="1:26" ht="14" x14ac:dyDescent="0.15">
      <c r="A358" s="21"/>
      <c r="B358" s="21"/>
      <c r="C358" s="21"/>
      <c r="D358" s="21"/>
      <c r="E358" s="1"/>
      <c r="F358" s="1"/>
      <c r="G358" s="1"/>
      <c r="H358" s="1"/>
      <c r="I358" s="1"/>
      <c r="J358" s="1"/>
      <c r="K358" s="1"/>
      <c r="L358" s="1"/>
      <c r="M358" s="1"/>
      <c r="N358" s="1"/>
      <c r="O358" s="1"/>
      <c r="P358" s="1"/>
      <c r="Q358" s="1"/>
      <c r="R358" s="1"/>
      <c r="S358" s="1"/>
      <c r="T358" s="1"/>
      <c r="U358" s="1"/>
      <c r="V358" s="1"/>
      <c r="W358" s="1"/>
      <c r="X358" s="1"/>
      <c r="Y358" s="1"/>
      <c r="Z358" s="1"/>
    </row>
    <row r="359" spans="1:26" ht="14" x14ac:dyDescent="0.15">
      <c r="A359" s="21"/>
      <c r="B359" s="21"/>
      <c r="C359" s="21"/>
      <c r="D359" s="21"/>
      <c r="E359" s="1"/>
      <c r="F359" s="1"/>
      <c r="G359" s="1"/>
      <c r="H359" s="1"/>
      <c r="I359" s="1"/>
      <c r="J359" s="1"/>
      <c r="K359" s="1"/>
      <c r="L359" s="1"/>
      <c r="M359" s="1"/>
      <c r="N359" s="1"/>
      <c r="O359" s="1"/>
      <c r="P359" s="1"/>
      <c r="Q359" s="1"/>
      <c r="R359" s="1"/>
      <c r="S359" s="1"/>
      <c r="T359" s="1"/>
      <c r="U359" s="1"/>
      <c r="V359" s="1"/>
      <c r="W359" s="1"/>
      <c r="X359" s="1"/>
      <c r="Y359" s="1"/>
      <c r="Z359" s="1"/>
    </row>
    <row r="360" spans="1:26" ht="14" x14ac:dyDescent="0.15">
      <c r="A360" s="21"/>
      <c r="B360" s="21"/>
      <c r="C360" s="21"/>
      <c r="D360" s="21"/>
      <c r="E360" s="1"/>
      <c r="F360" s="1"/>
      <c r="G360" s="1"/>
      <c r="H360" s="1"/>
      <c r="I360" s="1"/>
      <c r="J360" s="1"/>
      <c r="K360" s="1"/>
      <c r="L360" s="1"/>
      <c r="M360" s="1"/>
      <c r="N360" s="1"/>
      <c r="O360" s="1"/>
      <c r="P360" s="1"/>
      <c r="Q360" s="1"/>
      <c r="R360" s="1"/>
      <c r="S360" s="1"/>
      <c r="T360" s="1"/>
      <c r="U360" s="1"/>
      <c r="V360" s="1"/>
      <c r="W360" s="1"/>
      <c r="X360" s="1"/>
      <c r="Y360" s="1"/>
      <c r="Z360" s="1"/>
    </row>
    <row r="361" spans="1:26" ht="14" x14ac:dyDescent="0.15">
      <c r="A361" s="21"/>
      <c r="B361" s="21"/>
      <c r="C361" s="21"/>
      <c r="D361" s="21"/>
      <c r="E361" s="1"/>
      <c r="F361" s="1"/>
      <c r="G361" s="1"/>
      <c r="H361" s="1"/>
      <c r="I361" s="1"/>
      <c r="J361" s="1"/>
      <c r="K361" s="1"/>
      <c r="L361" s="1"/>
      <c r="M361" s="1"/>
      <c r="N361" s="1"/>
      <c r="O361" s="1"/>
      <c r="P361" s="1"/>
      <c r="Q361" s="1"/>
      <c r="R361" s="1"/>
      <c r="S361" s="1"/>
      <c r="T361" s="1"/>
      <c r="U361" s="1"/>
      <c r="V361" s="1"/>
      <c r="W361" s="1"/>
      <c r="X361" s="1"/>
      <c r="Y361" s="1"/>
      <c r="Z361" s="1"/>
    </row>
    <row r="362" spans="1:26" ht="14" x14ac:dyDescent="0.15">
      <c r="A362" s="21"/>
      <c r="B362" s="21"/>
      <c r="C362" s="21"/>
      <c r="D362" s="21"/>
      <c r="E362" s="1"/>
      <c r="F362" s="1"/>
      <c r="G362" s="1"/>
      <c r="H362" s="1"/>
      <c r="I362" s="1"/>
      <c r="J362" s="1"/>
      <c r="K362" s="1"/>
      <c r="L362" s="1"/>
      <c r="M362" s="1"/>
      <c r="N362" s="1"/>
      <c r="O362" s="1"/>
      <c r="P362" s="1"/>
      <c r="Q362" s="1"/>
      <c r="R362" s="1"/>
      <c r="S362" s="1"/>
      <c r="T362" s="1"/>
      <c r="U362" s="1"/>
      <c r="V362" s="1"/>
      <c r="W362" s="1"/>
      <c r="X362" s="1"/>
      <c r="Y362" s="1"/>
      <c r="Z362" s="1"/>
    </row>
    <row r="363" spans="1:26" ht="14" x14ac:dyDescent="0.15">
      <c r="A363" s="21"/>
      <c r="B363" s="21"/>
      <c r="C363" s="21"/>
      <c r="D363" s="21"/>
      <c r="E363" s="1"/>
      <c r="F363" s="1"/>
      <c r="G363" s="1"/>
      <c r="H363" s="1"/>
      <c r="I363" s="1"/>
      <c r="J363" s="1"/>
      <c r="K363" s="1"/>
      <c r="L363" s="1"/>
      <c r="M363" s="1"/>
      <c r="N363" s="1"/>
      <c r="O363" s="1"/>
      <c r="P363" s="1"/>
      <c r="Q363" s="1"/>
      <c r="R363" s="1"/>
      <c r="S363" s="1"/>
      <c r="T363" s="1"/>
      <c r="U363" s="1"/>
      <c r="V363" s="1"/>
      <c r="W363" s="1"/>
      <c r="X363" s="1"/>
      <c r="Y363" s="1"/>
      <c r="Z363" s="1"/>
    </row>
    <row r="364" spans="1:26" ht="14" x14ac:dyDescent="0.15">
      <c r="A364" s="21"/>
      <c r="B364" s="21"/>
      <c r="C364" s="21"/>
      <c r="D364" s="21"/>
      <c r="E364" s="1"/>
      <c r="F364" s="1"/>
      <c r="G364" s="1"/>
      <c r="H364" s="1"/>
      <c r="I364" s="1"/>
      <c r="J364" s="1"/>
      <c r="K364" s="1"/>
      <c r="L364" s="1"/>
      <c r="M364" s="1"/>
      <c r="N364" s="1"/>
      <c r="O364" s="1"/>
      <c r="P364" s="1"/>
      <c r="Q364" s="1"/>
      <c r="R364" s="1"/>
      <c r="S364" s="1"/>
      <c r="T364" s="1"/>
      <c r="U364" s="1"/>
      <c r="V364" s="1"/>
      <c r="W364" s="1"/>
      <c r="X364" s="1"/>
      <c r="Y364" s="1"/>
      <c r="Z364" s="1"/>
    </row>
    <row r="365" spans="1:26" ht="14" x14ac:dyDescent="0.15">
      <c r="A365" s="21"/>
      <c r="B365" s="21"/>
      <c r="C365" s="21"/>
      <c r="D365" s="21"/>
      <c r="E365" s="1"/>
      <c r="F365" s="1"/>
      <c r="G365" s="1"/>
      <c r="H365" s="1"/>
      <c r="I365" s="1"/>
      <c r="J365" s="1"/>
      <c r="K365" s="1"/>
      <c r="L365" s="1"/>
      <c r="M365" s="1"/>
      <c r="N365" s="1"/>
      <c r="O365" s="1"/>
      <c r="P365" s="1"/>
      <c r="Q365" s="1"/>
      <c r="R365" s="1"/>
      <c r="S365" s="1"/>
      <c r="T365" s="1"/>
      <c r="U365" s="1"/>
      <c r="V365" s="1"/>
      <c r="W365" s="1"/>
      <c r="X365" s="1"/>
      <c r="Y365" s="1"/>
      <c r="Z365" s="1"/>
    </row>
    <row r="366" spans="1:26" ht="14" x14ac:dyDescent="0.15">
      <c r="A366" s="21"/>
      <c r="B366" s="21"/>
      <c r="C366" s="21"/>
      <c r="D366" s="21"/>
      <c r="E366" s="1"/>
      <c r="F366" s="1"/>
      <c r="G366" s="1"/>
      <c r="H366" s="1"/>
      <c r="I366" s="1"/>
      <c r="J366" s="1"/>
      <c r="K366" s="1"/>
      <c r="L366" s="1"/>
      <c r="M366" s="1"/>
      <c r="N366" s="1"/>
      <c r="O366" s="1"/>
      <c r="P366" s="1"/>
      <c r="Q366" s="1"/>
      <c r="R366" s="1"/>
      <c r="S366" s="1"/>
      <c r="T366" s="1"/>
      <c r="U366" s="1"/>
      <c r="V366" s="1"/>
      <c r="W366" s="1"/>
      <c r="X366" s="1"/>
      <c r="Y366" s="1"/>
      <c r="Z366" s="1"/>
    </row>
    <row r="367" spans="1:26" ht="14" x14ac:dyDescent="0.15">
      <c r="A367" s="21"/>
      <c r="B367" s="21"/>
      <c r="C367" s="21"/>
      <c r="D367" s="21"/>
      <c r="E367" s="1"/>
      <c r="F367" s="1"/>
      <c r="G367" s="1"/>
      <c r="H367" s="1"/>
      <c r="I367" s="1"/>
      <c r="J367" s="1"/>
      <c r="K367" s="1"/>
      <c r="L367" s="1"/>
      <c r="M367" s="1"/>
      <c r="N367" s="1"/>
      <c r="O367" s="1"/>
      <c r="P367" s="1"/>
      <c r="Q367" s="1"/>
      <c r="R367" s="1"/>
      <c r="S367" s="1"/>
      <c r="T367" s="1"/>
      <c r="U367" s="1"/>
      <c r="V367" s="1"/>
      <c r="W367" s="1"/>
      <c r="X367" s="1"/>
      <c r="Y367" s="1"/>
      <c r="Z367" s="1"/>
    </row>
    <row r="368" spans="1:26" ht="14" x14ac:dyDescent="0.15">
      <c r="A368" s="21"/>
      <c r="B368" s="21"/>
      <c r="C368" s="21"/>
      <c r="D368" s="21"/>
      <c r="E368" s="1"/>
      <c r="F368" s="1"/>
      <c r="G368" s="1"/>
      <c r="H368" s="1"/>
      <c r="I368" s="1"/>
      <c r="J368" s="1"/>
      <c r="K368" s="1"/>
      <c r="L368" s="1"/>
      <c r="M368" s="1"/>
      <c r="N368" s="1"/>
      <c r="O368" s="1"/>
      <c r="P368" s="1"/>
      <c r="Q368" s="1"/>
      <c r="R368" s="1"/>
      <c r="S368" s="1"/>
      <c r="T368" s="1"/>
      <c r="U368" s="1"/>
      <c r="V368" s="1"/>
      <c r="W368" s="1"/>
      <c r="X368" s="1"/>
      <c r="Y368" s="1"/>
      <c r="Z368" s="1"/>
    </row>
    <row r="369" spans="1:26" ht="14" x14ac:dyDescent="0.15">
      <c r="A369" s="21"/>
      <c r="B369" s="21"/>
      <c r="C369" s="21"/>
      <c r="D369" s="21"/>
      <c r="E369" s="1"/>
      <c r="F369" s="1"/>
      <c r="G369" s="1"/>
      <c r="H369" s="1"/>
      <c r="I369" s="1"/>
      <c r="J369" s="1"/>
      <c r="K369" s="1"/>
      <c r="L369" s="1"/>
      <c r="M369" s="1"/>
      <c r="N369" s="1"/>
      <c r="O369" s="1"/>
      <c r="P369" s="1"/>
      <c r="Q369" s="1"/>
      <c r="R369" s="1"/>
      <c r="S369" s="1"/>
      <c r="T369" s="1"/>
      <c r="U369" s="1"/>
      <c r="V369" s="1"/>
      <c r="W369" s="1"/>
      <c r="X369" s="1"/>
      <c r="Y369" s="1"/>
      <c r="Z369" s="1"/>
    </row>
    <row r="370" spans="1:26" ht="14" x14ac:dyDescent="0.15">
      <c r="A370" s="21"/>
      <c r="B370" s="21"/>
      <c r="C370" s="21"/>
      <c r="D370" s="21"/>
      <c r="E370" s="1"/>
      <c r="F370" s="1"/>
      <c r="G370" s="1"/>
      <c r="H370" s="1"/>
      <c r="I370" s="1"/>
      <c r="J370" s="1"/>
      <c r="K370" s="1"/>
      <c r="L370" s="1"/>
      <c r="M370" s="1"/>
      <c r="N370" s="1"/>
      <c r="O370" s="1"/>
      <c r="P370" s="1"/>
      <c r="Q370" s="1"/>
      <c r="R370" s="1"/>
      <c r="S370" s="1"/>
      <c r="T370" s="1"/>
      <c r="U370" s="1"/>
      <c r="V370" s="1"/>
      <c r="W370" s="1"/>
      <c r="X370" s="1"/>
      <c r="Y370" s="1"/>
      <c r="Z370" s="1"/>
    </row>
    <row r="371" spans="1:26" ht="14" x14ac:dyDescent="0.15">
      <c r="A371" s="21"/>
      <c r="B371" s="21"/>
      <c r="C371" s="21"/>
      <c r="D371" s="21"/>
      <c r="E371" s="1"/>
      <c r="F371" s="1"/>
      <c r="G371" s="1"/>
      <c r="H371" s="1"/>
      <c r="I371" s="1"/>
      <c r="J371" s="1"/>
      <c r="K371" s="1"/>
      <c r="L371" s="1"/>
      <c r="M371" s="1"/>
      <c r="N371" s="1"/>
      <c r="O371" s="1"/>
      <c r="P371" s="1"/>
      <c r="Q371" s="1"/>
      <c r="R371" s="1"/>
      <c r="S371" s="1"/>
      <c r="T371" s="1"/>
      <c r="U371" s="1"/>
      <c r="V371" s="1"/>
      <c r="W371" s="1"/>
      <c r="X371" s="1"/>
      <c r="Y371" s="1"/>
      <c r="Z371" s="1"/>
    </row>
    <row r="372" spans="1:26" ht="14" x14ac:dyDescent="0.15">
      <c r="A372" s="21"/>
      <c r="B372" s="21"/>
      <c r="C372" s="21"/>
      <c r="D372" s="21"/>
      <c r="E372" s="1"/>
      <c r="F372" s="1"/>
      <c r="G372" s="1"/>
      <c r="H372" s="1"/>
      <c r="I372" s="1"/>
      <c r="J372" s="1"/>
      <c r="K372" s="1"/>
      <c r="L372" s="1"/>
      <c r="M372" s="1"/>
      <c r="N372" s="1"/>
      <c r="O372" s="1"/>
      <c r="P372" s="1"/>
      <c r="Q372" s="1"/>
      <c r="R372" s="1"/>
      <c r="S372" s="1"/>
      <c r="T372" s="1"/>
      <c r="U372" s="1"/>
      <c r="V372" s="1"/>
      <c r="W372" s="1"/>
      <c r="X372" s="1"/>
      <c r="Y372" s="1"/>
      <c r="Z372" s="1"/>
    </row>
    <row r="373" spans="1:26" ht="14" x14ac:dyDescent="0.15">
      <c r="A373" s="21"/>
      <c r="B373" s="21"/>
      <c r="C373" s="21"/>
      <c r="D373" s="21"/>
      <c r="E373" s="1"/>
      <c r="F373" s="1"/>
      <c r="G373" s="1"/>
      <c r="H373" s="1"/>
      <c r="I373" s="1"/>
      <c r="J373" s="1"/>
      <c r="K373" s="1"/>
      <c r="L373" s="1"/>
      <c r="M373" s="1"/>
      <c r="N373" s="1"/>
      <c r="O373" s="1"/>
      <c r="P373" s="1"/>
      <c r="Q373" s="1"/>
      <c r="R373" s="1"/>
      <c r="S373" s="1"/>
      <c r="T373" s="1"/>
      <c r="U373" s="1"/>
      <c r="V373" s="1"/>
      <c r="W373" s="1"/>
      <c r="X373" s="1"/>
      <c r="Y373" s="1"/>
      <c r="Z373" s="1"/>
    </row>
    <row r="374" spans="1:26" ht="14" x14ac:dyDescent="0.15">
      <c r="A374" s="21"/>
      <c r="B374" s="21"/>
      <c r="C374" s="21"/>
      <c r="D374" s="21"/>
      <c r="E374" s="1"/>
      <c r="F374" s="1"/>
      <c r="G374" s="1"/>
      <c r="H374" s="1"/>
      <c r="I374" s="1"/>
      <c r="J374" s="1"/>
      <c r="K374" s="1"/>
      <c r="L374" s="1"/>
      <c r="M374" s="1"/>
      <c r="N374" s="1"/>
      <c r="O374" s="1"/>
      <c r="P374" s="1"/>
      <c r="Q374" s="1"/>
      <c r="R374" s="1"/>
      <c r="S374" s="1"/>
      <c r="T374" s="1"/>
      <c r="U374" s="1"/>
      <c r="V374" s="1"/>
      <c r="W374" s="1"/>
      <c r="X374" s="1"/>
      <c r="Y374" s="1"/>
      <c r="Z374" s="1"/>
    </row>
    <row r="375" spans="1:26" ht="14" x14ac:dyDescent="0.15">
      <c r="A375" s="21"/>
      <c r="B375" s="21"/>
      <c r="C375" s="21"/>
      <c r="D375" s="21"/>
      <c r="E375" s="1"/>
      <c r="F375" s="1"/>
      <c r="G375" s="1"/>
      <c r="H375" s="1"/>
      <c r="I375" s="1"/>
      <c r="J375" s="1"/>
      <c r="K375" s="1"/>
      <c r="L375" s="1"/>
      <c r="M375" s="1"/>
      <c r="N375" s="1"/>
      <c r="O375" s="1"/>
      <c r="P375" s="1"/>
      <c r="Q375" s="1"/>
      <c r="R375" s="1"/>
      <c r="S375" s="1"/>
      <c r="T375" s="1"/>
      <c r="U375" s="1"/>
      <c r="V375" s="1"/>
      <c r="W375" s="1"/>
      <c r="X375" s="1"/>
      <c r="Y375" s="1"/>
      <c r="Z375" s="1"/>
    </row>
    <row r="376" spans="1:26" ht="14" x14ac:dyDescent="0.15">
      <c r="A376" s="21"/>
      <c r="B376" s="21"/>
      <c r="C376" s="21"/>
      <c r="D376" s="21"/>
      <c r="E376" s="1"/>
      <c r="F376" s="1"/>
      <c r="G376" s="1"/>
      <c r="H376" s="1"/>
      <c r="I376" s="1"/>
      <c r="J376" s="1"/>
      <c r="K376" s="1"/>
      <c r="L376" s="1"/>
      <c r="M376" s="1"/>
      <c r="N376" s="1"/>
      <c r="O376" s="1"/>
      <c r="P376" s="1"/>
      <c r="Q376" s="1"/>
      <c r="R376" s="1"/>
      <c r="S376" s="1"/>
      <c r="T376" s="1"/>
      <c r="U376" s="1"/>
      <c r="V376" s="1"/>
      <c r="W376" s="1"/>
      <c r="X376" s="1"/>
      <c r="Y376" s="1"/>
      <c r="Z376" s="1"/>
    </row>
    <row r="377" spans="1:26" ht="14" x14ac:dyDescent="0.15">
      <c r="A377" s="21"/>
      <c r="B377" s="21"/>
      <c r="C377" s="21"/>
      <c r="D377" s="21"/>
      <c r="E377" s="1"/>
      <c r="F377" s="1"/>
      <c r="G377" s="1"/>
      <c r="H377" s="1"/>
      <c r="I377" s="1"/>
      <c r="J377" s="1"/>
      <c r="K377" s="1"/>
      <c r="L377" s="1"/>
      <c r="M377" s="1"/>
      <c r="N377" s="1"/>
      <c r="O377" s="1"/>
      <c r="P377" s="1"/>
      <c r="Q377" s="1"/>
      <c r="R377" s="1"/>
      <c r="S377" s="1"/>
      <c r="T377" s="1"/>
      <c r="U377" s="1"/>
      <c r="V377" s="1"/>
      <c r="W377" s="1"/>
      <c r="X377" s="1"/>
      <c r="Y377" s="1"/>
      <c r="Z377" s="1"/>
    </row>
    <row r="378" spans="1:26" ht="14" x14ac:dyDescent="0.15">
      <c r="A378" s="21"/>
      <c r="B378" s="21"/>
      <c r="C378" s="21"/>
      <c r="D378" s="21"/>
      <c r="E378" s="1"/>
      <c r="F378" s="1"/>
      <c r="G378" s="1"/>
      <c r="H378" s="1"/>
      <c r="I378" s="1"/>
      <c r="J378" s="1"/>
      <c r="K378" s="1"/>
      <c r="L378" s="1"/>
      <c r="M378" s="1"/>
      <c r="N378" s="1"/>
      <c r="O378" s="1"/>
      <c r="P378" s="1"/>
      <c r="Q378" s="1"/>
      <c r="R378" s="1"/>
      <c r="S378" s="1"/>
      <c r="T378" s="1"/>
      <c r="U378" s="1"/>
      <c r="V378" s="1"/>
      <c r="W378" s="1"/>
      <c r="X378" s="1"/>
      <c r="Y378" s="1"/>
      <c r="Z378" s="1"/>
    </row>
    <row r="379" spans="1:26" ht="14" x14ac:dyDescent="0.15">
      <c r="A379" s="21"/>
      <c r="B379" s="21"/>
      <c r="C379" s="21"/>
      <c r="D379" s="21"/>
      <c r="E379" s="1"/>
      <c r="F379" s="1"/>
      <c r="G379" s="1"/>
      <c r="H379" s="1"/>
      <c r="I379" s="1"/>
      <c r="J379" s="1"/>
      <c r="K379" s="1"/>
      <c r="L379" s="1"/>
      <c r="M379" s="1"/>
      <c r="N379" s="1"/>
      <c r="O379" s="1"/>
      <c r="P379" s="1"/>
      <c r="Q379" s="1"/>
      <c r="R379" s="1"/>
      <c r="S379" s="1"/>
      <c r="T379" s="1"/>
      <c r="U379" s="1"/>
      <c r="V379" s="1"/>
      <c r="W379" s="1"/>
      <c r="X379" s="1"/>
      <c r="Y379" s="1"/>
      <c r="Z379" s="1"/>
    </row>
    <row r="380" spans="1:26" ht="14" x14ac:dyDescent="0.15">
      <c r="A380" s="21"/>
      <c r="B380" s="21"/>
      <c r="C380" s="21"/>
      <c r="D380" s="21"/>
      <c r="E380" s="1"/>
      <c r="F380" s="1"/>
      <c r="G380" s="1"/>
      <c r="H380" s="1"/>
      <c r="I380" s="1"/>
      <c r="J380" s="1"/>
      <c r="K380" s="1"/>
      <c r="L380" s="1"/>
      <c r="M380" s="1"/>
      <c r="N380" s="1"/>
      <c r="O380" s="1"/>
      <c r="P380" s="1"/>
      <c r="Q380" s="1"/>
      <c r="R380" s="1"/>
      <c r="S380" s="1"/>
      <c r="T380" s="1"/>
      <c r="U380" s="1"/>
      <c r="V380" s="1"/>
      <c r="W380" s="1"/>
      <c r="X380" s="1"/>
      <c r="Y380" s="1"/>
      <c r="Z380" s="1"/>
    </row>
    <row r="381" spans="1:26" ht="14" x14ac:dyDescent="0.15">
      <c r="A381" s="21"/>
      <c r="B381" s="21"/>
      <c r="C381" s="21"/>
      <c r="D381" s="21"/>
      <c r="E381" s="1"/>
      <c r="F381" s="1"/>
      <c r="G381" s="1"/>
      <c r="H381" s="1"/>
      <c r="I381" s="1"/>
      <c r="J381" s="1"/>
      <c r="K381" s="1"/>
      <c r="L381" s="1"/>
      <c r="M381" s="1"/>
      <c r="N381" s="1"/>
      <c r="O381" s="1"/>
      <c r="P381" s="1"/>
      <c r="Q381" s="1"/>
      <c r="R381" s="1"/>
      <c r="S381" s="1"/>
      <c r="T381" s="1"/>
      <c r="U381" s="1"/>
      <c r="V381" s="1"/>
      <c r="W381" s="1"/>
      <c r="X381" s="1"/>
      <c r="Y381" s="1"/>
      <c r="Z381" s="1"/>
    </row>
    <row r="382" spans="1:26" ht="14" x14ac:dyDescent="0.15">
      <c r="A382" s="21"/>
      <c r="B382" s="21"/>
      <c r="C382" s="21"/>
      <c r="D382" s="21"/>
      <c r="E382" s="1"/>
      <c r="F382" s="1"/>
      <c r="G382" s="1"/>
      <c r="H382" s="1"/>
      <c r="I382" s="1"/>
      <c r="J382" s="1"/>
      <c r="K382" s="1"/>
      <c r="L382" s="1"/>
      <c r="M382" s="1"/>
      <c r="N382" s="1"/>
      <c r="O382" s="1"/>
      <c r="P382" s="1"/>
      <c r="Q382" s="1"/>
      <c r="R382" s="1"/>
      <c r="S382" s="1"/>
      <c r="T382" s="1"/>
      <c r="U382" s="1"/>
      <c r="V382" s="1"/>
      <c r="W382" s="1"/>
      <c r="X382" s="1"/>
      <c r="Y382" s="1"/>
      <c r="Z382" s="1"/>
    </row>
    <row r="383" spans="1:26" ht="14" x14ac:dyDescent="0.15">
      <c r="A383" s="21"/>
      <c r="B383" s="21"/>
      <c r="C383" s="21"/>
      <c r="D383" s="21"/>
      <c r="E383" s="1"/>
      <c r="F383" s="1"/>
      <c r="G383" s="1"/>
      <c r="H383" s="1"/>
      <c r="I383" s="1"/>
      <c r="J383" s="1"/>
      <c r="K383" s="1"/>
      <c r="L383" s="1"/>
      <c r="M383" s="1"/>
      <c r="N383" s="1"/>
      <c r="O383" s="1"/>
      <c r="P383" s="1"/>
      <c r="Q383" s="1"/>
      <c r="R383" s="1"/>
      <c r="S383" s="1"/>
      <c r="T383" s="1"/>
      <c r="U383" s="1"/>
      <c r="V383" s="1"/>
      <c r="W383" s="1"/>
      <c r="X383" s="1"/>
      <c r="Y383" s="1"/>
      <c r="Z383" s="1"/>
    </row>
    <row r="384" spans="1:26" ht="14" x14ac:dyDescent="0.15">
      <c r="A384" s="21"/>
      <c r="B384" s="21"/>
      <c r="C384" s="21"/>
      <c r="D384" s="21"/>
      <c r="E384" s="1"/>
      <c r="F384" s="1"/>
      <c r="G384" s="1"/>
      <c r="H384" s="1"/>
      <c r="I384" s="1"/>
      <c r="J384" s="1"/>
      <c r="K384" s="1"/>
      <c r="L384" s="1"/>
      <c r="M384" s="1"/>
      <c r="N384" s="1"/>
      <c r="O384" s="1"/>
      <c r="P384" s="1"/>
      <c r="Q384" s="1"/>
      <c r="R384" s="1"/>
      <c r="S384" s="1"/>
      <c r="T384" s="1"/>
      <c r="U384" s="1"/>
      <c r="V384" s="1"/>
      <c r="W384" s="1"/>
      <c r="X384" s="1"/>
      <c r="Y384" s="1"/>
      <c r="Z384" s="1"/>
    </row>
    <row r="385" spans="1:26" ht="14" x14ac:dyDescent="0.15">
      <c r="A385" s="21"/>
      <c r="B385" s="21"/>
      <c r="C385" s="21"/>
      <c r="D385" s="21"/>
      <c r="E385" s="1"/>
      <c r="F385" s="1"/>
      <c r="G385" s="1"/>
      <c r="H385" s="1"/>
      <c r="I385" s="1"/>
      <c r="J385" s="1"/>
      <c r="K385" s="1"/>
      <c r="L385" s="1"/>
      <c r="M385" s="1"/>
      <c r="N385" s="1"/>
      <c r="O385" s="1"/>
      <c r="P385" s="1"/>
      <c r="Q385" s="1"/>
      <c r="R385" s="1"/>
      <c r="S385" s="1"/>
      <c r="T385" s="1"/>
      <c r="U385" s="1"/>
      <c r="V385" s="1"/>
      <c r="W385" s="1"/>
      <c r="X385" s="1"/>
      <c r="Y385" s="1"/>
      <c r="Z385" s="1"/>
    </row>
    <row r="386" spans="1:26" ht="14" x14ac:dyDescent="0.15">
      <c r="A386" s="21"/>
      <c r="B386" s="21"/>
      <c r="C386" s="21"/>
      <c r="D386" s="21"/>
      <c r="E386" s="1"/>
      <c r="F386" s="1"/>
      <c r="G386" s="1"/>
      <c r="H386" s="1"/>
      <c r="I386" s="1"/>
      <c r="J386" s="1"/>
      <c r="K386" s="1"/>
      <c r="L386" s="1"/>
      <c r="M386" s="1"/>
      <c r="N386" s="1"/>
      <c r="O386" s="1"/>
      <c r="P386" s="1"/>
      <c r="Q386" s="1"/>
      <c r="R386" s="1"/>
      <c r="S386" s="1"/>
      <c r="T386" s="1"/>
      <c r="U386" s="1"/>
      <c r="V386" s="1"/>
      <c r="W386" s="1"/>
      <c r="X386" s="1"/>
      <c r="Y386" s="1"/>
      <c r="Z386" s="1"/>
    </row>
    <row r="387" spans="1:26" ht="14" x14ac:dyDescent="0.15">
      <c r="A387" s="21"/>
      <c r="B387" s="21"/>
      <c r="C387" s="21"/>
      <c r="D387" s="21"/>
      <c r="E387" s="1"/>
      <c r="F387" s="1"/>
      <c r="G387" s="1"/>
      <c r="H387" s="1"/>
      <c r="I387" s="1"/>
      <c r="J387" s="1"/>
      <c r="K387" s="1"/>
      <c r="L387" s="1"/>
      <c r="M387" s="1"/>
      <c r="N387" s="1"/>
      <c r="O387" s="1"/>
      <c r="P387" s="1"/>
      <c r="Q387" s="1"/>
      <c r="R387" s="1"/>
      <c r="S387" s="1"/>
      <c r="T387" s="1"/>
      <c r="U387" s="1"/>
      <c r="V387" s="1"/>
      <c r="W387" s="1"/>
      <c r="X387" s="1"/>
      <c r="Y387" s="1"/>
      <c r="Z387" s="1"/>
    </row>
    <row r="388" spans="1:26" ht="14" x14ac:dyDescent="0.15">
      <c r="A388" s="21"/>
      <c r="B388" s="21"/>
      <c r="C388" s="21"/>
      <c r="D388" s="21"/>
      <c r="E388" s="1"/>
      <c r="F388" s="1"/>
      <c r="G388" s="1"/>
      <c r="H388" s="1"/>
      <c r="I388" s="1"/>
      <c r="J388" s="1"/>
      <c r="K388" s="1"/>
      <c r="L388" s="1"/>
      <c r="M388" s="1"/>
      <c r="N388" s="1"/>
      <c r="O388" s="1"/>
      <c r="P388" s="1"/>
      <c r="Q388" s="1"/>
      <c r="R388" s="1"/>
      <c r="S388" s="1"/>
      <c r="T388" s="1"/>
      <c r="U388" s="1"/>
      <c r="V388" s="1"/>
      <c r="W388" s="1"/>
      <c r="X388" s="1"/>
      <c r="Y388" s="1"/>
      <c r="Z388" s="1"/>
    </row>
    <row r="389" spans="1:26" ht="14" x14ac:dyDescent="0.15">
      <c r="A389" s="21"/>
      <c r="B389" s="21"/>
      <c r="C389" s="21"/>
      <c r="D389" s="21"/>
      <c r="E389" s="1"/>
      <c r="F389" s="1"/>
      <c r="G389" s="1"/>
      <c r="H389" s="1"/>
      <c r="I389" s="1"/>
      <c r="J389" s="1"/>
      <c r="K389" s="1"/>
      <c r="L389" s="1"/>
      <c r="M389" s="1"/>
      <c r="N389" s="1"/>
      <c r="O389" s="1"/>
      <c r="P389" s="1"/>
      <c r="Q389" s="1"/>
      <c r="R389" s="1"/>
      <c r="S389" s="1"/>
      <c r="T389" s="1"/>
      <c r="U389" s="1"/>
      <c r="V389" s="1"/>
      <c r="W389" s="1"/>
      <c r="X389" s="1"/>
      <c r="Y389" s="1"/>
      <c r="Z389" s="1"/>
    </row>
    <row r="390" spans="1:26" ht="14" x14ac:dyDescent="0.15">
      <c r="A390" s="21"/>
      <c r="B390" s="21"/>
      <c r="C390" s="21"/>
      <c r="D390" s="21"/>
      <c r="E390" s="1"/>
      <c r="F390" s="1"/>
      <c r="G390" s="1"/>
      <c r="H390" s="1"/>
      <c r="I390" s="1"/>
      <c r="J390" s="1"/>
      <c r="K390" s="1"/>
      <c r="L390" s="1"/>
      <c r="M390" s="1"/>
      <c r="N390" s="1"/>
      <c r="O390" s="1"/>
      <c r="P390" s="1"/>
      <c r="Q390" s="1"/>
      <c r="R390" s="1"/>
      <c r="S390" s="1"/>
      <c r="T390" s="1"/>
      <c r="U390" s="1"/>
      <c r="V390" s="1"/>
      <c r="W390" s="1"/>
      <c r="X390" s="1"/>
      <c r="Y390" s="1"/>
      <c r="Z390" s="1"/>
    </row>
    <row r="391" spans="1:26" ht="14" x14ac:dyDescent="0.15">
      <c r="A391" s="21"/>
      <c r="B391" s="21"/>
      <c r="C391" s="21"/>
      <c r="D391" s="21"/>
      <c r="E391" s="1"/>
      <c r="F391" s="1"/>
      <c r="G391" s="1"/>
      <c r="H391" s="1"/>
      <c r="I391" s="1"/>
      <c r="J391" s="1"/>
      <c r="K391" s="1"/>
      <c r="L391" s="1"/>
      <c r="M391" s="1"/>
      <c r="N391" s="1"/>
      <c r="O391" s="1"/>
      <c r="P391" s="1"/>
      <c r="Q391" s="1"/>
      <c r="R391" s="1"/>
      <c r="S391" s="1"/>
      <c r="T391" s="1"/>
      <c r="U391" s="1"/>
      <c r="V391" s="1"/>
      <c r="W391" s="1"/>
      <c r="X391" s="1"/>
      <c r="Y391" s="1"/>
      <c r="Z391" s="1"/>
    </row>
    <row r="392" spans="1:26" ht="14" x14ac:dyDescent="0.15">
      <c r="A392" s="21"/>
      <c r="B392" s="21"/>
      <c r="C392" s="21"/>
      <c r="D392" s="21"/>
      <c r="E392" s="1"/>
      <c r="F392" s="1"/>
      <c r="G392" s="1"/>
      <c r="H392" s="1"/>
      <c r="I392" s="1"/>
      <c r="J392" s="1"/>
      <c r="K392" s="1"/>
      <c r="L392" s="1"/>
      <c r="M392" s="1"/>
      <c r="N392" s="1"/>
      <c r="O392" s="1"/>
      <c r="P392" s="1"/>
      <c r="Q392" s="1"/>
      <c r="R392" s="1"/>
      <c r="S392" s="1"/>
      <c r="T392" s="1"/>
      <c r="U392" s="1"/>
      <c r="V392" s="1"/>
      <c r="W392" s="1"/>
      <c r="X392" s="1"/>
      <c r="Y392" s="1"/>
      <c r="Z392" s="1"/>
    </row>
    <row r="393" spans="1:26" ht="14" x14ac:dyDescent="0.15">
      <c r="A393" s="21"/>
      <c r="B393" s="21"/>
      <c r="C393" s="21"/>
      <c r="D393" s="21"/>
      <c r="E393" s="1"/>
      <c r="F393" s="1"/>
      <c r="G393" s="1"/>
      <c r="H393" s="1"/>
      <c r="I393" s="1"/>
      <c r="J393" s="1"/>
      <c r="K393" s="1"/>
      <c r="L393" s="1"/>
      <c r="M393" s="1"/>
      <c r="N393" s="1"/>
      <c r="O393" s="1"/>
      <c r="P393" s="1"/>
      <c r="Q393" s="1"/>
      <c r="R393" s="1"/>
      <c r="S393" s="1"/>
      <c r="T393" s="1"/>
      <c r="U393" s="1"/>
      <c r="V393" s="1"/>
      <c r="W393" s="1"/>
      <c r="X393" s="1"/>
      <c r="Y393" s="1"/>
      <c r="Z393" s="1"/>
    </row>
    <row r="394" spans="1:26" ht="14" x14ac:dyDescent="0.15">
      <c r="A394" s="21"/>
      <c r="B394" s="21"/>
      <c r="C394" s="21"/>
      <c r="D394" s="21"/>
      <c r="E394" s="1"/>
      <c r="F394" s="1"/>
      <c r="G394" s="1"/>
      <c r="H394" s="1"/>
      <c r="I394" s="1"/>
      <c r="J394" s="1"/>
      <c r="K394" s="1"/>
      <c r="L394" s="1"/>
      <c r="M394" s="1"/>
      <c r="N394" s="1"/>
      <c r="O394" s="1"/>
      <c r="P394" s="1"/>
      <c r="Q394" s="1"/>
      <c r="R394" s="1"/>
      <c r="S394" s="1"/>
      <c r="T394" s="1"/>
      <c r="U394" s="1"/>
      <c r="V394" s="1"/>
      <c r="W394" s="1"/>
      <c r="X394" s="1"/>
      <c r="Y394" s="1"/>
      <c r="Z394" s="1"/>
    </row>
    <row r="395" spans="1:26" ht="14" x14ac:dyDescent="0.15">
      <c r="A395" s="21"/>
      <c r="B395" s="21"/>
      <c r="C395" s="21"/>
      <c r="D395" s="21"/>
      <c r="E395" s="1"/>
      <c r="F395" s="1"/>
      <c r="G395" s="1"/>
      <c r="H395" s="1"/>
      <c r="I395" s="1"/>
      <c r="J395" s="1"/>
      <c r="K395" s="1"/>
      <c r="L395" s="1"/>
      <c r="M395" s="1"/>
      <c r="N395" s="1"/>
      <c r="O395" s="1"/>
      <c r="P395" s="1"/>
      <c r="Q395" s="1"/>
      <c r="R395" s="1"/>
      <c r="S395" s="1"/>
      <c r="T395" s="1"/>
      <c r="U395" s="1"/>
      <c r="V395" s="1"/>
      <c r="W395" s="1"/>
      <c r="X395" s="1"/>
      <c r="Y395" s="1"/>
      <c r="Z395" s="1"/>
    </row>
    <row r="396" spans="1:26" ht="14" x14ac:dyDescent="0.15">
      <c r="A396" s="21"/>
      <c r="B396" s="21"/>
      <c r="C396" s="21"/>
      <c r="D396" s="21"/>
      <c r="E396" s="1"/>
      <c r="F396" s="1"/>
      <c r="G396" s="1"/>
      <c r="H396" s="1"/>
      <c r="I396" s="1"/>
      <c r="J396" s="1"/>
      <c r="K396" s="1"/>
      <c r="L396" s="1"/>
      <c r="M396" s="1"/>
      <c r="N396" s="1"/>
      <c r="O396" s="1"/>
      <c r="P396" s="1"/>
      <c r="Q396" s="1"/>
      <c r="R396" s="1"/>
      <c r="S396" s="1"/>
      <c r="T396" s="1"/>
      <c r="U396" s="1"/>
      <c r="V396" s="1"/>
      <c r="W396" s="1"/>
      <c r="X396" s="1"/>
      <c r="Y396" s="1"/>
      <c r="Z396" s="1"/>
    </row>
    <row r="397" spans="1:26" ht="14" x14ac:dyDescent="0.15">
      <c r="A397" s="21"/>
      <c r="B397" s="21"/>
      <c r="C397" s="21"/>
      <c r="D397" s="21"/>
      <c r="E397" s="1"/>
      <c r="F397" s="1"/>
      <c r="G397" s="1"/>
      <c r="H397" s="1"/>
      <c r="I397" s="1"/>
      <c r="J397" s="1"/>
      <c r="K397" s="1"/>
      <c r="L397" s="1"/>
      <c r="M397" s="1"/>
      <c r="N397" s="1"/>
      <c r="O397" s="1"/>
      <c r="P397" s="1"/>
      <c r="Q397" s="1"/>
      <c r="R397" s="1"/>
      <c r="S397" s="1"/>
      <c r="T397" s="1"/>
      <c r="U397" s="1"/>
      <c r="V397" s="1"/>
      <c r="W397" s="1"/>
      <c r="X397" s="1"/>
      <c r="Y397" s="1"/>
      <c r="Z397" s="1"/>
    </row>
    <row r="398" spans="1:26" ht="14" x14ac:dyDescent="0.15">
      <c r="A398" s="21"/>
      <c r="B398" s="21"/>
      <c r="C398" s="21"/>
      <c r="D398" s="21"/>
      <c r="E398" s="1"/>
      <c r="F398" s="1"/>
      <c r="G398" s="1"/>
      <c r="H398" s="1"/>
      <c r="I398" s="1"/>
      <c r="J398" s="1"/>
      <c r="K398" s="1"/>
      <c r="L398" s="1"/>
      <c r="M398" s="1"/>
      <c r="N398" s="1"/>
      <c r="O398" s="1"/>
      <c r="P398" s="1"/>
      <c r="Q398" s="1"/>
      <c r="R398" s="1"/>
      <c r="S398" s="1"/>
      <c r="T398" s="1"/>
      <c r="U398" s="1"/>
      <c r="V398" s="1"/>
      <c r="W398" s="1"/>
      <c r="X398" s="1"/>
      <c r="Y398" s="1"/>
      <c r="Z398" s="1"/>
    </row>
    <row r="399" spans="1:26" ht="14" x14ac:dyDescent="0.15">
      <c r="A399" s="21"/>
      <c r="B399" s="21"/>
      <c r="C399" s="21"/>
      <c r="D399" s="21"/>
      <c r="E399" s="1"/>
      <c r="F399" s="1"/>
      <c r="G399" s="1"/>
      <c r="H399" s="1"/>
      <c r="I399" s="1"/>
      <c r="J399" s="1"/>
      <c r="K399" s="1"/>
      <c r="L399" s="1"/>
      <c r="M399" s="1"/>
      <c r="N399" s="1"/>
      <c r="O399" s="1"/>
      <c r="P399" s="1"/>
      <c r="Q399" s="1"/>
      <c r="R399" s="1"/>
      <c r="S399" s="1"/>
      <c r="T399" s="1"/>
      <c r="U399" s="1"/>
      <c r="V399" s="1"/>
      <c r="W399" s="1"/>
      <c r="X399" s="1"/>
      <c r="Y399" s="1"/>
      <c r="Z399" s="1"/>
    </row>
    <row r="400" spans="1:26" ht="14" x14ac:dyDescent="0.15">
      <c r="A400" s="21"/>
      <c r="B400" s="21"/>
      <c r="C400" s="21"/>
      <c r="D400" s="21"/>
      <c r="E400" s="1"/>
      <c r="F400" s="1"/>
      <c r="G400" s="1"/>
      <c r="H400" s="1"/>
      <c r="I400" s="1"/>
      <c r="J400" s="1"/>
      <c r="K400" s="1"/>
      <c r="L400" s="1"/>
      <c r="M400" s="1"/>
      <c r="N400" s="1"/>
      <c r="O400" s="1"/>
      <c r="P400" s="1"/>
      <c r="Q400" s="1"/>
      <c r="R400" s="1"/>
      <c r="S400" s="1"/>
      <c r="T400" s="1"/>
      <c r="U400" s="1"/>
      <c r="V400" s="1"/>
      <c r="W400" s="1"/>
      <c r="X400" s="1"/>
      <c r="Y400" s="1"/>
      <c r="Z400" s="1"/>
    </row>
    <row r="401" spans="1:26" ht="14" x14ac:dyDescent="0.15">
      <c r="A401" s="21"/>
      <c r="B401" s="21"/>
      <c r="C401" s="21"/>
      <c r="D401" s="21"/>
      <c r="E401" s="1"/>
      <c r="F401" s="1"/>
      <c r="G401" s="1"/>
      <c r="H401" s="1"/>
      <c r="I401" s="1"/>
      <c r="J401" s="1"/>
      <c r="K401" s="1"/>
      <c r="L401" s="1"/>
      <c r="M401" s="1"/>
      <c r="N401" s="1"/>
      <c r="O401" s="1"/>
      <c r="P401" s="1"/>
      <c r="Q401" s="1"/>
      <c r="R401" s="1"/>
      <c r="S401" s="1"/>
      <c r="T401" s="1"/>
      <c r="U401" s="1"/>
      <c r="V401" s="1"/>
      <c r="W401" s="1"/>
      <c r="X401" s="1"/>
      <c r="Y401" s="1"/>
      <c r="Z401" s="1"/>
    </row>
    <row r="402" spans="1:26" ht="14" x14ac:dyDescent="0.15">
      <c r="A402" s="21"/>
      <c r="B402" s="21"/>
      <c r="C402" s="21"/>
      <c r="D402" s="21"/>
      <c r="E402" s="1"/>
      <c r="F402" s="1"/>
      <c r="G402" s="1"/>
      <c r="H402" s="1"/>
      <c r="I402" s="1"/>
      <c r="J402" s="1"/>
      <c r="K402" s="1"/>
      <c r="L402" s="1"/>
      <c r="M402" s="1"/>
      <c r="N402" s="1"/>
      <c r="O402" s="1"/>
      <c r="P402" s="1"/>
      <c r="Q402" s="1"/>
      <c r="R402" s="1"/>
      <c r="S402" s="1"/>
      <c r="T402" s="1"/>
      <c r="U402" s="1"/>
      <c r="V402" s="1"/>
      <c r="W402" s="1"/>
      <c r="X402" s="1"/>
      <c r="Y402" s="1"/>
      <c r="Z402" s="1"/>
    </row>
    <row r="403" spans="1:26" ht="14" x14ac:dyDescent="0.15">
      <c r="A403" s="21"/>
      <c r="B403" s="21"/>
      <c r="C403" s="21"/>
      <c r="D403" s="21"/>
      <c r="E403" s="1"/>
      <c r="F403" s="1"/>
      <c r="G403" s="1"/>
      <c r="H403" s="1"/>
      <c r="I403" s="1"/>
      <c r="J403" s="1"/>
      <c r="K403" s="1"/>
      <c r="L403" s="1"/>
      <c r="M403" s="1"/>
      <c r="N403" s="1"/>
      <c r="O403" s="1"/>
      <c r="P403" s="1"/>
      <c r="Q403" s="1"/>
      <c r="R403" s="1"/>
      <c r="S403" s="1"/>
      <c r="T403" s="1"/>
      <c r="U403" s="1"/>
      <c r="V403" s="1"/>
      <c r="W403" s="1"/>
      <c r="X403" s="1"/>
      <c r="Y403" s="1"/>
      <c r="Z403" s="1"/>
    </row>
    <row r="404" spans="1:26" ht="14" x14ac:dyDescent="0.15">
      <c r="A404" s="21"/>
      <c r="B404" s="21"/>
      <c r="C404" s="21"/>
      <c r="D404" s="21"/>
      <c r="E404" s="1"/>
      <c r="F404" s="1"/>
      <c r="G404" s="1"/>
      <c r="H404" s="1"/>
      <c r="I404" s="1"/>
      <c r="J404" s="1"/>
      <c r="K404" s="1"/>
      <c r="L404" s="1"/>
      <c r="M404" s="1"/>
      <c r="N404" s="1"/>
      <c r="O404" s="1"/>
      <c r="P404" s="1"/>
      <c r="Q404" s="1"/>
      <c r="R404" s="1"/>
      <c r="S404" s="1"/>
      <c r="T404" s="1"/>
      <c r="U404" s="1"/>
      <c r="V404" s="1"/>
      <c r="W404" s="1"/>
      <c r="X404" s="1"/>
      <c r="Y404" s="1"/>
      <c r="Z404" s="1"/>
    </row>
    <row r="405" spans="1:26" ht="14" x14ac:dyDescent="0.15">
      <c r="A405" s="21"/>
      <c r="B405" s="21"/>
      <c r="C405" s="21"/>
      <c r="D405" s="21"/>
      <c r="E405" s="1"/>
      <c r="F405" s="1"/>
      <c r="G405" s="1"/>
      <c r="H405" s="1"/>
      <c r="I405" s="1"/>
      <c r="J405" s="1"/>
      <c r="K405" s="1"/>
      <c r="L405" s="1"/>
      <c r="M405" s="1"/>
      <c r="N405" s="1"/>
      <c r="O405" s="1"/>
      <c r="P405" s="1"/>
      <c r="Q405" s="1"/>
      <c r="R405" s="1"/>
      <c r="S405" s="1"/>
      <c r="T405" s="1"/>
      <c r="U405" s="1"/>
      <c r="V405" s="1"/>
      <c r="W405" s="1"/>
      <c r="X405" s="1"/>
      <c r="Y405" s="1"/>
      <c r="Z405" s="1"/>
    </row>
    <row r="406" spans="1:26" ht="14" x14ac:dyDescent="0.15">
      <c r="A406" s="21"/>
      <c r="B406" s="21"/>
      <c r="C406" s="21"/>
      <c r="D406" s="21"/>
      <c r="E406" s="1"/>
      <c r="F406" s="1"/>
      <c r="G406" s="1"/>
      <c r="H406" s="1"/>
      <c r="I406" s="1"/>
      <c r="J406" s="1"/>
      <c r="K406" s="1"/>
      <c r="L406" s="1"/>
      <c r="M406" s="1"/>
      <c r="N406" s="1"/>
      <c r="O406" s="1"/>
      <c r="P406" s="1"/>
      <c r="Q406" s="1"/>
      <c r="R406" s="1"/>
      <c r="S406" s="1"/>
      <c r="T406" s="1"/>
      <c r="U406" s="1"/>
      <c r="V406" s="1"/>
      <c r="W406" s="1"/>
      <c r="X406" s="1"/>
      <c r="Y406" s="1"/>
      <c r="Z406" s="1"/>
    </row>
    <row r="407" spans="1:26" ht="14" x14ac:dyDescent="0.15">
      <c r="A407" s="21"/>
      <c r="B407" s="21"/>
      <c r="C407" s="21"/>
      <c r="D407" s="21"/>
      <c r="E407" s="1"/>
      <c r="F407" s="1"/>
      <c r="G407" s="1"/>
      <c r="H407" s="1"/>
      <c r="I407" s="1"/>
      <c r="J407" s="1"/>
      <c r="K407" s="1"/>
      <c r="L407" s="1"/>
      <c r="M407" s="1"/>
      <c r="N407" s="1"/>
      <c r="O407" s="1"/>
      <c r="P407" s="1"/>
      <c r="Q407" s="1"/>
      <c r="R407" s="1"/>
      <c r="S407" s="1"/>
      <c r="T407" s="1"/>
      <c r="U407" s="1"/>
      <c r="V407" s="1"/>
      <c r="W407" s="1"/>
      <c r="X407" s="1"/>
      <c r="Y407" s="1"/>
      <c r="Z407" s="1"/>
    </row>
    <row r="408" spans="1:26" ht="14" x14ac:dyDescent="0.15">
      <c r="A408" s="21"/>
      <c r="B408" s="21"/>
      <c r="C408" s="21"/>
      <c r="D408" s="21"/>
      <c r="E408" s="1"/>
      <c r="F408" s="1"/>
      <c r="G408" s="1"/>
      <c r="H408" s="1"/>
      <c r="I408" s="1"/>
      <c r="J408" s="1"/>
      <c r="K408" s="1"/>
      <c r="L408" s="1"/>
      <c r="M408" s="1"/>
      <c r="N408" s="1"/>
      <c r="O408" s="1"/>
      <c r="P408" s="1"/>
      <c r="Q408" s="1"/>
      <c r="R408" s="1"/>
      <c r="S408" s="1"/>
      <c r="T408" s="1"/>
      <c r="U408" s="1"/>
      <c r="V408" s="1"/>
      <c r="W408" s="1"/>
      <c r="X408" s="1"/>
      <c r="Y408" s="1"/>
      <c r="Z408" s="1"/>
    </row>
    <row r="409" spans="1:26" ht="14" x14ac:dyDescent="0.15">
      <c r="A409" s="21"/>
      <c r="B409" s="21"/>
      <c r="C409" s="21"/>
      <c r="D409" s="21"/>
      <c r="E409" s="1"/>
      <c r="F409" s="1"/>
      <c r="G409" s="1"/>
      <c r="H409" s="1"/>
      <c r="I409" s="1"/>
      <c r="J409" s="1"/>
      <c r="K409" s="1"/>
      <c r="L409" s="1"/>
      <c r="M409" s="1"/>
      <c r="N409" s="1"/>
      <c r="O409" s="1"/>
      <c r="P409" s="1"/>
      <c r="Q409" s="1"/>
      <c r="R409" s="1"/>
      <c r="S409" s="1"/>
      <c r="T409" s="1"/>
      <c r="U409" s="1"/>
      <c r="V409" s="1"/>
      <c r="W409" s="1"/>
      <c r="X409" s="1"/>
      <c r="Y409" s="1"/>
      <c r="Z409" s="1"/>
    </row>
    <row r="410" spans="1:26" ht="14" x14ac:dyDescent="0.15">
      <c r="A410" s="21"/>
      <c r="B410" s="21"/>
      <c r="C410" s="21"/>
      <c r="D410" s="21"/>
      <c r="E410" s="1"/>
      <c r="F410" s="1"/>
      <c r="G410" s="1"/>
      <c r="H410" s="1"/>
      <c r="I410" s="1"/>
      <c r="J410" s="1"/>
      <c r="K410" s="1"/>
      <c r="L410" s="1"/>
      <c r="M410" s="1"/>
      <c r="N410" s="1"/>
      <c r="O410" s="1"/>
      <c r="P410" s="1"/>
      <c r="Q410" s="1"/>
      <c r="R410" s="1"/>
      <c r="S410" s="1"/>
      <c r="T410" s="1"/>
      <c r="U410" s="1"/>
      <c r="V410" s="1"/>
      <c r="W410" s="1"/>
      <c r="X410" s="1"/>
      <c r="Y410" s="1"/>
      <c r="Z410" s="1"/>
    </row>
    <row r="411" spans="1:26" ht="14" x14ac:dyDescent="0.15">
      <c r="A411" s="21"/>
      <c r="B411" s="21"/>
      <c r="C411" s="21"/>
      <c r="D411" s="21"/>
      <c r="E411" s="1"/>
      <c r="F411" s="1"/>
      <c r="G411" s="1"/>
      <c r="H411" s="1"/>
      <c r="I411" s="1"/>
      <c r="J411" s="1"/>
      <c r="K411" s="1"/>
      <c r="L411" s="1"/>
      <c r="M411" s="1"/>
      <c r="N411" s="1"/>
      <c r="O411" s="1"/>
      <c r="P411" s="1"/>
      <c r="Q411" s="1"/>
      <c r="R411" s="1"/>
      <c r="S411" s="1"/>
      <c r="T411" s="1"/>
      <c r="U411" s="1"/>
      <c r="V411" s="1"/>
      <c r="W411" s="1"/>
      <c r="X411" s="1"/>
      <c r="Y411" s="1"/>
      <c r="Z411" s="1"/>
    </row>
    <row r="412" spans="1:26" ht="14" x14ac:dyDescent="0.15">
      <c r="A412" s="21"/>
      <c r="B412" s="21"/>
      <c r="C412" s="21"/>
      <c r="D412" s="21"/>
      <c r="E412" s="1"/>
      <c r="F412" s="1"/>
      <c r="G412" s="1"/>
      <c r="H412" s="1"/>
      <c r="I412" s="1"/>
      <c r="J412" s="1"/>
      <c r="K412" s="1"/>
      <c r="L412" s="1"/>
      <c r="M412" s="1"/>
      <c r="N412" s="1"/>
      <c r="O412" s="1"/>
      <c r="P412" s="1"/>
      <c r="Q412" s="1"/>
      <c r="R412" s="1"/>
      <c r="S412" s="1"/>
      <c r="T412" s="1"/>
      <c r="U412" s="1"/>
      <c r="V412" s="1"/>
      <c r="W412" s="1"/>
      <c r="X412" s="1"/>
      <c r="Y412" s="1"/>
      <c r="Z412" s="1"/>
    </row>
    <row r="413" spans="1:26" ht="14" x14ac:dyDescent="0.15">
      <c r="A413" s="21"/>
      <c r="B413" s="21"/>
      <c r="C413" s="21"/>
      <c r="D413" s="21"/>
      <c r="E413" s="1"/>
      <c r="F413" s="1"/>
      <c r="G413" s="1"/>
      <c r="H413" s="1"/>
      <c r="I413" s="1"/>
      <c r="J413" s="1"/>
      <c r="K413" s="1"/>
      <c r="L413" s="1"/>
      <c r="M413" s="1"/>
      <c r="N413" s="1"/>
      <c r="O413" s="1"/>
      <c r="P413" s="1"/>
      <c r="Q413" s="1"/>
      <c r="R413" s="1"/>
      <c r="S413" s="1"/>
      <c r="T413" s="1"/>
      <c r="U413" s="1"/>
      <c r="V413" s="1"/>
      <c r="W413" s="1"/>
      <c r="X413" s="1"/>
      <c r="Y413" s="1"/>
      <c r="Z413" s="1"/>
    </row>
    <row r="414" spans="1:26" ht="14" x14ac:dyDescent="0.15">
      <c r="A414" s="21"/>
      <c r="B414" s="21"/>
      <c r="C414" s="21"/>
      <c r="D414" s="21"/>
      <c r="E414" s="1"/>
      <c r="F414" s="1"/>
      <c r="G414" s="1"/>
      <c r="H414" s="1"/>
      <c r="I414" s="1"/>
      <c r="J414" s="1"/>
      <c r="K414" s="1"/>
      <c r="L414" s="1"/>
      <c r="M414" s="1"/>
      <c r="N414" s="1"/>
      <c r="O414" s="1"/>
      <c r="P414" s="1"/>
      <c r="Q414" s="1"/>
      <c r="R414" s="1"/>
      <c r="S414" s="1"/>
      <c r="T414" s="1"/>
      <c r="U414" s="1"/>
      <c r="V414" s="1"/>
      <c r="W414" s="1"/>
      <c r="X414" s="1"/>
      <c r="Y414" s="1"/>
      <c r="Z414" s="1"/>
    </row>
    <row r="415" spans="1:26" ht="14" x14ac:dyDescent="0.15">
      <c r="A415" s="21"/>
      <c r="B415" s="21"/>
      <c r="C415" s="21"/>
      <c r="D415" s="21"/>
      <c r="E415" s="1"/>
      <c r="F415" s="1"/>
      <c r="G415" s="1"/>
      <c r="H415" s="1"/>
      <c r="I415" s="1"/>
      <c r="J415" s="1"/>
      <c r="K415" s="1"/>
      <c r="L415" s="1"/>
      <c r="M415" s="1"/>
      <c r="N415" s="1"/>
      <c r="O415" s="1"/>
      <c r="P415" s="1"/>
      <c r="Q415" s="1"/>
      <c r="R415" s="1"/>
      <c r="S415" s="1"/>
      <c r="T415" s="1"/>
      <c r="U415" s="1"/>
      <c r="V415" s="1"/>
      <c r="W415" s="1"/>
      <c r="X415" s="1"/>
      <c r="Y415" s="1"/>
      <c r="Z415" s="1"/>
    </row>
    <row r="416" spans="1:26" ht="14" x14ac:dyDescent="0.15">
      <c r="A416" s="21"/>
      <c r="B416" s="21"/>
      <c r="C416" s="21"/>
      <c r="D416" s="21"/>
      <c r="E416" s="1"/>
      <c r="F416" s="1"/>
      <c r="G416" s="1"/>
      <c r="H416" s="1"/>
      <c r="I416" s="1"/>
      <c r="J416" s="1"/>
      <c r="K416" s="1"/>
      <c r="L416" s="1"/>
      <c r="M416" s="1"/>
      <c r="N416" s="1"/>
      <c r="O416" s="1"/>
      <c r="P416" s="1"/>
      <c r="Q416" s="1"/>
      <c r="R416" s="1"/>
      <c r="S416" s="1"/>
      <c r="T416" s="1"/>
      <c r="U416" s="1"/>
      <c r="V416" s="1"/>
      <c r="W416" s="1"/>
      <c r="X416" s="1"/>
      <c r="Y416" s="1"/>
      <c r="Z416" s="1"/>
    </row>
    <row r="417" spans="1:26" ht="14" x14ac:dyDescent="0.15">
      <c r="A417" s="21"/>
      <c r="B417" s="21"/>
      <c r="C417" s="21"/>
      <c r="D417" s="21"/>
      <c r="E417" s="1"/>
      <c r="F417" s="1"/>
      <c r="G417" s="1"/>
      <c r="H417" s="1"/>
      <c r="I417" s="1"/>
      <c r="J417" s="1"/>
      <c r="K417" s="1"/>
      <c r="L417" s="1"/>
      <c r="M417" s="1"/>
      <c r="N417" s="1"/>
      <c r="O417" s="1"/>
      <c r="P417" s="1"/>
      <c r="Q417" s="1"/>
      <c r="R417" s="1"/>
      <c r="S417" s="1"/>
      <c r="T417" s="1"/>
      <c r="U417" s="1"/>
      <c r="V417" s="1"/>
      <c r="W417" s="1"/>
      <c r="X417" s="1"/>
      <c r="Y417" s="1"/>
      <c r="Z417" s="1"/>
    </row>
    <row r="418" spans="1:26" ht="14" x14ac:dyDescent="0.15">
      <c r="A418" s="21"/>
      <c r="B418" s="21"/>
      <c r="C418" s="21"/>
      <c r="D418" s="21"/>
      <c r="E418" s="1"/>
      <c r="F418" s="1"/>
      <c r="G418" s="1"/>
      <c r="H418" s="1"/>
      <c r="I418" s="1"/>
      <c r="J418" s="1"/>
      <c r="K418" s="1"/>
      <c r="L418" s="1"/>
      <c r="M418" s="1"/>
      <c r="N418" s="1"/>
      <c r="O418" s="1"/>
      <c r="P418" s="1"/>
      <c r="Q418" s="1"/>
      <c r="R418" s="1"/>
      <c r="S418" s="1"/>
      <c r="T418" s="1"/>
      <c r="U418" s="1"/>
      <c r="V418" s="1"/>
      <c r="W418" s="1"/>
      <c r="X418" s="1"/>
      <c r="Y418" s="1"/>
      <c r="Z418" s="1"/>
    </row>
    <row r="419" spans="1:26" ht="14" x14ac:dyDescent="0.15">
      <c r="A419" s="21"/>
      <c r="B419" s="21"/>
      <c r="C419" s="21"/>
      <c r="D419" s="21"/>
      <c r="E419" s="1"/>
      <c r="F419" s="1"/>
      <c r="G419" s="1"/>
      <c r="H419" s="1"/>
      <c r="I419" s="1"/>
      <c r="J419" s="1"/>
      <c r="K419" s="1"/>
      <c r="L419" s="1"/>
      <c r="M419" s="1"/>
      <c r="N419" s="1"/>
      <c r="O419" s="1"/>
      <c r="P419" s="1"/>
      <c r="Q419" s="1"/>
      <c r="R419" s="1"/>
      <c r="S419" s="1"/>
      <c r="T419" s="1"/>
      <c r="U419" s="1"/>
      <c r="V419" s="1"/>
      <c r="W419" s="1"/>
      <c r="X419" s="1"/>
      <c r="Y419" s="1"/>
      <c r="Z419" s="1"/>
    </row>
    <row r="420" spans="1:26" ht="14" x14ac:dyDescent="0.15">
      <c r="A420" s="21"/>
      <c r="B420" s="21"/>
      <c r="C420" s="21"/>
      <c r="D420" s="21"/>
      <c r="E420" s="1"/>
      <c r="F420" s="1"/>
      <c r="G420" s="1"/>
      <c r="H420" s="1"/>
      <c r="I420" s="1"/>
      <c r="J420" s="1"/>
      <c r="K420" s="1"/>
      <c r="L420" s="1"/>
      <c r="M420" s="1"/>
      <c r="N420" s="1"/>
      <c r="O420" s="1"/>
      <c r="P420" s="1"/>
      <c r="Q420" s="1"/>
      <c r="R420" s="1"/>
      <c r="S420" s="1"/>
      <c r="T420" s="1"/>
      <c r="U420" s="1"/>
      <c r="V420" s="1"/>
      <c r="W420" s="1"/>
      <c r="X420" s="1"/>
      <c r="Y420" s="1"/>
      <c r="Z420" s="1"/>
    </row>
    <row r="421" spans="1:26" ht="14" x14ac:dyDescent="0.15">
      <c r="A421" s="21"/>
      <c r="B421" s="21"/>
      <c r="C421" s="21"/>
      <c r="D421" s="21"/>
      <c r="E421" s="1"/>
      <c r="F421" s="1"/>
      <c r="G421" s="1"/>
      <c r="H421" s="1"/>
      <c r="I421" s="1"/>
      <c r="J421" s="1"/>
      <c r="K421" s="1"/>
      <c r="L421" s="1"/>
      <c r="M421" s="1"/>
      <c r="N421" s="1"/>
      <c r="O421" s="1"/>
      <c r="P421" s="1"/>
      <c r="Q421" s="1"/>
      <c r="R421" s="1"/>
      <c r="S421" s="1"/>
      <c r="T421" s="1"/>
      <c r="U421" s="1"/>
      <c r="V421" s="1"/>
      <c r="W421" s="1"/>
      <c r="X421" s="1"/>
      <c r="Y421" s="1"/>
      <c r="Z421" s="1"/>
    </row>
    <row r="422" spans="1:26" ht="14" x14ac:dyDescent="0.15">
      <c r="A422" s="21"/>
      <c r="B422" s="21"/>
      <c r="C422" s="21"/>
      <c r="D422" s="21"/>
      <c r="E422" s="1"/>
      <c r="F422" s="1"/>
      <c r="G422" s="1"/>
      <c r="H422" s="1"/>
      <c r="I422" s="1"/>
      <c r="J422" s="1"/>
      <c r="K422" s="1"/>
      <c r="L422" s="1"/>
      <c r="M422" s="1"/>
      <c r="N422" s="1"/>
      <c r="O422" s="1"/>
      <c r="P422" s="1"/>
      <c r="Q422" s="1"/>
      <c r="R422" s="1"/>
      <c r="S422" s="1"/>
      <c r="T422" s="1"/>
      <c r="U422" s="1"/>
      <c r="V422" s="1"/>
      <c r="W422" s="1"/>
      <c r="X422" s="1"/>
      <c r="Y422" s="1"/>
      <c r="Z422" s="1"/>
    </row>
    <row r="423" spans="1:26" ht="14" x14ac:dyDescent="0.15">
      <c r="A423" s="21"/>
      <c r="B423" s="21"/>
      <c r="C423" s="21"/>
      <c r="D423" s="21"/>
      <c r="E423" s="1"/>
      <c r="F423" s="1"/>
      <c r="G423" s="1"/>
      <c r="H423" s="1"/>
      <c r="I423" s="1"/>
      <c r="J423" s="1"/>
      <c r="K423" s="1"/>
      <c r="L423" s="1"/>
      <c r="M423" s="1"/>
      <c r="N423" s="1"/>
      <c r="O423" s="1"/>
      <c r="P423" s="1"/>
      <c r="Q423" s="1"/>
      <c r="R423" s="1"/>
      <c r="S423" s="1"/>
      <c r="T423" s="1"/>
      <c r="U423" s="1"/>
      <c r="V423" s="1"/>
      <c r="W423" s="1"/>
      <c r="X423" s="1"/>
      <c r="Y423" s="1"/>
      <c r="Z423" s="1"/>
    </row>
    <row r="424" spans="1:26" ht="14" x14ac:dyDescent="0.15">
      <c r="A424" s="21"/>
      <c r="B424" s="21"/>
      <c r="C424" s="21"/>
      <c r="D424" s="21"/>
      <c r="E424" s="1"/>
      <c r="F424" s="1"/>
      <c r="G424" s="1"/>
      <c r="H424" s="1"/>
      <c r="I424" s="1"/>
      <c r="J424" s="1"/>
      <c r="K424" s="1"/>
      <c r="L424" s="1"/>
      <c r="M424" s="1"/>
      <c r="N424" s="1"/>
      <c r="O424" s="1"/>
      <c r="P424" s="1"/>
      <c r="Q424" s="1"/>
      <c r="R424" s="1"/>
      <c r="S424" s="1"/>
      <c r="T424" s="1"/>
      <c r="U424" s="1"/>
      <c r="V424" s="1"/>
      <c r="W424" s="1"/>
      <c r="X424" s="1"/>
      <c r="Y424" s="1"/>
      <c r="Z424" s="1"/>
    </row>
    <row r="425" spans="1:26" ht="14" x14ac:dyDescent="0.15">
      <c r="A425" s="21"/>
      <c r="B425" s="21"/>
      <c r="C425" s="21"/>
      <c r="D425" s="21"/>
      <c r="E425" s="1"/>
      <c r="F425" s="1"/>
      <c r="G425" s="1"/>
      <c r="H425" s="1"/>
      <c r="I425" s="1"/>
      <c r="J425" s="1"/>
      <c r="K425" s="1"/>
      <c r="L425" s="1"/>
      <c r="M425" s="1"/>
      <c r="N425" s="1"/>
      <c r="O425" s="1"/>
      <c r="P425" s="1"/>
      <c r="Q425" s="1"/>
      <c r="R425" s="1"/>
      <c r="S425" s="1"/>
      <c r="T425" s="1"/>
      <c r="U425" s="1"/>
      <c r="V425" s="1"/>
      <c r="W425" s="1"/>
      <c r="X425" s="1"/>
      <c r="Y425" s="1"/>
      <c r="Z425" s="1"/>
    </row>
    <row r="426" spans="1:26" ht="14" x14ac:dyDescent="0.15">
      <c r="A426" s="21"/>
      <c r="B426" s="21"/>
      <c r="C426" s="21"/>
      <c r="D426" s="21"/>
      <c r="E426" s="1"/>
      <c r="F426" s="1"/>
      <c r="G426" s="1"/>
      <c r="H426" s="1"/>
      <c r="I426" s="1"/>
      <c r="J426" s="1"/>
      <c r="K426" s="1"/>
      <c r="L426" s="1"/>
      <c r="M426" s="1"/>
      <c r="N426" s="1"/>
      <c r="O426" s="1"/>
      <c r="P426" s="1"/>
      <c r="Q426" s="1"/>
      <c r="R426" s="1"/>
      <c r="S426" s="1"/>
      <c r="T426" s="1"/>
      <c r="U426" s="1"/>
      <c r="V426" s="1"/>
      <c r="W426" s="1"/>
      <c r="X426" s="1"/>
      <c r="Y426" s="1"/>
      <c r="Z426" s="1"/>
    </row>
    <row r="427" spans="1:26" ht="14" x14ac:dyDescent="0.15">
      <c r="A427" s="21"/>
      <c r="B427" s="21"/>
      <c r="C427" s="21"/>
      <c r="D427" s="21"/>
      <c r="E427" s="1"/>
      <c r="F427" s="1"/>
      <c r="G427" s="1"/>
      <c r="H427" s="1"/>
      <c r="I427" s="1"/>
      <c r="J427" s="1"/>
      <c r="K427" s="1"/>
      <c r="L427" s="1"/>
      <c r="M427" s="1"/>
      <c r="N427" s="1"/>
      <c r="O427" s="1"/>
      <c r="P427" s="1"/>
      <c r="Q427" s="1"/>
      <c r="R427" s="1"/>
      <c r="S427" s="1"/>
      <c r="T427" s="1"/>
      <c r="U427" s="1"/>
      <c r="V427" s="1"/>
      <c r="W427" s="1"/>
      <c r="X427" s="1"/>
      <c r="Y427" s="1"/>
      <c r="Z427" s="1"/>
    </row>
    <row r="428" spans="1:26" ht="14" x14ac:dyDescent="0.15">
      <c r="A428" s="21"/>
      <c r="B428" s="21"/>
      <c r="C428" s="21"/>
      <c r="D428" s="21"/>
      <c r="E428" s="1"/>
      <c r="F428" s="1"/>
      <c r="G428" s="1"/>
      <c r="H428" s="1"/>
      <c r="I428" s="1"/>
      <c r="J428" s="1"/>
      <c r="K428" s="1"/>
      <c r="L428" s="1"/>
      <c r="M428" s="1"/>
      <c r="N428" s="1"/>
      <c r="O428" s="1"/>
      <c r="P428" s="1"/>
      <c r="Q428" s="1"/>
      <c r="R428" s="1"/>
      <c r="S428" s="1"/>
      <c r="T428" s="1"/>
      <c r="U428" s="1"/>
      <c r="V428" s="1"/>
      <c r="W428" s="1"/>
      <c r="X428" s="1"/>
      <c r="Y428" s="1"/>
      <c r="Z428" s="1"/>
    </row>
    <row r="429" spans="1:26" ht="14" x14ac:dyDescent="0.15">
      <c r="A429" s="21"/>
      <c r="B429" s="21"/>
      <c r="C429" s="21"/>
      <c r="D429" s="21"/>
      <c r="E429" s="1"/>
      <c r="F429" s="1"/>
      <c r="G429" s="1"/>
      <c r="H429" s="1"/>
      <c r="I429" s="1"/>
      <c r="J429" s="1"/>
      <c r="K429" s="1"/>
      <c r="L429" s="1"/>
      <c r="M429" s="1"/>
      <c r="N429" s="1"/>
      <c r="O429" s="1"/>
      <c r="P429" s="1"/>
      <c r="Q429" s="1"/>
      <c r="R429" s="1"/>
      <c r="S429" s="1"/>
      <c r="T429" s="1"/>
      <c r="U429" s="1"/>
      <c r="V429" s="1"/>
      <c r="W429" s="1"/>
      <c r="X429" s="1"/>
      <c r="Y429" s="1"/>
      <c r="Z429" s="1"/>
    </row>
    <row r="430" spans="1:26" ht="14" x14ac:dyDescent="0.15">
      <c r="A430" s="21"/>
      <c r="B430" s="21"/>
      <c r="C430" s="21"/>
      <c r="D430" s="21"/>
      <c r="E430" s="1"/>
      <c r="F430" s="1"/>
      <c r="G430" s="1"/>
      <c r="H430" s="1"/>
      <c r="I430" s="1"/>
      <c r="J430" s="1"/>
      <c r="K430" s="1"/>
      <c r="L430" s="1"/>
      <c r="M430" s="1"/>
      <c r="N430" s="1"/>
      <c r="O430" s="1"/>
      <c r="P430" s="1"/>
      <c r="Q430" s="1"/>
      <c r="R430" s="1"/>
      <c r="S430" s="1"/>
      <c r="T430" s="1"/>
      <c r="U430" s="1"/>
      <c r="V430" s="1"/>
      <c r="W430" s="1"/>
      <c r="X430" s="1"/>
      <c r="Y430" s="1"/>
      <c r="Z430" s="1"/>
    </row>
    <row r="431" spans="1:26" ht="14" x14ac:dyDescent="0.15">
      <c r="A431" s="21"/>
      <c r="B431" s="21"/>
      <c r="C431" s="21"/>
      <c r="D431" s="21"/>
      <c r="E431" s="1"/>
      <c r="F431" s="1"/>
      <c r="G431" s="1"/>
      <c r="H431" s="1"/>
      <c r="I431" s="1"/>
      <c r="J431" s="1"/>
      <c r="K431" s="1"/>
      <c r="L431" s="1"/>
      <c r="M431" s="1"/>
      <c r="N431" s="1"/>
      <c r="O431" s="1"/>
      <c r="P431" s="1"/>
      <c r="Q431" s="1"/>
      <c r="R431" s="1"/>
      <c r="S431" s="1"/>
      <c r="T431" s="1"/>
      <c r="U431" s="1"/>
      <c r="V431" s="1"/>
      <c r="W431" s="1"/>
      <c r="X431" s="1"/>
      <c r="Y431" s="1"/>
      <c r="Z431" s="1"/>
    </row>
    <row r="432" spans="1:26" ht="14" x14ac:dyDescent="0.15">
      <c r="A432" s="21"/>
      <c r="B432" s="21"/>
      <c r="C432" s="21"/>
      <c r="D432" s="21"/>
      <c r="E432" s="1"/>
      <c r="F432" s="1"/>
      <c r="G432" s="1"/>
      <c r="H432" s="1"/>
      <c r="I432" s="1"/>
      <c r="J432" s="1"/>
      <c r="K432" s="1"/>
      <c r="L432" s="1"/>
      <c r="M432" s="1"/>
      <c r="N432" s="1"/>
      <c r="O432" s="1"/>
      <c r="P432" s="1"/>
      <c r="Q432" s="1"/>
      <c r="R432" s="1"/>
      <c r="S432" s="1"/>
      <c r="T432" s="1"/>
      <c r="U432" s="1"/>
      <c r="V432" s="1"/>
      <c r="W432" s="1"/>
      <c r="X432" s="1"/>
      <c r="Y432" s="1"/>
      <c r="Z432" s="1"/>
    </row>
    <row r="433" spans="1:26" ht="14" x14ac:dyDescent="0.15">
      <c r="A433" s="21"/>
      <c r="B433" s="21"/>
      <c r="C433" s="21"/>
      <c r="D433" s="21"/>
      <c r="E433" s="1"/>
      <c r="F433" s="1"/>
      <c r="G433" s="1"/>
      <c r="H433" s="1"/>
      <c r="I433" s="1"/>
      <c r="J433" s="1"/>
      <c r="K433" s="1"/>
      <c r="L433" s="1"/>
      <c r="M433" s="1"/>
      <c r="N433" s="1"/>
      <c r="O433" s="1"/>
      <c r="P433" s="1"/>
      <c r="Q433" s="1"/>
      <c r="R433" s="1"/>
      <c r="S433" s="1"/>
      <c r="T433" s="1"/>
      <c r="U433" s="1"/>
      <c r="V433" s="1"/>
      <c r="W433" s="1"/>
      <c r="X433" s="1"/>
      <c r="Y433" s="1"/>
      <c r="Z433" s="1"/>
    </row>
    <row r="434" spans="1:26" ht="14" x14ac:dyDescent="0.15">
      <c r="A434" s="21"/>
      <c r="B434" s="21"/>
      <c r="C434" s="21"/>
      <c r="D434" s="21"/>
      <c r="E434" s="1"/>
      <c r="F434" s="1"/>
      <c r="G434" s="1"/>
      <c r="H434" s="1"/>
      <c r="I434" s="1"/>
      <c r="J434" s="1"/>
      <c r="K434" s="1"/>
      <c r="L434" s="1"/>
      <c r="M434" s="1"/>
      <c r="N434" s="1"/>
      <c r="O434" s="1"/>
      <c r="P434" s="1"/>
      <c r="Q434" s="1"/>
      <c r="R434" s="1"/>
      <c r="S434" s="1"/>
      <c r="T434" s="1"/>
      <c r="U434" s="1"/>
      <c r="V434" s="1"/>
      <c r="W434" s="1"/>
      <c r="X434" s="1"/>
      <c r="Y434" s="1"/>
      <c r="Z434" s="1"/>
    </row>
    <row r="435" spans="1:26" ht="14" x14ac:dyDescent="0.15">
      <c r="A435" s="21"/>
      <c r="B435" s="21"/>
      <c r="C435" s="21"/>
      <c r="D435" s="21"/>
      <c r="E435" s="1"/>
      <c r="F435" s="1"/>
      <c r="G435" s="1"/>
      <c r="H435" s="1"/>
      <c r="I435" s="1"/>
      <c r="J435" s="1"/>
      <c r="K435" s="1"/>
      <c r="L435" s="1"/>
      <c r="M435" s="1"/>
      <c r="N435" s="1"/>
      <c r="O435" s="1"/>
      <c r="P435" s="1"/>
      <c r="Q435" s="1"/>
      <c r="R435" s="1"/>
      <c r="S435" s="1"/>
      <c r="T435" s="1"/>
      <c r="U435" s="1"/>
      <c r="V435" s="1"/>
      <c r="W435" s="1"/>
      <c r="X435" s="1"/>
      <c r="Y435" s="1"/>
      <c r="Z435" s="1"/>
    </row>
    <row r="436" spans="1:26" ht="14" x14ac:dyDescent="0.15">
      <c r="A436" s="21"/>
      <c r="B436" s="21"/>
      <c r="C436" s="21"/>
      <c r="D436" s="21"/>
      <c r="E436" s="1"/>
      <c r="F436" s="1"/>
      <c r="G436" s="1"/>
      <c r="H436" s="1"/>
      <c r="I436" s="1"/>
      <c r="J436" s="1"/>
      <c r="K436" s="1"/>
      <c r="L436" s="1"/>
      <c r="M436" s="1"/>
      <c r="N436" s="1"/>
      <c r="O436" s="1"/>
      <c r="P436" s="1"/>
      <c r="Q436" s="1"/>
      <c r="R436" s="1"/>
      <c r="S436" s="1"/>
      <c r="T436" s="1"/>
      <c r="U436" s="1"/>
      <c r="V436" s="1"/>
      <c r="W436" s="1"/>
      <c r="X436" s="1"/>
      <c r="Y436" s="1"/>
      <c r="Z436" s="1"/>
    </row>
    <row r="437" spans="1:26" ht="14" x14ac:dyDescent="0.15">
      <c r="A437" s="21"/>
      <c r="B437" s="21"/>
      <c r="C437" s="21"/>
      <c r="D437" s="21"/>
      <c r="E437" s="1"/>
      <c r="F437" s="1"/>
      <c r="G437" s="1"/>
      <c r="H437" s="1"/>
      <c r="I437" s="1"/>
      <c r="J437" s="1"/>
      <c r="K437" s="1"/>
      <c r="L437" s="1"/>
      <c r="M437" s="1"/>
      <c r="N437" s="1"/>
      <c r="O437" s="1"/>
      <c r="P437" s="1"/>
      <c r="Q437" s="1"/>
      <c r="R437" s="1"/>
      <c r="S437" s="1"/>
      <c r="T437" s="1"/>
      <c r="U437" s="1"/>
      <c r="V437" s="1"/>
      <c r="W437" s="1"/>
      <c r="X437" s="1"/>
      <c r="Y437" s="1"/>
      <c r="Z437" s="1"/>
    </row>
    <row r="438" spans="1:26" ht="14" x14ac:dyDescent="0.15">
      <c r="A438" s="21"/>
      <c r="B438" s="21"/>
      <c r="C438" s="21"/>
      <c r="D438" s="21"/>
      <c r="E438" s="1"/>
      <c r="F438" s="1"/>
      <c r="G438" s="1"/>
      <c r="H438" s="1"/>
      <c r="I438" s="1"/>
      <c r="J438" s="1"/>
      <c r="K438" s="1"/>
      <c r="L438" s="1"/>
      <c r="M438" s="1"/>
      <c r="N438" s="1"/>
      <c r="O438" s="1"/>
      <c r="P438" s="1"/>
      <c r="Q438" s="1"/>
      <c r="R438" s="1"/>
      <c r="S438" s="1"/>
      <c r="T438" s="1"/>
      <c r="U438" s="1"/>
      <c r="V438" s="1"/>
      <c r="W438" s="1"/>
      <c r="X438" s="1"/>
      <c r="Y438" s="1"/>
      <c r="Z438" s="1"/>
    </row>
    <row r="439" spans="1:26" ht="14" x14ac:dyDescent="0.15">
      <c r="A439" s="21"/>
      <c r="B439" s="21"/>
      <c r="C439" s="21"/>
      <c r="D439" s="21"/>
      <c r="E439" s="1"/>
      <c r="F439" s="1"/>
      <c r="G439" s="1"/>
      <c r="H439" s="1"/>
      <c r="I439" s="1"/>
      <c r="J439" s="1"/>
      <c r="K439" s="1"/>
      <c r="L439" s="1"/>
      <c r="M439" s="1"/>
      <c r="N439" s="1"/>
      <c r="O439" s="1"/>
      <c r="P439" s="1"/>
      <c r="Q439" s="1"/>
      <c r="R439" s="1"/>
      <c r="S439" s="1"/>
      <c r="T439" s="1"/>
      <c r="U439" s="1"/>
      <c r="V439" s="1"/>
      <c r="W439" s="1"/>
      <c r="X439" s="1"/>
      <c r="Y439" s="1"/>
      <c r="Z439" s="1"/>
    </row>
    <row r="440" spans="1:26" ht="14" x14ac:dyDescent="0.15">
      <c r="A440" s="21"/>
      <c r="B440" s="21"/>
      <c r="C440" s="21"/>
      <c r="D440" s="21"/>
      <c r="E440" s="1"/>
      <c r="F440" s="1"/>
      <c r="G440" s="1"/>
      <c r="H440" s="1"/>
      <c r="I440" s="1"/>
      <c r="J440" s="1"/>
      <c r="K440" s="1"/>
      <c r="L440" s="1"/>
      <c r="M440" s="1"/>
      <c r="N440" s="1"/>
      <c r="O440" s="1"/>
      <c r="P440" s="1"/>
      <c r="Q440" s="1"/>
      <c r="R440" s="1"/>
      <c r="S440" s="1"/>
      <c r="T440" s="1"/>
      <c r="U440" s="1"/>
      <c r="V440" s="1"/>
      <c r="W440" s="1"/>
      <c r="X440" s="1"/>
      <c r="Y440" s="1"/>
      <c r="Z440" s="1"/>
    </row>
    <row r="441" spans="1:26" ht="14" x14ac:dyDescent="0.15">
      <c r="A441" s="21"/>
      <c r="B441" s="21"/>
      <c r="C441" s="21"/>
      <c r="D441" s="21"/>
      <c r="E441" s="1"/>
      <c r="F441" s="1"/>
      <c r="G441" s="1"/>
      <c r="H441" s="1"/>
      <c r="I441" s="1"/>
      <c r="J441" s="1"/>
      <c r="K441" s="1"/>
      <c r="L441" s="1"/>
      <c r="M441" s="1"/>
      <c r="N441" s="1"/>
      <c r="O441" s="1"/>
      <c r="P441" s="1"/>
      <c r="Q441" s="1"/>
      <c r="R441" s="1"/>
      <c r="S441" s="1"/>
      <c r="T441" s="1"/>
      <c r="U441" s="1"/>
      <c r="V441" s="1"/>
      <c r="W441" s="1"/>
      <c r="X441" s="1"/>
      <c r="Y441" s="1"/>
      <c r="Z441" s="1"/>
    </row>
    <row r="442" spans="1:26" ht="14" x14ac:dyDescent="0.15">
      <c r="A442" s="21"/>
      <c r="B442" s="21"/>
      <c r="C442" s="21"/>
      <c r="D442" s="21"/>
      <c r="E442" s="1"/>
      <c r="F442" s="1"/>
      <c r="G442" s="1"/>
      <c r="H442" s="1"/>
      <c r="I442" s="1"/>
      <c r="J442" s="1"/>
      <c r="K442" s="1"/>
      <c r="L442" s="1"/>
      <c r="M442" s="1"/>
      <c r="N442" s="1"/>
      <c r="O442" s="1"/>
      <c r="P442" s="1"/>
      <c r="Q442" s="1"/>
      <c r="R442" s="1"/>
      <c r="S442" s="1"/>
      <c r="T442" s="1"/>
      <c r="U442" s="1"/>
      <c r="V442" s="1"/>
      <c r="W442" s="1"/>
      <c r="X442" s="1"/>
      <c r="Y442" s="1"/>
      <c r="Z442" s="1"/>
    </row>
    <row r="443" spans="1:26" ht="14" x14ac:dyDescent="0.15">
      <c r="A443" s="21"/>
      <c r="B443" s="21"/>
      <c r="C443" s="21"/>
      <c r="D443" s="21"/>
      <c r="E443" s="1"/>
      <c r="F443" s="1"/>
      <c r="G443" s="1"/>
      <c r="H443" s="1"/>
      <c r="I443" s="1"/>
      <c r="J443" s="1"/>
      <c r="K443" s="1"/>
      <c r="L443" s="1"/>
      <c r="M443" s="1"/>
      <c r="N443" s="1"/>
      <c r="O443" s="1"/>
      <c r="P443" s="1"/>
      <c r="Q443" s="1"/>
      <c r="R443" s="1"/>
      <c r="S443" s="1"/>
      <c r="T443" s="1"/>
      <c r="U443" s="1"/>
      <c r="V443" s="1"/>
      <c r="W443" s="1"/>
      <c r="X443" s="1"/>
      <c r="Y443" s="1"/>
      <c r="Z443" s="1"/>
    </row>
    <row r="444" spans="1:26" ht="14" x14ac:dyDescent="0.15">
      <c r="A444" s="21"/>
      <c r="B444" s="21"/>
      <c r="C444" s="21"/>
      <c r="D444" s="21"/>
      <c r="E444" s="1"/>
      <c r="F444" s="1"/>
      <c r="G444" s="1"/>
      <c r="H444" s="1"/>
      <c r="I444" s="1"/>
      <c r="J444" s="1"/>
      <c r="K444" s="1"/>
      <c r="L444" s="1"/>
      <c r="M444" s="1"/>
      <c r="N444" s="1"/>
      <c r="O444" s="1"/>
      <c r="P444" s="1"/>
      <c r="Q444" s="1"/>
      <c r="R444" s="1"/>
      <c r="S444" s="1"/>
      <c r="T444" s="1"/>
      <c r="U444" s="1"/>
      <c r="V444" s="1"/>
      <c r="W444" s="1"/>
      <c r="X444" s="1"/>
      <c r="Y444" s="1"/>
      <c r="Z444" s="1"/>
    </row>
    <row r="445" spans="1:26" ht="14" x14ac:dyDescent="0.15">
      <c r="A445" s="21"/>
      <c r="B445" s="21"/>
      <c r="C445" s="21"/>
      <c r="D445" s="21"/>
      <c r="E445" s="1"/>
      <c r="F445" s="1"/>
      <c r="G445" s="1"/>
      <c r="H445" s="1"/>
      <c r="I445" s="1"/>
      <c r="J445" s="1"/>
      <c r="K445" s="1"/>
      <c r="L445" s="1"/>
      <c r="M445" s="1"/>
      <c r="N445" s="1"/>
      <c r="O445" s="1"/>
      <c r="P445" s="1"/>
      <c r="Q445" s="1"/>
      <c r="R445" s="1"/>
      <c r="S445" s="1"/>
      <c r="T445" s="1"/>
      <c r="U445" s="1"/>
      <c r="V445" s="1"/>
      <c r="W445" s="1"/>
      <c r="X445" s="1"/>
      <c r="Y445" s="1"/>
      <c r="Z445" s="1"/>
    </row>
    <row r="446" spans="1:26" ht="14" x14ac:dyDescent="0.15">
      <c r="A446" s="21"/>
      <c r="B446" s="21"/>
      <c r="C446" s="21"/>
      <c r="D446" s="21"/>
      <c r="E446" s="1"/>
      <c r="F446" s="1"/>
      <c r="G446" s="1"/>
      <c r="H446" s="1"/>
      <c r="I446" s="1"/>
      <c r="J446" s="1"/>
      <c r="K446" s="1"/>
      <c r="L446" s="1"/>
      <c r="M446" s="1"/>
      <c r="N446" s="1"/>
      <c r="O446" s="1"/>
      <c r="P446" s="1"/>
      <c r="Q446" s="1"/>
      <c r="R446" s="1"/>
      <c r="S446" s="1"/>
      <c r="T446" s="1"/>
      <c r="U446" s="1"/>
      <c r="V446" s="1"/>
      <c r="W446" s="1"/>
      <c r="X446" s="1"/>
      <c r="Y446" s="1"/>
      <c r="Z446" s="1"/>
    </row>
    <row r="447" spans="1:26" ht="14" x14ac:dyDescent="0.15">
      <c r="A447" s="21"/>
      <c r="B447" s="21"/>
      <c r="C447" s="21"/>
      <c r="D447" s="21"/>
      <c r="E447" s="1"/>
      <c r="F447" s="1"/>
      <c r="G447" s="1"/>
      <c r="H447" s="1"/>
      <c r="I447" s="1"/>
      <c r="J447" s="1"/>
      <c r="K447" s="1"/>
      <c r="L447" s="1"/>
      <c r="M447" s="1"/>
      <c r="N447" s="1"/>
      <c r="O447" s="1"/>
      <c r="P447" s="1"/>
      <c r="Q447" s="1"/>
      <c r="R447" s="1"/>
      <c r="S447" s="1"/>
      <c r="T447" s="1"/>
      <c r="U447" s="1"/>
      <c r="V447" s="1"/>
      <c r="W447" s="1"/>
      <c r="X447" s="1"/>
      <c r="Y447" s="1"/>
      <c r="Z447" s="1"/>
    </row>
    <row r="448" spans="1:26" ht="14" x14ac:dyDescent="0.15">
      <c r="A448" s="21"/>
      <c r="B448" s="21"/>
      <c r="C448" s="21"/>
      <c r="D448" s="21"/>
      <c r="E448" s="1"/>
      <c r="F448" s="1"/>
      <c r="G448" s="1"/>
      <c r="H448" s="1"/>
      <c r="I448" s="1"/>
      <c r="J448" s="1"/>
      <c r="K448" s="1"/>
      <c r="L448" s="1"/>
      <c r="M448" s="1"/>
      <c r="N448" s="1"/>
      <c r="O448" s="1"/>
      <c r="P448" s="1"/>
      <c r="Q448" s="1"/>
      <c r="R448" s="1"/>
      <c r="S448" s="1"/>
      <c r="T448" s="1"/>
      <c r="U448" s="1"/>
      <c r="V448" s="1"/>
      <c r="W448" s="1"/>
      <c r="X448" s="1"/>
      <c r="Y448" s="1"/>
      <c r="Z448" s="1"/>
    </row>
    <row r="449" spans="1:26" ht="14" x14ac:dyDescent="0.15">
      <c r="A449" s="21"/>
      <c r="B449" s="21"/>
      <c r="C449" s="21"/>
      <c r="D449" s="21"/>
      <c r="E449" s="1"/>
      <c r="F449" s="1"/>
      <c r="G449" s="1"/>
      <c r="H449" s="1"/>
      <c r="I449" s="1"/>
      <c r="J449" s="1"/>
      <c r="K449" s="1"/>
      <c r="L449" s="1"/>
      <c r="M449" s="1"/>
      <c r="N449" s="1"/>
      <c r="O449" s="1"/>
      <c r="P449" s="1"/>
      <c r="Q449" s="1"/>
      <c r="R449" s="1"/>
      <c r="S449" s="1"/>
      <c r="T449" s="1"/>
      <c r="U449" s="1"/>
      <c r="V449" s="1"/>
      <c r="W449" s="1"/>
      <c r="X449" s="1"/>
      <c r="Y449" s="1"/>
      <c r="Z449" s="1"/>
    </row>
    <row r="450" spans="1:26" ht="14" x14ac:dyDescent="0.15">
      <c r="A450" s="21"/>
      <c r="B450" s="21"/>
      <c r="C450" s="21"/>
      <c r="D450" s="21"/>
      <c r="E450" s="1"/>
      <c r="F450" s="1"/>
      <c r="G450" s="1"/>
      <c r="H450" s="1"/>
      <c r="I450" s="1"/>
      <c r="J450" s="1"/>
      <c r="K450" s="1"/>
      <c r="L450" s="1"/>
      <c r="M450" s="1"/>
      <c r="N450" s="1"/>
      <c r="O450" s="1"/>
      <c r="P450" s="1"/>
      <c r="Q450" s="1"/>
      <c r="R450" s="1"/>
      <c r="S450" s="1"/>
      <c r="T450" s="1"/>
      <c r="U450" s="1"/>
      <c r="V450" s="1"/>
      <c r="W450" s="1"/>
      <c r="X450" s="1"/>
      <c r="Y450" s="1"/>
      <c r="Z450" s="1"/>
    </row>
    <row r="451" spans="1:26" ht="14" x14ac:dyDescent="0.15">
      <c r="A451" s="21"/>
      <c r="B451" s="21"/>
      <c r="C451" s="21"/>
      <c r="D451" s="21"/>
      <c r="E451" s="1"/>
      <c r="F451" s="1"/>
      <c r="G451" s="1"/>
      <c r="H451" s="1"/>
      <c r="I451" s="1"/>
      <c r="J451" s="1"/>
      <c r="K451" s="1"/>
      <c r="L451" s="1"/>
      <c r="M451" s="1"/>
      <c r="N451" s="1"/>
      <c r="O451" s="1"/>
      <c r="P451" s="1"/>
      <c r="Q451" s="1"/>
      <c r="R451" s="1"/>
      <c r="S451" s="1"/>
      <c r="T451" s="1"/>
      <c r="U451" s="1"/>
      <c r="V451" s="1"/>
      <c r="W451" s="1"/>
      <c r="X451" s="1"/>
      <c r="Y451" s="1"/>
      <c r="Z451" s="1"/>
    </row>
    <row r="452" spans="1:26" ht="14" x14ac:dyDescent="0.15">
      <c r="A452" s="21"/>
      <c r="B452" s="21"/>
      <c r="C452" s="21"/>
      <c r="D452" s="21"/>
      <c r="E452" s="1"/>
      <c r="F452" s="1"/>
      <c r="G452" s="1"/>
      <c r="H452" s="1"/>
      <c r="I452" s="1"/>
      <c r="J452" s="1"/>
      <c r="K452" s="1"/>
      <c r="L452" s="1"/>
      <c r="M452" s="1"/>
      <c r="N452" s="1"/>
      <c r="O452" s="1"/>
      <c r="P452" s="1"/>
      <c r="Q452" s="1"/>
      <c r="R452" s="1"/>
      <c r="S452" s="1"/>
      <c r="T452" s="1"/>
      <c r="U452" s="1"/>
      <c r="V452" s="1"/>
      <c r="W452" s="1"/>
      <c r="X452" s="1"/>
      <c r="Y452" s="1"/>
      <c r="Z452" s="1"/>
    </row>
    <row r="453" spans="1:26" ht="14" x14ac:dyDescent="0.15">
      <c r="A453" s="21"/>
      <c r="B453" s="21"/>
      <c r="C453" s="21"/>
      <c r="D453" s="21"/>
      <c r="E453" s="1"/>
      <c r="F453" s="1"/>
      <c r="G453" s="1"/>
      <c r="H453" s="1"/>
      <c r="I453" s="1"/>
      <c r="J453" s="1"/>
      <c r="K453" s="1"/>
      <c r="L453" s="1"/>
      <c r="M453" s="1"/>
      <c r="N453" s="1"/>
      <c r="O453" s="1"/>
      <c r="P453" s="1"/>
      <c r="Q453" s="1"/>
      <c r="R453" s="1"/>
      <c r="S453" s="1"/>
      <c r="T453" s="1"/>
      <c r="U453" s="1"/>
      <c r="V453" s="1"/>
      <c r="W453" s="1"/>
      <c r="X453" s="1"/>
      <c r="Y453" s="1"/>
      <c r="Z453" s="1"/>
    </row>
    <row r="454" spans="1:26" ht="14" x14ac:dyDescent="0.15">
      <c r="A454" s="21"/>
      <c r="B454" s="21"/>
      <c r="C454" s="21"/>
      <c r="D454" s="21"/>
      <c r="E454" s="1"/>
      <c r="F454" s="1"/>
      <c r="G454" s="1"/>
      <c r="H454" s="1"/>
      <c r="I454" s="1"/>
      <c r="J454" s="1"/>
      <c r="K454" s="1"/>
      <c r="L454" s="1"/>
      <c r="M454" s="1"/>
      <c r="N454" s="1"/>
      <c r="O454" s="1"/>
      <c r="P454" s="1"/>
      <c r="Q454" s="1"/>
      <c r="R454" s="1"/>
      <c r="S454" s="1"/>
      <c r="T454" s="1"/>
      <c r="U454" s="1"/>
      <c r="V454" s="1"/>
      <c r="W454" s="1"/>
      <c r="X454" s="1"/>
      <c r="Y454" s="1"/>
      <c r="Z454" s="1"/>
    </row>
    <row r="455" spans="1:26" ht="14" x14ac:dyDescent="0.15">
      <c r="A455" s="21"/>
      <c r="B455" s="21"/>
      <c r="C455" s="21"/>
      <c r="D455" s="21"/>
      <c r="E455" s="1"/>
      <c r="F455" s="1"/>
      <c r="G455" s="1"/>
      <c r="H455" s="1"/>
      <c r="I455" s="1"/>
      <c r="J455" s="1"/>
      <c r="K455" s="1"/>
      <c r="L455" s="1"/>
      <c r="M455" s="1"/>
      <c r="N455" s="1"/>
      <c r="O455" s="1"/>
      <c r="P455" s="1"/>
      <c r="Q455" s="1"/>
      <c r="R455" s="1"/>
      <c r="S455" s="1"/>
      <c r="T455" s="1"/>
      <c r="U455" s="1"/>
      <c r="V455" s="1"/>
      <c r="W455" s="1"/>
      <c r="X455" s="1"/>
      <c r="Y455" s="1"/>
      <c r="Z455" s="1"/>
    </row>
    <row r="456" spans="1:26" ht="14" x14ac:dyDescent="0.15">
      <c r="A456" s="21"/>
      <c r="B456" s="21"/>
      <c r="C456" s="21"/>
      <c r="D456" s="21"/>
      <c r="E456" s="1"/>
      <c r="F456" s="1"/>
      <c r="G456" s="1"/>
      <c r="H456" s="1"/>
      <c r="I456" s="1"/>
      <c r="J456" s="1"/>
      <c r="K456" s="1"/>
      <c r="L456" s="1"/>
      <c r="M456" s="1"/>
      <c r="N456" s="1"/>
      <c r="O456" s="1"/>
      <c r="P456" s="1"/>
      <c r="Q456" s="1"/>
      <c r="R456" s="1"/>
      <c r="S456" s="1"/>
      <c r="T456" s="1"/>
      <c r="U456" s="1"/>
      <c r="V456" s="1"/>
      <c r="W456" s="1"/>
      <c r="X456" s="1"/>
      <c r="Y456" s="1"/>
      <c r="Z456" s="1"/>
    </row>
    <row r="457" spans="1:26" ht="14" x14ac:dyDescent="0.15">
      <c r="A457" s="21"/>
      <c r="B457" s="21"/>
      <c r="C457" s="21"/>
      <c r="D457" s="21"/>
      <c r="E457" s="1"/>
      <c r="F457" s="1"/>
      <c r="G457" s="1"/>
      <c r="H457" s="1"/>
      <c r="I457" s="1"/>
      <c r="J457" s="1"/>
      <c r="K457" s="1"/>
      <c r="L457" s="1"/>
      <c r="M457" s="1"/>
      <c r="N457" s="1"/>
      <c r="O457" s="1"/>
      <c r="P457" s="1"/>
      <c r="Q457" s="1"/>
      <c r="R457" s="1"/>
      <c r="S457" s="1"/>
      <c r="T457" s="1"/>
      <c r="U457" s="1"/>
      <c r="V457" s="1"/>
      <c r="W457" s="1"/>
      <c r="X457" s="1"/>
      <c r="Y457" s="1"/>
      <c r="Z457" s="1"/>
    </row>
    <row r="458" spans="1:26" ht="14" x14ac:dyDescent="0.15">
      <c r="A458" s="21"/>
      <c r="B458" s="21"/>
      <c r="C458" s="21"/>
      <c r="D458" s="21"/>
      <c r="E458" s="1"/>
      <c r="F458" s="1"/>
      <c r="G458" s="1"/>
      <c r="H458" s="1"/>
      <c r="I458" s="1"/>
      <c r="J458" s="1"/>
      <c r="K458" s="1"/>
      <c r="L458" s="1"/>
      <c r="M458" s="1"/>
      <c r="N458" s="1"/>
      <c r="O458" s="1"/>
      <c r="P458" s="1"/>
      <c r="Q458" s="1"/>
      <c r="R458" s="1"/>
      <c r="S458" s="1"/>
      <c r="T458" s="1"/>
      <c r="U458" s="1"/>
      <c r="V458" s="1"/>
      <c r="W458" s="1"/>
      <c r="X458" s="1"/>
      <c r="Y458" s="1"/>
      <c r="Z458" s="1"/>
    </row>
    <row r="459" spans="1:26" ht="14" x14ac:dyDescent="0.15">
      <c r="A459" s="21"/>
      <c r="B459" s="21"/>
      <c r="C459" s="21"/>
      <c r="D459" s="21"/>
      <c r="E459" s="1"/>
      <c r="F459" s="1"/>
      <c r="G459" s="1"/>
      <c r="H459" s="1"/>
      <c r="I459" s="1"/>
      <c r="J459" s="1"/>
      <c r="K459" s="1"/>
      <c r="L459" s="1"/>
      <c r="M459" s="1"/>
      <c r="N459" s="1"/>
      <c r="O459" s="1"/>
      <c r="P459" s="1"/>
      <c r="Q459" s="1"/>
      <c r="R459" s="1"/>
      <c r="S459" s="1"/>
      <c r="T459" s="1"/>
      <c r="U459" s="1"/>
      <c r="V459" s="1"/>
      <c r="W459" s="1"/>
      <c r="X459" s="1"/>
      <c r="Y459" s="1"/>
      <c r="Z459" s="1"/>
    </row>
    <row r="460" spans="1:26" ht="14" x14ac:dyDescent="0.15">
      <c r="A460" s="21"/>
      <c r="B460" s="21"/>
      <c r="C460" s="21"/>
      <c r="D460" s="21"/>
      <c r="E460" s="1"/>
      <c r="F460" s="1"/>
      <c r="G460" s="1"/>
      <c r="H460" s="1"/>
      <c r="I460" s="1"/>
      <c r="J460" s="1"/>
      <c r="K460" s="1"/>
      <c r="L460" s="1"/>
      <c r="M460" s="1"/>
      <c r="N460" s="1"/>
      <c r="O460" s="1"/>
      <c r="P460" s="1"/>
      <c r="Q460" s="1"/>
      <c r="R460" s="1"/>
      <c r="S460" s="1"/>
      <c r="T460" s="1"/>
      <c r="U460" s="1"/>
      <c r="V460" s="1"/>
      <c r="W460" s="1"/>
      <c r="X460" s="1"/>
      <c r="Y460" s="1"/>
      <c r="Z460" s="1"/>
    </row>
    <row r="461" spans="1:26" ht="14" x14ac:dyDescent="0.15">
      <c r="A461" s="21"/>
      <c r="B461" s="21"/>
      <c r="C461" s="21"/>
      <c r="D461" s="21"/>
      <c r="E461" s="1"/>
      <c r="F461" s="1"/>
      <c r="G461" s="1"/>
      <c r="H461" s="1"/>
      <c r="I461" s="1"/>
      <c r="J461" s="1"/>
      <c r="K461" s="1"/>
      <c r="L461" s="1"/>
      <c r="M461" s="1"/>
      <c r="N461" s="1"/>
      <c r="O461" s="1"/>
      <c r="P461" s="1"/>
      <c r="Q461" s="1"/>
      <c r="R461" s="1"/>
      <c r="S461" s="1"/>
      <c r="T461" s="1"/>
      <c r="U461" s="1"/>
      <c r="V461" s="1"/>
      <c r="W461" s="1"/>
      <c r="X461" s="1"/>
      <c r="Y461" s="1"/>
      <c r="Z461" s="1"/>
    </row>
    <row r="462" spans="1:26" ht="14" x14ac:dyDescent="0.15">
      <c r="A462" s="21"/>
      <c r="B462" s="21"/>
      <c r="C462" s="21"/>
      <c r="D462" s="21"/>
      <c r="E462" s="1"/>
      <c r="F462" s="1"/>
      <c r="G462" s="1"/>
      <c r="H462" s="1"/>
      <c r="I462" s="1"/>
      <c r="J462" s="1"/>
      <c r="K462" s="1"/>
      <c r="L462" s="1"/>
      <c r="M462" s="1"/>
      <c r="N462" s="1"/>
      <c r="O462" s="1"/>
      <c r="P462" s="1"/>
      <c r="Q462" s="1"/>
      <c r="R462" s="1"/>
      <c r="S462" s="1"/>
      <c r="T462" s="1"/>
      <c r="U462" s="1"/>
      <c r="V462" s="1"/>
      <c r="W462" s="1"/>
      <c r="X462" s="1"/>
      <c r="Y462" s="1"/>
      <c r="Z462" s="1"/>
    </row>
    <row r="463" spans="1:26" ht="14" x14ac:dyDescent="0.15">
      <c r="A463" s="21"/>
      <c r="B463" s="21"/>
      <c r="C463" s="21"/>
      <c r="D463" s="21"/>
      <c r="E463" s="1"/>
      <c r="F463" s="1"/>
      <c r="G463" s="1"/>
      <c r="H463" s="1"/>
      <c r="I463" s="1"/>
      <c r="J463" s="1"/>
      <c r="K463" s="1"/>
      <c r="L463" s="1"/>
      <c r="M463" s="1"/>
      <c r="N463" s="1"/>
      <c r="O463" s="1"/>
      <c r="P463" s="1"/>
      <c r="Q463" s="1"/>
      <c r="R463" s="1"/>
      <c r="S463" s="1"/>
      <c r="T463" s="1"/>
      <c r="U463" s="1"/>
      <c r="V463" s="1"/>
      <c r="W463" s="1"/>
      <c r="X463" s="1"/>
      <c r="Y463" s="1"/>
      <c r="Z463" s="1"/>
    </row>
    <row r="464" spans="1:26" ht="14" x14ac:dyDescent="0.15">
      <c r="A464" s="21"/>
      <c r="B464" s="21"/>
      <c r="C464" s="21"/>
      <c r="D464" s="21"/>
      <c r="E464" s="1"/>
      <c r="F464" s="1"/>
      <c r="G464" s="1"/>
      <c r="H464" s="1"/>
      <c r="I464" s="1"/>
      <c r="J464" s="1"/>
      <c r="K464" s="1"/>
      <c r="L464" s="1"/>
      <c r="M464" s="1"/>
      <c r="N464" s="1"/>
      <c r="O464" s="1"/>
      <c r="P464" s="1"/>
      <c r="Q464" s="1"/>
      <c r="R464" s="1"/>
      <c r="S464" s="1"/>
      <c r="T464" s="1"/>
      <c r="U464" s="1"/>
      <c r="V464" s="1"/>
      <c r="W464" s="1"/>
      <c r="X464" s="1"/>
      <c r="Y464" s="1"/>
      <c r="Z464" s="1"/>
    </row>
    <row r="465" spans="1:26" ht="14" x14ac:dyDescent="0.15">
      <c r="A465" s="21"/>
      <c r="B465" s="21"/>
      <c r="C465" s="21"/>
      <c r="D465" s="21"/>
      <c r="E465" s="1"/>
      <c r="F465" s="1"/>
      <c r="G465" s="1"/>
      <c r="H465" s="1"/>
      <c r="I465" s="1"/>
      <c r="J465" s="1"/>
      <c r="K465" s="1"/>
      <c r="L465" s="1"/>
      <c r="M465" s="1"/>
      <c r="N465" s="1"/>
      <c r="O465" s="1"/>
      <c r="P465" s="1"/>
      <c r="Q465" s="1"/>
      <c r="R465" s="1"/>
      <c r="S465" s="1"/>
      <c r="T465" s="1"/>
      <c r="U465" s="1"/>
      <c r="V465" s="1"/>
      <c r="W465" s="1"/>
      <c r="X465" s="1"/>
      <c r="Y465" s="1"/>
      <c r="Z465" s="1"/>
    </row>
    <row r="466" spans="1:26" ht="14" x14ac:dyDescent="0.15">
      <c r="A466" s="21"/>
      <c r="B466" s="21"/>
      <c r="C466" s="21"/>
      <c r="D466" s="21"/>
      <c r="E466" s="1"/>
      <c r="F466" s="1"/>
      <c r="G466" s="1"/>
      <c r="H466" s="1"/>
      <c r="I466" s="1"/>
      <c r="J466" s="1"/>
      <c r="K466" s="1"/>
      <c r="L466" s="1"/>
      <c r="M466" s="1"/>
      <c r="N466" s="1"/>
      <c r="O466" s="1"/>
      <c r="P466" s="1"/>
      <c r="Q466" s="1"/>
      <c r="R466" s="1"/>
      <c r="S466" s="1"/>
      <c r="T466" s="1"/>
      <c r="U466" s="1"/>
      <c r="V466" s="1"/>
      <c r="W466" s="1"/>
      <c r="X466" s="1"/>
      <c r="Y466" s="1"/>
      <c r="Z466" s="1"/>
    </row>
    <row r="467" spans="1:26" ht="14" x14ac:dyDescent="0.15">
      <c r="A467" s="21"/>
      <c r="B467" s="21"/>
      <c r="C467" s="21"/>
      <c r="D467" s="21"/>
      <c r="E467" s="1"/>
      <c r="F467" s="1"/>
      <c r="G467" s="1"/>
      <c r="H467" s="1"/>
      <c r="I467" s="1"/>
      <c r="J467" s="1"/>
      <c r="K467" s="1"/>
      <c r="L467" s="1"/>
      <c r="M467" s="1"/>
      <c r="N467" s="1"/>
      <c r="O467" s="1"/>
      <c r="P467" s="1"/>
      <c r="Q467" s="1"/>
      <c r="R467" s="1"/>
      <c r="S467" s="1"/>
      <c r="T467" s="1"/>
      <c r="U467" s="1"/>
      <c r="V467" s="1"/>
      <c r="W467" s="1"/>
      <c r="X467" s="1"/>
      <c r="Y467" s="1"/>
      <c r="Z467" s="1"/>
    </row>
    <row r="468" spans="1:26" ht="14" x14ac:dyDescent="0.15">
      <c r="A468" s="21"/>
      <c r="B468" s="21"/>
      <c r="C468" s="21"/>
      <c r="D468" s="21"/>
      <c r="E468" s="1"/>
      <c r="F468" s="1"/>
      <c r="G468" s="1"/>
      <c r="H468" s="1"/>
      <c r="I468" s="1"/>
      <c r="J468" s="1"/>
      <c r="K468" s="1"/>
      <c r="L468" s="1"/>
      <c r="M468" s="1"/>
      <c r="N468" s="1"/>
      <c r="O468" s="1"/>
      <c r="P468" s="1"/>
      <c r="Q468" s="1"/>
      <c r="R468" s="1"/>
      <c r="S468" s="1"/>
      <c r="T468" s="1"/>
      <c r="U468" s="1"/>
      <c r="V468" s="1"/>
      <c r="W468" s="1"/>
      <c r="X468" s="1"/>
      <c r="Y468" s="1"/>
      <c r="Z468" s="1"/>
    </row>
    <row r="469" spans="1:26" ht="14" x14ac:dyDescent="0.15">
      <c r="A469" s="21"/>
      <c r="B469" s="21"/>
      <c r="C469" s="21"/>
      <c r="D469" s="21"/>
      <c r="E469" s="1"/>
      <c r="F469" s="1"/>
      <c r="G469" s="1"/>
      <c r="H469" s="1"/>
      <c r="I469" s="1"/>
      <c r="J469" s="1"/>
      <c r="K469" s="1"/>
      <c r="L469" s="1"/>
      <c r="M469" s="1"/>
      <c r="N469" s="1"/>
      <c r="O469" s="1"/>
      <c r="P469" s="1"/>
      <c r="Q469" s="1"/>
      <c r="R469" s="1"/>
      <c r="S469" s="1"/>
      <c r="T469" s="1"/>
      <c r="U469" s="1"/>
      <c r="V469" s="1"/>
      <c r="W469" s="1"/>
      <c r="X469" s="1"/>
      <c r="Y469" s="1"/>
      <c r="Z469" s="1"/>
    </row>
    <row r="470" spans="1:26" ht="14" x14ac:dyDescent="0.15">
      <c r="A470" s="21"/>
      <c r="B470" s="21"/>
      <c r="C470" s="21"/>
      <c r="D470" s="21"/>
      <c r="E470" s="1"/>
      <c r="F470" s="1"/>
      <c r="G470" s="1"/>
      <c r="H470" s="1"/>
      <c r="I470" s="1"/>
      <c r="J470" s="1"/>
      <c r="K470" s="1"/>
      <c r="L470" s="1"/>
      <c r="M470" s="1"/>
      <c r="N470" s="1"/>
      <c r="O470" s="1"/>
      <c r="P470" s="1"/>
      <c r="Q470" s="1"/>
      <c r="R470" s="1"/>
      <c r="S470" s="1"/>
      <c r="T470" s="1"/>
      <c r="U470" s="1"/>
      <c r="V470" s="1"/>
      <c r="W470" s="1"/>
      <c r="X470" s="1"/>
      <c r="Y470" s="1"/>
      <c r="Z470" s="1"/>
    </row>
    <row r="471" spans="1:26" ht="14" x14ac:dyDescent="0.15">
      <c r="A471" s="21"/>
      <c r="B471" s="21"/>
      <c r="C471" s="21"/>
      <c r="D471" s="21"/>
      <c r="E471" s="1"/>
      <c r="F471" s="1"/>
      <c r="G471" s="1"/>
      <c r="H471" s="1"/>
      <c r="I471" s="1"/>
      <c r="J471" s="1"/>
      <c r="K471" s="1"/>
      <c r="L471" s="1"/>
      <c r="M471" s="1"/>
      <c r="N471" s="1"/>
      <c r="O471" s="1"/>
      <c r="P471" s="1"/>
      <c r="Q471" s="1"/>
      <c r="R471" s="1"/>
      <c r="S471" s="1"/>
      <c r="T471" s="1"/>
      <c r="U471" s="1"/>
      <c r="V471" s="1"/>
      <c r="W471" s="1"/>
      <c r="X471" s="1"/>
      <c r="Y471" s="1"/>
      <c r="Z471" s="1"/>
    </row>
    <row r="472" spans="1:26" ht="14" x14ac:dyDescent="0.15">
      <c r="A472" s="21"/>
      <c r="B472" s="21"/>
      <c r="C472" s="21"/>
      <c r="D472" s="21"/>
      <c r="E472" s="1"/>
      <c r="F472" s="1"/>
      <c r="G472" s="1"/>
      <c r="H472" s="1"/>
      <c r="I472" s="1"/>
      <c r="J472" s="1"/>
      <c r="K472" s="1"/>
      <c r="L472" s="1"/>
      <c r="M472" s="1"/>
      <c r="N472" s="1"/>
      <c r="O472" s="1"/>
      <c r="P472" s="1"/>
      <c r="Q472" s="1"/>
      <c r="R472" s="1"/>
      <c r="S472" s="1"/>
      <c r="T472" s="1"/>
      <c r="U472" s="1"/>
      <c r="V472" s="1"/>
      <c r="W472" s="1"/>
      <c r="X472" s="1"/>
      <c r="Y472" s="1"/>
      <c r="Z472" s="1"/>
    </row>
    <row r="473" spans="1:26" ht="14" x14ac:dyDescent="0.15">
      <c r="A473" s="21"/>
      <c r="B473" s="21"/>
      <c r="C473" s="21"/>
      <c r="D473" s="21"/>
      <c r="E473" s="1"/>
      <c r="F473" s="1"/>
      <c r="G473" s="1"/>
      <c r="H473" s="1"/>
      <c r="I473" s="1"/>
      <c r="J473" s="1"/>
      <c r="K473" s="1"/>
      <c r="L473" s="1"/>
      <c r="M473" s="1"/>
      <c r="N473" s="1"/>
      <c r="O473" s="1"/>
      <c r="P473" s="1"/>
      <c r="Q473" s="1"/>
      <c r="R473" s="1"/>
      <c r="S473" s="1"/>
      <c r="T473" s="1"/>
      <c r="U473" s="1"/>
      <c r="V473" s="1"/>
      <c r="W473" s="1"/>
      <c r="X473" s="1"/>
      <c r="Y473" s="1"/>
      <c r="Z473" s="1"/>
    </row>
    <row r="474" spans="1:26" ht="14" x14ac:dyDescent="0.15">
      <c r="A474" s="21"/>
      <c r="B474" s="21"/>
      <c r="C474" s="21"/>
      <c r="D474" s="21"/>
      <c r="E474" s="1"/>
      <c r="F474" s="1"/>
      <c r="G474" s="1"/>
      <c r="H474" s="1"/>
      <c r="I474" s="1"/>
      <c r="J474" s="1"/>
      <c r="K474" s="1"/>
      <c r="L474" s="1"/>
      <c r="M474" s="1"/>
      <c r="N474" s="1"/>
      <c r="O474" s="1"/>
      <c r="P474" s="1"/>
      <c r="Q474" s="1"/>
      <c r="R474" s="1"/>
      <c r="S474" s="1"/>
      <c r="T474" s="1"/>
      <c r="U474" s="1"/>
      <c r="V474" s="1"/>
      <c r="W474" s="1"/>
      <c r="X474" s="1"/>
      <c r="Y474" s="1"/>
      <c r="Z474" s="1"/>
    </row>
    <row r="475" spans="1:26" ht="14" x14ac:dyDescent="0.15">
      <c r="A475" s="21"/>
      <c r="B475" s="21"/>
      <c r="C475" s="21"/>
      <c r="D475" s="21"/>
      <c r="E475" s="1"/>
      <c r="F475" s="1"/>
      <c r="G475" s="1"/>
      <c r="H475" s="1"/>
      <c r="I475" s="1"/>
      <c r="J475" s="1"/>
      <c r="K475" s="1"/>
      <c r="L475" s="1"/>
      <c r="M475" s="1"/>
      <c r="N475" s="1"/>
      <c r="O475" s="1"/>
      <c r="P475" s="1"/>
      <c r="Q475" s="1"/>
      <c r="R475" s="1"/>
      <c r="S475" s="1"/>
      <c r="T475" s="1"/>
      <c r="U475" s="1"/>
      <c r="V475" s="1"/>
      <c r="W475" s="1"/>
      <c r="X475" s="1"/>
      <c r="Y475" s="1"/>
      <c r="Z475" s="1"/>
    </row>
    <row r="476" spans="1:26" ht="14" x14ac:dyDescent="0.15">
      <c r="A476" s="21"/>
      <c r="B476" s="21"/>
      <c r="C476" s="21"/>
      <c r="D476" s="21"/>
      <c r="E476" s="1"/>
      <c r="F476" s="1"/>
      <c r="G476" s="1"/>
      <c r="H476" s="1"/>
      <c r="I476" s="1"/>
      <c r="J476" s="1"/>
      <c r="K476" s="1"/>
      <c r="L476" s="1"/>
      <c r="M476" s="1"/>
      <c r="N476" s="1"/>
      <c r="O476" s="1"/>
      <c r="P476" s="1"/>
      <c r="Q476" s="1"/>
      <c r="R476" s="1"/>
      <c r="S476" s="1"/>
      <c r="T476" s="1"/>
      <c r="U476" s="1"/>
      <c r="V476" s="1"/>
      <c r="W476" s="1"/>
      <c r="X476" s="1"/>
      <c r="Y476" s="1"/>
      <c r="Z476" s="1"/>
    </row>
    <row r="477" spans="1:26" ht="14" x14ac:dyDescent="0.15">
      <c r="A477" s="21"/>
      <c r="B477" s="21"/>
      <c r="C477" s="21"/>
      <c r="D477" s="21"/>
      <c r="E477" s="1"/>
      <c r="F477" s="1"/>
      <c r="G477" s="1"/>
      <c r="H477" s="1"/>
      <c r="I477" s="1"/>
      <c r="J477" s="1"/>
      <c r="K477" s="1"/>
      <c r="L477" s="1"/>
      <c r="M477" s="1"/>
      <c r="N477" s="1"/>
      <c r="O477" s="1"/>
      <c r="P477" s="1"/>
      <c r="Q477" s="1"/>
      <c r="R477" s="1"/>
      <c r="S477" s="1"/>
      <c r="T477" s="1"/>
      <c r="U477" s="1"/>
      <c r="V477" s="1"/>
      <c r="W477" s="1"/>
      <c r="X477" s="1"/>
      <c r="Y477" s="1"/>
      <c r="Z477" s="1"/>
    </row>
    <row r="478" spans="1:26" ht="14" x14ac:dyDescent="0.15">
      <c r="A478" s="21"/>
      <c r="B478" s="21"/>
      <c r="C478" s="21"/>
      <c r="D478" s="21"/>
      <c r="E478" s="1"/>
      <c r="F478" s="1"/>
      <c r="G478" s="1"/>
      <c r="H478" s="1"/>
      <c r="I478" s="1"/>
      <c r="J478" s="1"/>
      <c r="K478" s="1"/>
      <c r="L478" s="1"/>
      <c r="M478" s="1"/>
      <c r="N478" s="1"/>
      <c r="O478" s="1"/>
      <c r="P478" s="1"/>
      <c r="Q478" s="1"/>
      <c r="R478" s="1"/>
      <c r="S478" s="1"/>
      <c r="T478" s="1"/>
      <c r="U478" s="1"/>
      <c r="V478" s="1"/>
      <c r="W478" s="1"/>
      <c r="X478" s="1"/>
      <c r="Y478" s="1"/>
      <c r="Z478" s="1"/>
    </row>
    <row r="479" spans="1:26" ht="14" x14ac:dyDescent="0.15">
      <c r="A479" s="21"/>
      <c r="B479" s="21"/>
      <c r="C479" s="21"/>
      <c r="D479" s="21"/>
      <c r="E479" s="1"/>
      <c r="F479" s="1"/>
      <c r="G479" s="1"/>
      <c r="H479" s="1"/>
      <c r="I479" s="1"/>
      <c r="J479" s="1"/>
      <c r="K479" s="1"/>
      <c r="L479" s="1"/>
      <c r="M479" s="1"/>
      <c r="N479" s="1"/>
      <c r="O479" s="1"/>
      <c r="P479" s="1"/>
      <c r="Q479" s="1"/>
      <c r="R479" s="1"/>
      <c r="S479" s="1"/>
      <c r="T479" s="1"/>
      <c r="U479" s="1"/>
      <c r="V479" s="1"/>
      <c r="W479" s="1"/>
      <c r="X479" s="1"/>
      <c r="Y479" s="1"/>
      <c r="Z479" s="1"/>
    </row>
    <row r="480" spans="1:26" ht="14" x14ac:dyDescent="0.15">
      <c r="A480" s="21"/>
      <c r="B480" s="21"/>
      <c r="C480" s="21"/>
      <c r="D480" s="21"/>
      <c r="E480" s="1"/>
      <c r="F480" s="1"/>
      <c r="G480" s="1"/>
      <c r="H480" s="1"/>
      <c r="I480" s="1"/>
      <c r="J480" s="1"/>
      <c r="K480" s="1"/>
      <c r="L480" s="1"/>
      <c r="M480" s="1"/>
      <c r="N480" s="1"/>
      <c r="O480" s="1"/>
      <c r="P480" s="1"/>
      <c r="Q480" s="1"/>
      <c r="R480" s="1"/>
      <c r="S480" s="1"/>
      <c r="T480" s="1"/>
      <c r="U480" s="1"/>
      <c r="V480" s="1"/>
      <c r="W480" s="1"/>
      <c r="X480" s="1"/>
      <c r="Y480" s="1"/>
      <c r="Z480" s="1"/>
    </row>
    <row r="481" spans="1:26" ht="14" x14ac:dyDescent="0.15">
      <c r="A481" s="21"/>
      <c r="B481" s="21"/>
      <c r="C481" s="21"/>
      <c r="D481" s="21"/>
      <c r="E481" s="1"/>
      <c r="F481" s="1"/>
      <c r="G481" s="1"/>
      <c r="H481" s="1"/>
      <c r="I481" s="1"/>
      <c r="J481" s="1"/>
      <c r="K481" s="1"/>
      <c r="L481" s="1"/>
      <c r="M481" s="1"/>
      <c r="N481" s="1"/>
      <c r="O481" s="1"/>
      <c r="P481" s="1"/>
      <c r="Q481" s="1"/>
      <c r="R481" s="1"/>
      <c r="S481" s="1"/>
      <c r="T481" s="1"/>
      <c r="U481" s="1"/>
      <c r="V481" s="1"/>
      <c r="W481" s="1"/>
      <c r="X481" s="1"/>
      <c r="Y481" s="1"/>
      <c r="Z481" s="1"/>
    </row>
    <row r="482" spans="1:26" ht="14" x14ac:dyDescent="0.15">
      <c r="A482" s="21"/>
      <c r="B482" s="21"/>
      <c r="C482" s="21"/>
      <c r="D482" s="21"/>
      <c r="E482" s="1"/>
      <c r="F482" s="1"/>
      <c r="G482" s="1"/>
      <c r="H482" s="1"/>
      <c r="I482" s="1"/>
      <c r="J482" s="1"/>
      <c r="K482" s="1"/>
      <c r="L482" s="1"/>
      <c r="M482" s="1"/>
      <c r="N482" s="1"/>
      <c r="O482" s="1"/>
      <c r="P482" s="1"/>
      <c r="Q482" s="1"/>
      <c r="R482" s="1"/>
      <c r="S482" s="1"/>
      <c r="T482" s="1"/>
      <c r="U482" s="1"/>
      <c r="V482" s="1"/>
      <c r="W482" s="1"/>
      <c r="X482" s="1"/>
      <c r="Y482" s="1"/>
      <c r="Z482" s="1"/>
    </row>
    <row r="483" spans="1:26" ht="14" x14ac:dyDescent="0.15">
      <c r="A483" s="21"/>
      <c r="B483" s="21"/>
      <c r="C483" s="21"/>
      <c r="D483" s="21"/>
      <c r="E483" s="1"/>
      <c r="F483" s="1"/>
      <c r="G483" s="1"/>
      <c r="H483" s="1"/>
      <c r="I483" s="1"/>
      <c r="J483" s="1"/>
      <c r="K483" s="1"/>
      <c r="L483" s="1"/>
      <c r="M483" s="1"/>
      <c r="N483" s="1"/>
      <c r="O483" s="1"/>
      <c r="P483" s="1"/>
      <c r="Q483" s="1"/>
      <c r="R483" s="1"/>
      <c r="S483" s="1"/>
      <c r="T483" s="1"/>
      <c r="U483" s="1"/>
      <c r="V483" s="1"/>
      <c r="W483" s="1"/>
      <c r="X483" s="1"/>
      <c r="Y483" s="1"/>
      <c r="Z483" s="1"/>
    </row>
    <row r="484" spans="1:26" ht="14" x14ac:dyDescent="0.15">
      <c r="A484" s="21"/>
      <c r="B484" s="21"/>
      <c r="C484" s="21"/>
      <c r="D484" s="21"/>
      <c r="E484" s="1"/>
      <c r="F484" s="1"/>
      <c r="G484" s="1"/>
      <c r="H484" s="1"/>
      <c r="I484" s="1"/>
      <c r="J484" s="1"/>
      <c r="K484" s="1"/>
      <c r="L484" s="1"/>
      <c r="M484" s="1"/>
      <c r="N484" s="1"/>
      <c r="O484" s="1"/>
      <c r="P484" s="1"/>
      <c r="Q484" s="1"/>
      <c r="R484" s="1"/>
      <c r="S484" s="1"/>
      <c r="T484" s="1"/>
      <c r="U484" s="1"/>
      <c r="V484" s="1"/>
      <c r="W484" s="1"/>
      <c r="X484" s="1"/>
      <c r="Y484" s="1"/>
      <c r="Z484" s="1"/>
    </row>
    <row r="485" spans="1:26" ht="14" x14ac:dyDescent="0.15">
      <c r="A485" s="21"/>
      <c r="B485" s="21"/>
      <c r="C485" s="21"/>
      <c r="D485" s="21"/>
      <c r="E485" s="1"/>
      <c r="F485" s="1"/>
      <c r="G485" s="1"/>
      <c r="H485" s="1"/>
      <c r="I485" s="1"/>
      <c r="J485" s="1"/>
      <c r="K485" s="1"/>
      <c r="L485" s="1"/>
      <c r="M485" s="1"/>
      <c r="N485" s="1"/>
      <c r="O485" s="1"/>
      <c r="P485" s="1"/>
      <c r="Q485" s="1"/>
      <c r="R485" s="1"/>
      <c r="S485" s="1"/>
      <c r="T485" s="1"/>
      <c r="U485" s="1"/>
      <c r="V485" s="1"/>
      <c r="W485" s="1"/>
      <c r="X485" s="1"/>
      <c r="Y485" s="1"/>
      <c r="Z485" s="1"/>
    </row>
    <row r="486" spans="1:26" ht="14" x14ac:dyDescent="0.15">
      <c r="A486" s="21"/>
      <c r="B486" s="21"/>
      <c r="C486" s="21"/>
      <c r="D486" s="21"/>
      <c r="E486" s="1"/>
      <c r="F486" s="1"/>
      <c r="G486" s="1"/>
      <c r="H486" s="1"/>
      <c r="I486" s="1"/>
      <c r="J486" s="1"/>
      <c r="K486" s="1"/>
      <c r="L486" s="1"/>
      <c r="M486" s="1"/>
      <c r="N486" s="1"/>
      <c r="O486" s="1"/>
      <c r="P486" s="1"/>
      <c r="Q486" s="1"/>
      <c r="R486" s="1"/>
      <c r="S486" s="1"/>
      <c r="T486" s="1"/>
      <c r="U486" s="1"/>
      <c r="V486" s="1"/>
      <c r="W486" s="1"/>
      <c r="X486" s="1"/>
      <c r="Y486" s="1"/>
      <c r="Z486" s="1"/>
    </row>
    <row r="487" spans="1:26" ht="14" x14ac:dyDescent="0.15">
      <c r="A487" s="21"/>
      <c r="B487" s="21"/>
      <c r="C487" s="21"/>
      <c r="D487" s="21"/>
      <c r="E487" s="1"/>
      <c r="F487" s="1"/>
      <c r="G487" s="1"/>
      <c r="H487" s="1"/>
      <c r="I487" s="1"/>
      <c r="J487" s="1"/>
      <c r="K487" s="1"/>
      <c r="L487" s="1"/>
      <c r="M487" s="1"/>
      <c r="N487" s="1"/>
      <c r="O487" s="1"/>
      <c r="P487" s="1"/>
      <c r="Q487" s="1"/>
      <c r="R487" s="1"/>
      <c r="S487" s="1"/>
      <c r="T487" s="1"/>
      <c r="U487" s="1"/>
      <c r="V487" s="1"/>
      <c r="W487" s="1"/>
      <c r="X487" s="1"/>
      <c r="Y487" s="1"/>
      <c r="Z487" s="1"/>
    </row>
    <row r="488" spans="1:26" ht="14" x14ac:dyDescent="0.15">
      <c r="A488" s="21"/>
      <c r="B488" s="21"/>
      <c r="C488" s="21"/>
      <c r="D488" s="21"/>
      <c r="E488" s="1"/>
      <c r="F488" s="1"/>
      <c r="G488" s="1"/>
      <c r="H488" s="1"/>
      <c r="I488" s="1"/>
      <c r="J488" s="1"/>
      <c r="K488" s="1"/>
      <c r="L488" s="1"/>
      <c r="M488" s="1"/>
      <c r="N488" s="1"/>
      <c r="O488" s="1"/>
      <c r="P488" s="1"/>
      <c r="Q488" s="1"/>
      <c r="R488" s="1"/>
      <c r="S488" s="1"/>
      <c r="T488" s="1"/>
      <c r="U488" s="1"/>
      <c r="V488" s="1"/>
      <c r="W488" s="1"/>
      <c r="X488" s="1"/>
      <c r="Y488" s="1"/>
      <c r="Z488" s="1"/>
    </row>
    <row r="489" spans="1:26" ht="14" x14ac:dyDescent="0.15">
      <c r="A489" s="21"/>
      <c r="B489" s="21"/>
      <c r="C489" s="21"/>
      <c r="D489" s="21"/>
      <c r="E489" s="1"/>
      <c r="F489" s="1"/>
      <c r="G489" s="1"/>
      <c r="H489" s="1"/>
      <c r="I489" s="1"/>
      <c r="J489" s="1"/>
      <c r="K489" s="1"/>
      <c r="L489" s="1"/>
      <c r="M489" s="1"/>
      <c r="N489" s="1"/>
      <c r="O489" s="1"/>
      <c r="P489" s="1"/>
      <c r="Q489" s="1"/>
      <c r="R489" s="1"/>
      <c r="S489" s="1"/>
      <c r="T489" s="1"/>
      <c r="U489" s="1"/>
      <c r="V489" s="1"/>
      <c r="W489" s="1"/>
      <c r="X489" s="1"/>
      <c r="Y489" s="1"/>
      <c r="Z489" s="1"/>
    </row>
    <row r="490" spans="1:26" ht="14" x14ac:dyDescent="0.15">
      <c r="A490" s="21"/>
      <c r="B490" s="21"/>
      <c r="C490" s="21"/>
      <c r="D490" s="21"/>
      <c r="E490" s="1"/>
      <c r="F490" s="1"/>
      <c r="G490" s="1"/>
      <c r="H490" s="1"/>
      <c r="I490" s="1"/>
      <c r="J490" s="1"/>
      <c r="K490" s="1"/>
      <c r="L490" s="1"/>
      <c r="M490" s="1"/>
      <c r="N490" s="1"/>
      <c r="O490" s="1"/>
      <c r="P490" s="1"/>
      <c r="Q490" s="1"/>
      <c r="R490" s="1"/>
      <c r="S490" s="1"/>
      <c r="T490" s="1"/>
      <c r="U490" s="1"/>
      <c r="V490" s="1"/>
      <c r="W490" s="1"/>
      <c r="X490" s="1"/>
      <c r="Y490" s="1"/>
      <c r="Z490" s="1"/>
    </row>
    <row r="491" spans="1:26" ht="14" x14ac:dyDescent="0.15">
      <c r="A491" s="21"/>
      <c r="B491" s="21"/>
      <c r="C491" s="21"/>
      <c r="D491" s="21"/>
      <c r="E491" s="1"/>
      <c r="F491" s="1"/>
      <c r="G491" s="1"/>
      <c r="H491" s="1"/>
      <c r="I491" s="1"/>
      <c r="J491" s="1"/>
      <c r="K491" s="1"/>
      <c r="L491" s="1"/>
      <c r="M491" s="1"/>
      <c r="N491" s="1"/>
      <c r="O491" s="1"/>
      <c r="P491" s="1"/>
      <c r="Q491" s="1"/>
      <c r="R491" s="1"/>
      <c r="S491" s="1"/>
      <c r="T491" s="1"/>
      <c r="U491" s="1"/>
      <c r="V491" s="1"/>
      <c r="W491" s="1"/>
      <c r="X491" s="1"/>
      <c r="Y491" s="1"/>
      <c r="Z491" s="1"/>
    </row>
    <row r="492" spans="1:26" ht="14" x14ac:dyDescent="0.15">
      <c r="A492" s="21"/>
      <c r="B492" s="21"/>
      <c r="C492" s="21"/>
      <c r="D492" s="21"/>
      <c r="E492" s="1"/>
      <c r="F492" s="1"/>
      <c r="G492" s="1"/>
      <c r="H492" s="1"/>
      <c r="I492" s="1"/>
      <c r="J492" s="1"/>
      <c r="K492" s="1"/>
      <c r="L492" s="1"/>
      <c r="M492" s="1"/>
      <c r="N492" s="1"/>
      <c r="O492" s="1"/>
      <c r="P492" s="1"/>
      <c r="Q492" s="1"/>
      <c r="R492" s="1"/>
      <c r="S492" s="1"/>
      <c r="T492" s="1"/>
      <c r="U492" s="1"/>
      <c r="V492" s="1"/>
      <c r="W492" s="1"/>
      <c r="X492" s="1"/>
      <c r="Y492" s="1"/>
      <c r="Z492" s="1"/>
    </row>
    <row r="493" spans="1:26" ht="14" x14ac:dyDescent="0.15">
      <c r="A493" s="21"/>
      <c r="B493" s="21"/>
      <c r="C493" s="21"/>
      <c r="D493" s="21"/>
      <c r="E493" s="1"/>
      <c r="F493" s="1"/>
      <c r="G493" s="1"/>
      <c r="H493" s="1"/>
      <c r="I493" s="1"/>
      <c r="J493" s="1"/>
      <c r="K493" s="1"/>
      <c r="L493" s="1"/>
      <c r="M493" s="1"/>
      <c r="N493" s="1"/>
      <c r="O493" s="1"/>
      <c r="P493" s="1"/>
      <c r="Q493" s="1"/>
      <c r="R493" s="1"/>
      <c r="S493" s="1"/>
      <c r="T493" s="1"/>
      <c r="U493" s="1"/>
      <c r="V493" s="1"/>
      <c r="W493" s="1"/>
      <c r="X493" s="1"/>
      <c r="Y493" s="1"/>
      <c r="Z493" s="1"/>
    </row>
    <row r="494" spans="1:26" ht="14" x14ac:dyDescent="0.15">
      <c r="A494" s="21"/>
      <c r="B494" s="21"/>
      <c r="C494" s="21"/>
      <c r="D494" s="21"/>
      <c r="E494" s="1"/>
      <c r="F494" s="1"/>
      <c r="G494" s="1"/>
      <c r="H494" s="1"/>
      <c r="I494" s="1"/>
      <c r="J494" s="1"/>
      <c r="K494" s="1"/>
      <c r="L494" s="1"/>
      <c r="M494" s="1"/>
      <c r="N494" s="1"/>
      <c r="O494" s="1"/>
      <c r="P494" s="1"/>
      <c r="Q494" s="1"/>
      <c r="R494" s="1"/>
      <c r="S494" s="1"/>
      <c r="T494" s="1"/>
      <c r="U494" s="1"/>
      <c r="V494" s="1"/>
      <c r="W494" s="1"/>
      <c r="X494" s="1"/>
      <c r="Y494" s="1"/>
      <c r="Z494" s="1"/>
    </row>
    <row r="495" spans="1:26" ht="14" x14ac:dyDescent="0.15">
      <c r="A495" s="21"/>
      <c r="B495" s="21"/>
      <c r="C495" s="21"/>
      <c r="D495" s="21"/>
      <c r="E495" s="1"/>
      <c r="F495" s="1"/>
      <c r="G495" s="1"/>
      <c r="H495" s="1"/>
      <c r="I495" s="1"/>
      <c r="J495" s="1"/>
      <c r="K495" s="1"/>
      <c r="L495" s="1"/>
      <c r="M495" s="1"/>
      <c r="N495" s="1"/>
      <c r="O495" s="1"/>
      <c r="P495" s="1"/>
      <c r="Q495" s="1"/>
      <c r="R495" s="1"/>
      <c r="S495" s="1"/>
      <c r="T495" s="1"/>
      <c r="U495" s="1"/>
      <c r="V495" s="1"/>
      <c r="W495" s="1"/>
      <c r="X495" s="1"/>
      <c r="Y495" s="1"/>
      <c r="Z495" s="1"/>
    </row>
    <row r="496" spans="1:26" ht="14" x14ac:dyDescent="0.15">
      <c r="A496" s="21"/>
      <c r="B496" s="21"/>
      <c r="C496" s="21"/>
      <c r="D496" s="21"/>
      <c r="E496" s="1"/>
      <c r="F496" s="1"/>
      <c r="G496" s="1"/>
      <c r="H496" s="1"/>
      <c r="I496" s="1"/>
      <c r="J496" s="1"/>
      <c r="K496" s="1"/>
      <c r="L496" s="1"/>
      <c r="M496" s="1"/>
      <c r="N496" s="1"/>
      <c r="O496" s="1"/>
      <c r="P496" s="1"/>
      <c r="Q496" s="1"/>
      <c r="R496" s="1"/>
      <c r="S496" s="1"/>
      <c r="T496" s="1"/>
      <c r="U496" s="1"/>
      <c r="V496" s="1"/>
      <c r="W496" s="1"/>
      <c r="X496" s="1"/>
      <c r="Y496" s="1"/>
      <c r="Z496" s="1"/>
    </row>
    <row r="497" spans="1:26" ht="14" x14ac:dyDescent="0.15">
      <c r="A497" s="21"/>
      <c r="B497" s="21"/>
      <c r="C497" s="21"/>
      <c r="D497" s="21"/>
      <c r="E497" s="1"/>
      <c r="F497" s="1"/>
      <c r="G497" s="1"/>
      <c r="H497" s="1"/>
      <c r="I497" s="1"/>
      <c r="J497" s="1"/>
      <c r="K497" s="1"/>
      <c r="L497" s="1"/>
      <c r="M497" s="1"/>
      <c r="N497" s="1"/>
      <c r="O497" s="1"/>
      <c r="P497" s="1"/>
      <c r="Q497" s="1"/>
      <c r="R497" s="1"/>
      <c r="S497" s="1"/>
      <c r="T497" s="1"/>
      <c r="U497" s="1"/>
      <c r="V497" s="1"/>
      <c r="W497" s="1"/>
      <c r="X497" s="1"/>
      <c r="Y497" s="1"/>
      <c r="Z497" s="1"/>
    </row>
    <row r="498" spans="1:26" ht="14" x14ac:dyDescent="0.15">
      <c r="A498" s="21"/>
      <c r="B498" s="21"/>
      <c r="C498" s="21"/>
      <c r="D498" s="21"/>
      <c r="E498" s="1"/>
      <c r="F498" s="1"/>
      <c r="G498" s="1"/>
      <c r="H498" s="1"/>
      <c r="I498" s="1"/>
      <c r="J498" s="1"/>
      <c r="K498" s="1"/>
      <c r="L498" s="1"/>
      <c r="M498" s="1"/>
      <c r="N498" s="1"/>
      <c r="O498" s="1"/>
      <c r="P498" s="1"/>
      <c r="Q498" s="1"/>
      <c r="R498" s="1"/>
      <c r="S498" s="1"/>
      <c r="T498" s="1"/>
      <c r="U498" s="1"/>
      <c r="V498" s="1"/>
      <c r="W498" s="1"/>
      <c r="X498" s="1"/>
      <c r="Y498" s="1"/>
      <c r="Z498" s="1"/>
    </row>
    <row r="499" spans="1:26" ht="14" x14ac:dyDescent="0.15">
      <c r="A499" s="21"/>
      <c r="B499" s="21"/>
      <c r="C499" s="21"/>
      <c r="D499" s="21"/>
      <c r="E499" s="1"/>
      <c r="F499" s="1"/>
      <c r="G499" s="1"/>
      <c r="H499" s="1"/>
      <c r="I499" s="1"/>
      <c r="J499" s="1"/>
      <c r="K499" s="1"/>
      <c r="L499" s="1"/>
      <c r="M499" s="1"/>
      <c r="N499" s="1"/>
      <c r="O499" s="1"/>
      <c r="P499" s="1"/>
      <c r="Q499" s="1"/>
      <c r="R499" s="1"/>
      <c r="S499" s="1"/>
      <c r="T499" s="1"/>
      <c r="U499" s="1"/>
      <c r="V499" s="1"/>
      <c r="W499" s="1"/>
      <c r="X499" s="1"/>
      <c r="Y499" s="1"/>
      <c r="Z499" s="1"/>
    </row>
    <row r="500" spans="1:26" ht="14" x14ac:dyDescent="0.15">
      <c r="A500" s="21"/>
      <c r="B500" s="21"/>
      <c r="C500" s="21"/>
      <c r="D500" s="21"/>
      <c r="E500" s="1"/>
      <c r="F500" s="1"/>
      <c r="G500" s="1"/>
      <c r="H500" s="1"/>
      <c r="I500" s="1"/>
      <c r="J500" s="1"/>
      <c r="K500" s="1"/>
      <c r="L500" s="1"/>
      <c r="M500" s="1"/>
      <c r="N500" s="1"/>
      <c r="O500" s="1"/>
      <c r="P500" s="1"/>
      <c r="Q500" s="1"/>
      <c r="R500" s="1"/>
      <c r="S500" s="1"/>
      <c r="T500" s="1"/>
      <c r="U500" s="1"/>
      <c r="V500" s="1"/>
      <c r="W500" s="1"/>
      <c r="X500" s="1"/>
      <c r="Y500" s="1"/>
      <c r="Z500" s="1"/>
    </row>
    <row r="501" spans="1:26" ht="14" x14ac:dyDescent="0.15">
      <c r="A501" s="21"/>
      <c r="B501" s="21"/>
      <c r="C501" s="21"/>
      <c r="D501" s="21"/>
      <c r="E501" s="1"/>
      <c r="F501" s="1"/>
      <c r="G501" s="1"/>
      <c r="H501" s="1"/>
      <c r="I501" s="1"/>
      <c r="J501" s="1"/>
      <c r="K501" s="1"/>
      <c r="L501" s="1"/>
      <c r="M501" s="1"/>
      <c r="N501" s="1"/>
      <c r="O501" s="1"/>
      <c r="P501" s="1"/>
      <c r="Q501" s="1"/>
      <c r="R501" s="1"/>
      <c r="S501" s="1"/>
      <c r="T501" s="1"/>
      <c r="U501" s="1"/>
      <c r="V501" s="1"/>
      <c r="W501" s="1"/>
      <c r="X501" s="1"/>
      <c r="Y501" s="1"/>
      <c r="Z501" s="1"/>
    </row>
    <row r="502" spans="1:26" ht="14" x14ac:dyDescent="0.15">
      <c r="A502" s="21"/>
      <c r="B502" s="21"/>
      <c r="C502" s="21"/>
      <c r="D502" s="21"/>
      <c r="E502" s="1"/>
      <c r="F502" s="1"/>
      <c r="G502" s="1"/>
      <c r="H502" s="1"/>
      <c r="I502" s="1"/>
      <c r="J502" s="1"/>
      <c r="K502" s="1"/>
      <c r="L502" s="1"/>
      <c r="M502" s="1"/>
      <c r="N502" s="1"/>
      <c r="O502" s="1"/>
      <c r="P502" s="1"/>
      <c r="Q502" s="1"/>
      <c r="R502" s="1"/>
      <c r="S502" s="1"/>
      <c r="T502" s="1"/>
      <c r="U502" s="1"/>
      <c r="V502" s="1"/>
      <c r="W502" s="1"/>
      <c r="X502" s="1"/>
      <c r="Y502" s="1"/>
      <c r="Z502" s="1"/>
    </row>
    <row r="503" spans="1:26" ht="14" x14ac:dyDescent="0.15">
      <c r="A503" s="21"/>
      <c r="B503" s="21"/>
      <c r="C503" s="21"/>
      <c r="D503" s="21"/>
      <c r="E503" s="1"/>
      <c r="F503" s="1"/>
      <c r="G503" s="1"/>
      <c r="H503" s="1"/>
      <c r="I503" s="1"/>
      <c r="J503" s="1"/>
      <c r="K503" s="1"/>
      <c r="L503" s="1"/>
      <c r="M503" s="1"/>
      <c r="N503" s="1"/>
      <c r="O503" s="1"/>
      <c r="P503" s="1"/>
      <c r="Q503" s="1"/>
      <c r="R503" s="1"/>
      <c r="S503" s="1"/>
      <c r="T503" s="1"/>
      <c r="U503" s="1"/>
      <c r="V503" s="1"/>
      <c r="W503" s="1"/>
      <c r="X503" s="1"/>
      <c r="Y503" s="1"/>
      <c r="Z503" s="1"/>
    </row>
    <row r="504" spans="1:26" ht="14" x14ac:dyDescent="0.15">
      <c r="A504" s="21"/>
      <c r="B504" s="21"/>
      <c r="C504" s="21"/>
      <c r="D504" s="21"/>
      <c r="E504" s="1"/>
      <c r="F504" s="1"/>
      <c r="G504" s="1"/>
      <c r="H504" s="1"/>
      <c r="I504" s="1"/>
      <c r="J504" s="1"/>
      <c r="K504" s="1"/>
      <c r="L504" s="1"/>
      <c r="M504" s="1"/>
      <c r="N504" s="1"/>
      <c r="O504" s="1"/>
      <c r="P504" s="1"/>
      <c r="Q504" s="1"/>
      <c r="R504" s="1"/>
      <c r="S504" s="1"/>
      <c r="T504" s="1"/>
      <c r="U504" s="1"/>
      <c r="V504" s="1"/>
      <c r="W504" s="1"/>
      <c r="X504" s="1"/>
      <c r="Y504" s="1"/>
      <c r="Z504" s="1"/>
    </row>
    <row r="505" spans="1:26" ht="14" x14ac:dyDescent="0.15">
      <c r="A505" s="21"/>
      <c r="B505" s="21"/>
      <c r="C505" s="21"/>
      <c r="D505" s="21"/>
      <c r="E505" s="1"/>
      <c r="F505" s="1"/>
      <c r="G505" s="1"/>
      <c r="H505" s="1"/>
      <c r="I505" s="1"/>
      <c r="J505" s="1"/>
      <c r="K505" s="1"/>
      <c r="L505" s="1"/>
      <c r="M505" s="1"/>
      <c r="N505" s="1"/>
      <c r="O505" s="1"/>
      <c r="P505" s="1"/>
      <c r="Q505" s="1"/>
      <c r="R505" s="1"/>
      <c r="S505" s="1"/>
      <c r="T505" s="1"/>
      <c r="U505" s="1"/>
      <c r="V505" s="1"/>
      <c r="W505" s="1"/>
      <c r="X505" s="1"/>
      <c r="Y505" s="1"/>
      <c r="Z505" s="1"/>
    </row>
    <row r="506" spans="1:26" ht="14" x14ac:dyDescent="0.15">
      <c r="A506" s="21"/>
      <c r="B506" s="21"/>
      <c r="C506" s="21"/>
      <c r="D506" s="21"/>
      <c r="E506" s="1"/>
      <c r="F506" s="1"/>
      <c r="G506" s="1"/>
      <c r="H506" s="1"/>
      <c r="I506" s="1"/>
      <c r="J506" s="1"/>
      <c r="K506" s="1"/>
      <c r="L506" s="1"/>
      <c r="M506" s="1"/>
      <c r="N506" s="1"/>
      <c r="O506" s="1"/>
      <c r="P506" s="1"/>
      <c r="Q506" s="1"/>
      <c r="R506" s="1"/>
      <c r="S506" s="1"/>
      <c r="T506" s="1"/>
      <c r="U506" s="1"/>
      <c r="V506" s="1"/>
      <c r="W506" s="1"/>
      <c r="X506" s="1"/>
      <c r="Y506" s="1"/>
      <c r="Z506" s="1"/>
    </row>
    <row r="507" spans="1:26" ht="14" x14ac:dyDescent="0.15">
      <c r="A507" s="21"/>
      <c r="B507" s="21"/>
      <c r="C507" s="21"/>
      <c r="D507" s="21"/>
      <c r="E507" s="1"/>
      <c r="F507" s="1"/>
      <c r="G507" s="1"/>
      <c r="H507" s="1"/>
      <c r="I507" s="1"/>
      <c r="J507" s="1"/>
      <c r="K507" s="1"/>
      <c r="L507" s="1"/>
      <c r="M507" s="1"/>
      <c r="N507" s="1"/>
      <c r="O507" s="1"/>
      <c r="P507" s="1"/>
      <c r="Q507" s="1"/>
      <c r="R507" s="1"/>
      <c r="S507" s="1"/>
      <c r="T507" s="1"/>
      <c r="U507" s="1"/>
      <c r="V507" s="1"/>
      <c r="W507" s="1"/>
      <c r="X507" s="1"/>
      <c r="Y507" s="1"/>
      <c r="Z507" s="1"/>
    </row>
    <row r="508" spans="1:26" ht="14" x14ac:dyDescent="0.15">
      <c r="A508" s="21"/>
      <c r="B508" s="21"/>
      <c r="C508" s="21"/>
      <c r="D508" s="21"/>
      <c r="E508" s="1"/>
      <c r="F508" s="1"/>
      <c r="G508" s="1"/>
      <c r="H508" s="1"/>
      <c r="I508" s="1"/>
      <c r="J508" s="1"/>
      <c r="K508" s="1"/>
      <c r="L508" s="1"/>
      <c r="M508" s="1"/>
      <c r="N508" s="1"/>
      <c r="O508" s="1"/>
      <c r="P508" s="1"/>
      <c r="Q508" s="1"/>
      <c r="R508" s="1"/>
      <c r="S508" s="1"/>
      <c r="T508" s="1"/>
      <c r="U508" s="1"/>
      <c r="V508" s="1"/>
      <c r="W508" s="1"/>
      <c r="X508" s="1"/>
      <c r="Y508" s="1"/>
      <c r="Z508" s="1"/>
    </row>
    <row r="509" spans="1:26" ht="14" x14ac:dyDescent="0.15">
      <c r="A509" s="21"/>
      <c r="B509" s="21"/>
      <c r="C509" s="21"/>
      <c r="D509" s="21"/>
      <c r="E509" s="1"/>
      <c r="F509" s="1"/>
      <c r="G509" s="1"/>
      <c r="H509" s="1"/>
      <c r="I509" s="1"/>
      <c r="J509" s="1"/>
      <c r="K509" s="1"/>
      <c r="L509" s="1"/>
      <c r="M509" s="1"/>
      <c r="N509" s="1"/>
      <c r="O509" s="1"/>
      <c r="P509" s="1"/>
      <c r="Q509" s="1"/>
      <c r="R509" s="1"/>
      <c r="S509" s="1"/>
      <c r="T509" s="1"/>
      <c r="U509" s="1"/>
      <c r="V509" s="1"/>
      <c r="W509" s="1"/>
      <c r="X509" s="1"/>
      <c r="Y509" s="1"/>
      <c r="Z509" s="1"/>
    </row>
    <row r="510" spans="1:26" ht="14" x14ac:dyDescent="0.15">
      <c r="A510" s="21"/>
      <c r="B510" s="21"/>
      <c r="C510" s="21"/>
      <c r="D510" s="21"/>
      <c r="E510" s="1"/>
      <c r="F510" s="1"/>
      <c r="G510" s="1"/>
      <c r="H510" s="1"/>
      <c r="I510" s="1"/>
      <c r="J510" s="1"/>
      <c r="K510" s="1"/>
      <c r="L510" s="1"/>
      <c r="M510" s="1"/>
      <c r="N510" s="1"/>
      <c r="O510" s="1"/>
      <c r="P510" s="1"/>
      <c r="Q510" s="1"/>
      <c r="R510" s="1"/>
      <c r="S510" s="1"/>
      <c r="T510" s="1"/>
      <c r="U510" s="1"/>
      <c r="V510" s="1"/>
      <c r="W510" s="1"/>
      <c r="X510" s="1"/>
      <c r="Y510" s="1"/>
      <c r="Z510" s="1"/>
    </row>
    <row r="511" spans="1:26" ht="14" x14ac:dyDescent="0.15">
      <c r="A511" s="21"/>
      <c r="B511" s="21"/>
      <c r="C511" s="21"/>
      <c r="D511" s="21"/>
      <c r="E511" s="1"/>
      <c r="F511" s="1"/>
      <c r="G511" s="1"/>
      <c r="H511" s="1"/>
      <c r="I511" s="1"/>
      <c r="J511" s="1"/>
      <c r="K511" s="1"/>
      <c r="L511" s="1"/>
      <c r="M511" s="1"/>
      <c r="N511" s="1"/>
      <c r="O511" s="1"/>
      <c r="P511" s="1"/>
      <c r="Q511" s="1"/>
      <c r="R511" s="1"/>
      <c r="S511" s="1"/>
      <c r="T511" s="1"/>
      <c r="U511" s="1"/>
      <c r="V511" s="1"/>
      <c r="W511" s="1"/>
      <c r="X511" s="1"/>
      <c r="Y511" s="1"/>
      <c r="Z511" s="1"/>
    </row>
    <row r="512" spans="1:26" ht="14" x14ac:dyDescent="0.15">
      <c r="A512" s="21"/>
      <c r="B512" s="21"/>
      <c r="C512" s="21"/>
      <c r="D512" s="21"/>
      <c r="E512" s="1"/>
      <c r="F512" s="1"/>
      <c r="G512" s="1"/>
      <c r="H512" s="1"/>
      <c r="I512" s="1"/>
      <c r="J512" s="1"/>
      <c r="K512" s="1"/>
      <c r="L512" s="1"/>
      <c r="M512" s="1"/>
      <c r="N512" s="1"/>
      <c r="O512" s="1"/>
      <c r="P512" s="1"/>
      <c r="Q512" s="1"/>
      <c r="R512" s="1"/>
      <c r="S512" s="1"/>
      <c r="T512" s="1"/>
      <c r="U512" s="1"/>
      <c r="V512" s="1"/>
      <c r="W512" s="1"/>
      <c r="X512" s="1"/>
      <c r="Y512" s="1"/>
      <c r="Z512" s="1"/>
    </row>
    <row r="513" spans="1:26" ht="14" x14ac:dyDescent="0.15">
      <c r="A513" s="21"/>
      <c r="B513" s="21"/>
      <c r="C513" s="21"/>
      <c r="D513" s="21"/>
      <c r="E513" s="1"/>
      <c r="F513" s="1"/>
      <c r="G513" s="1"/>
      <c r="H513" s="1"/>
      <c r="I513" s="1"/>
      <c r="J513" s="1"/>
      <c r="K513" s="1"/>
      <c r="L513" s="1"/>
      <c r="M513" s="1"/>
      <c r="N513" s="1"/>
      <c r="O513" s="1"/>
      <c r="P513" s="1"/>
      <c r="Q513" s="1"/>
      <c r="R513" s="1"/>
      <c r="S513" s="1"/>
      <c r="T513" s="1"/>
      <c r="U513" s="1"/>
      <c r="V513" s="1"/>
      <c r="W513" s="1"/>
      <c r="X513" s="1"/>
      <c r="Y513" s="1"/>
      <c r="Z513" s="1"/>
    </row>
    <row r="514" spans="1:26" ht="14" x14ac:dyDescent="0.15">
      <c r="A514" s="21"/>
      <c r="B514" s="21"/>
      <c r="C514" s="21"/>
      <c r="D514" s="21"/>
      <c r="E514" s="1"/>
      <c r="F514" s="1"/>
      <c r="G514" s="1"/>
      <c r="H514" s="1"/>
      <c r="I514" s="1"/>
      <c r="J514" s="1"/>
      <c r="K514" s="1"/>
      <c r="L514" s="1"/>
      <c r="M514" s="1"/>
      <c r="N514" s="1"/>
      <c r="O514" s="1"/>
      <c r="P514" s="1"/>
      <c r="Q514" s="1"/>
      <c r="R514" s="1"/>
      <c r="S514" s="1"/>
      <c r="T514" s="1"/>
      <c r="U514" s="1"/>
      <c r="V514" s="1"/>
      <c r="W514" s="1"/>
      <c r="X514" s="1"/>
      <c r="Y514" s="1"/>
      <c r="Z514" s="1"/>
    </row>
    <row r="515" spans="1:26" ht="14" x14ac:dyDescent="0.15">
      <c r="A515" s="21"/>
      <c r="B515" s="21"/>
      <c r="C515" s="21"/>
      <c r="D515" s="21"/>
      <c r="E515" s="1"/>
      <c r="F515" s="1"/>
      <c r="G515" s="1"/>
      <c r="H515" s="1"/>
      <c r="I515" s="1"/>
      <c r="J515" s="1"/>
      <c r="K515" s="1"/>
      <c r="L515" s="1"/>
      <c r="M515" s="1"/>
      <c r="N515" s="1"/>
      <c r="O515" s="1"/>
      <c r="P515" s="1"/>
      <c r="Q515" s="1"/>
      <c r="R515" s="1"/>
      <c r="S515" s="1"/>
      <c r="T515" s="1"/>
      <c r="U515" s="1"/>
      <c r="V515" s="1"/>
      <c r="W515" s="1"/>
      <c r="X515" s="1"/>
      <c r="Y515" s="1"/>
      <c r="Z515" s="1"/>
    </row>
    <row r="516" spans="1:26" ht="14" x14ac:dyDescent="0.15">
      <c r="A516" s="21"/>
      <c r="B516" s="21"/>
      <c r="C516" s="21"/>
      <c r="D516" s="21"/>
      <c r="E516" s="1"/>
      <c r="F516" s="1"/>
      <c r="G516" s="1"/>
      <c r="H516" s="1"/>
      <c r="I516" s="1"/>
      <c r="J516" s="1"/>
      <c r="K516" s="1"/>
      <c r="L516" s="1"/>
      <c r="M516" s="1"/>
      <c r="N516" s="1"/>
      <c r="O516" s="1"/>
      <c r="P516" s="1"/>
      <c r="Q516" s="1"/>
      <c r="R516" s="1"/>
      <c r="S516" s="1"/>
      <c r="T516" s="1"/>
      <c r="U516" s="1"/>
      <c r="V516" s="1"/>
      <c r="W516" s="1"/>
      <c r="X516" s="1"/>
      <c r="Y516" s="1"/>
      <c r="Z516" s="1"/>
    </row>
    <row r="517" spans="1:26" ht="14" x14ac:dyDescent="0.15">
      <c r="A517" s="21"/>
      <c r="B517" s="21"/>
      <c r="C517" s="21"/>
      <c r="D517" s="21"/>
      <c r="E517" s="1"/>
      <c r="F517" s="1"/>
      <c r="G517" s="1"/>
      <c r="H517" s="1"/>
      <c r="I517" s="1"/>
      <c r="J517" s="1"/>
      <c r="K517" s="1"/>
      <c r="L517" s="1"/>
      <c r="M517" s="1"/>
      <c r="N517" s="1"/>
      <c r="O517" s="1"/>
      <c r="P517" s="1"/>
      <c r="Q517" s="1"/>
      <c r="R517" s="1"/>
      <c r="S517" s="1"/>
      <c r="T517" s="1"/>
      <c r="U517" s="1"/>
      <c r="V517" s="1"/>
      <c r="W517" s="1"/>
      <c r="X517" s="1"/>
      <c r="Y517" s="1"/>
      <c r="Z517" s="1"/>
    </row>
    <row r="518" spans="1:26" ht="14" x14ac:dyDescent="0.15">
      <c r="A518" s="21"/>
      <c r="B518" s="21"/>
      <c r="C518" s="21"/>
      <c r="D518" s="21"/>
      <c r="E518" s="1"/>
      <c r="F518" s="1"/>
      <c r="G518" s="1"/>
      <c r="H518" s="1"/>
      <c r="I518" s="1"/>
      <c r="J518" s="1"/>
      <c r="K518" s="1"/>
      <c r="L518" s="1"/>
      <c r="M518" s="1"/>
      <c r="N518" s="1"/>
      <c r="O518" s="1"/>
      <c r="P518" s="1"/>
      <c r="Q518" s="1"/>
      <c r="R518" s="1"/>
      <c r="S518" s="1"/>
      <c r="T518" s="1"/>
      <c r="U518" s="1"/>
      <c r="V518" s="1"/>
      <c r="W518" s="1"/>
      <c r="X518" s="1"/>
      <c r="Y518" s="1"/>
      <c r="Z518" s="1"/>
    </row>
    <row r="519" spans="1:26" ht="14" x14ac:dyDescent="0.15">
      <c r="A519" s="21"/>
      <c r="B519" s="21"/>
      <c r="C519" s="21"/>
      <c r="D519" s="21"/>
      <c r="E519" s="1"/>
      <c r="F519" s="1"/>
      <c r="G519" s="1"/>
      <c r="H519" s="1"/>
      <c r="I519" s="1"/>
      <c r="J519" s="1"/>
      <c r="K519" s="1"/>
      <c r="L519" s="1"/>
      <c r="M519" s="1"/>
      <c r="N519" s="1"/>
      <c r="O519" s="1"/>
      <c r="P519" s="1"/>
      <c r="Q519" s="1"/>
      <c r="R519" s="1"/>
      <c r="S519" s="1"/>
      <c r="T519" s="1"/>
      <c r="U519" s="1"/>
      <c r="V519" s="1"/>
      <c r="W519" s="1"/>
      <c r="X519" s="1"/>
      <c r="Y519" s="1"/>
      <c r="Z519" s="1"/>
    </row>
    <row r="520" spans="1:26" ht="14" x14ac:dyDescent="0.15">
      <c r="A520" s="21"/>
      <c r="B520" s="21"/>
      <c r="C520" s="21"/>
      <c r="D520" s="21"/>
      <c r="E520" s="1"/>
      <c r="F520" s="1"/>
      <c r="G520" s="1"/>
      <c r="H520" s="1"/>
      <c r="I520" s="1"/>
      <c r="J520" s="1"/>
      <c r="K520" s="1"/>
      <c r="L520" s="1"/>
      <c r="M520" s="1"/>
      <c r="N520" s="1"/>
      <c r="O520" s="1"/>
      <c r="P520" s="1"/>
      <c r="Q520" s="1"/>
      <c r="R520" s="1"/>
      <c r="S520" s="1"/>
      <c r="T520" s="1"/>
      <c r="U520" s="1"/>
      <c r="V520" s="1"/>
      <c r="W520" s="1"/>
      <c r="X520" s="1"/>
      <c r="Y520" s="1"/>
      <c r="Z520" s="1"/>
    </row>
    <row r="521" spans="1:26" ht="14" x14ac:dyDescent="0.15">
      <c r="A521" s="21"/>
      <c r="B521" s="21"/>
      <c r="C521" s="21"/>
      <c r="D521" s="21"/>
      <c r="E521" s="1"/>
      <c r="F521" s="1"/>
      <c r="G521" s="1"/>
      <c r="H521" s="1"/>
      <c r="I521" s="1"/>
      <c r="J521" s="1"/>
      <c r="K521" s="1"/>
      <c r="L521" s="1"/>
      <c r="M521" s="1"/>
      <c r="N521" s="1"/>
      <c r="O521" s="1"/>
      <c r="P521" s="1"/>
      <c r="Q521" s="1"/>
      <c r="R521" s="1"/>
      <c r="S521" s="1"/>
      <c r="T521" s="1"/>
      <c r="U521" s="1"/>
      <c r="V521" s="1"/>
      <c r="W521" s="1"/>
      <c r="X521" s="1"/>
      <c r="Y521" s="1"/>
      <c r="Z521" s="1"/>
    </row>
    <row r="522" spans="1:26" ht="14" x14ac:dyDescent="0.15">
      <c r="A522" s="21"/>
      <c r="B522" s="21"/>
      <c r="C522" s="21"/>
      <c r="D522" s="21"/>
      <c r="E522" s="1"/>
      <c r="F522" s="1"/>
      <c r="G522" s="1"/>
      <c r="H522" s="1"/>
      <c r="I522" s="1"/>
      <c r="J522" s="1"/>
      <c r="K522" s="1"/>
      <c r="L522" s="1"/>
      <c r="M522" s="1"/>
      <c r="N522" s="1"/>
      <c r="O522" s="1"/>
      <c r="P522" s="1"/>
      <c r="Q522" s="1"/>
      <c r="R522" s="1"/>
      <c r="S522" s="1"/>
      <c r="T522" s="1"/>
      <c r="U522" s="1"/>
      <c r="V522" s="1"/>
      <c r="W522" s="1"/>
      <c r="X522" s="1"/>
      <c r="Y522" s="1"/>
      <c r="Z522" s="1"/>
    </row>
    <row r="523" spans="1:26" ht="14" x14ac:dyDescent="0.15">
      <c r="A523" s="21"/>
      <c r="B523" s="21"/>
      <c r="C523" s="21"/>
      <c r="D523" s="21"/>
      <c r="E523" s="1"/>
      <c r="F523" s="1"/>
      <c r="G523" s="1"/>
      <c r="H523" s="1"/>
      <c r="I523" s="1"/>
      <c r="J523" s="1"/>
      <c r="K523" s="1"/>
      <c r="L523" s="1"/>
      <c r="M523" s="1"/>
      <c r="N523" s="1"/>
      <c r="O523" s="1"/>
      <c r="P523" s="1"/>
      <c r="Q523" s="1"/>
      <c r="R523" s="1"/>
      <c r="S523" s="1"/>
      <c r="T523" s="1"/>
      <c r="U523" s="1"/>
      <c r="V523" s="1"/>
      <c r="W523" s="1"/>
      <c r="X523" s="1"/>
      <c r="Y523" s="1"/>
      <c r="Z523" s="1"/>
    </row>
    <row r="524" spans="1:26" ht="14" x14ac:dyDescent="0.15">
      <c r="A524" s="21"/>
      <c r="B524" s="21"/>
      <c r="C524" s="21"/>
      <c r="D524" s="21"/>
      <c r="E524" s="1"/>
      <c r="F524" s="1"/>
      <c r="G524" s="1"/>
      <c r="H524" s="1"/>
      <c r="I524" s="1"/>
      <c r="J524" s="1"/>
      <c r="K524" s="1"/>
      <c r="L524" s="1"/>
      <c r="M524" s="1"/>
      <c r="N524" s="1"/>
      <c r="O524" s="1"/>
      <c r="P524" s="1"/>
      <c r="Q524" s="1"/>
      <c r="R524" s="1"/>
      <c r="S524" s="1"/>
      <c r="T524" s="1"/>
      <c r="U524" s="1"/>
      <c r="V524" s="1"/>
      <c r="W524" s="1"/>
      <c r="X524" s="1"/>
      <c r="Y524" s="1"/>
      <c r="Z524" s="1"/>
    </row>
    <row r="525" spans="1:26" ht="14" x14ac:dyDescent="0.15">
      <c r="A525" s="21"/>
      <c r="B525" s="21"/>
      <c r="C525" s="21"/>
      <c r="D525" s="21"/>
      <c r="E525" s="1"/>
      <c r="F525" s="1"/>
      <c r="G525" s="1"/>
      <c r="H525" s="1"/>
      <c r="I525" s="1"/>
      <c r="J525" s="1"/>
      <c r="K525" s="1"/>
      <c r="L525" s="1"/>
      <c r="M525" s="1"/>
      <c r="N525" s="1"/>
      <c r="O525" s="1"/>
      <c r="P525" s="1"/>
      <c r="Q525" s="1"/>
      <c r="R525" s="1"/>
      <c r="S525" s="1"/>
      <c r="T525" s="1"/>
      <c r="U525" s="1"/>
      <c r="V525" s="1"/>
      <c r="W525" s="1"/>
      <c r="X525" s="1"/>
      <c r="Y525" s="1"/>
      <c r="Z525" s="1"/>
    </row>
    <row r="526" spans="1:26" ht="14" x14ac:dyDescent="0.15">
      <c r="A526" s="21"/>
      <c r="B526" s="21"/>
      <c r="C526" s="21"/>
      <c r="D526" s="21"/>
      <c r="E526" s="1"/>
      <c r="F526" s="1"/>
      <c r="G526" s="1"/>
      <c r="H526" s="1"/>
      <c r="I526" s="1"/>
      <c r="J526" s="1"/>
      <c r="K526" s="1"/>
      <c r="L526" s="1"/>
      <c r="M526" s="1"/>
      <c r="N526" s="1"/>
      <c r="O526" s="1"/>
      <c r="P526" s="1"/>
      <c r="Q526" s="1"/>
      <c r="R526" s="1"/>
      <c r="S526" s="1"/>
      <c r="T526" s="1"/>
      <c r="U526" s="1"/>
      <c r="V526" s="1"/>
      <c r="W526" s="1"/>
      <c r="X526" s="1"/>
      <c r="Y526" s="1"/>
      <c r="Z526" s="1"/>
    </row>
    <row r="527" spans="1:26" ht="14" x14ac:dyDescent="0.15">
      <c r="A527" s="21"/>
      <c r="B527" s="21"/>
      <c r="C527" s="21"/>
      <c r="D527" s="21"/>
      <c r="E527" s="1"/>
      <c r="F527" s="1"/>
      <c r="G527" s="1"/>
      <c r="H527" s="1"/>
      <c r="I527" s="1"/>
      <c r="J527" s="1"/>
      <c r="K527" s="1"/>
      <c r="L527" s="1"/>
      <c r="M527" s="1"/>
      <c r="N527" s="1"/>
      <c r="O527" s="1"/>
      <c r="P527" s="1"/>
      <c r="Q527" s="1"/>
      <c r="R527" s="1"/>
      <c r="S527" s="1"/>
      <c r="T527" s="1"/>
      <c r="U527" s="1"/>
      <c r="V527" s="1"/>
      <c r="W527" s="1"/>
      <c r="X527" s="1"/>
      <c r="Y527" s="1"/>
      <c r="Z527" s="1"/>
    </row>
    <row r="528" spans="1:26" ht="14" x14ac:dyDescent="0.15">
      <c r="A528" s="21"/>
      <c r="B528" s="21"/>
      <c r="C528" s="21"/>
      <c r="D528" s="21"/>
      <c r="E528" s="1"/>
      <c r="F528" s="1"/>
      <c r="G528" s="1"/>
      <c r="H528" s="1"/>
      <c r="I528" s="1"/>
      <c r="J528" s="1"/>
      <c r="K528" s="1"/>
      <c r="L528" s="1"/>
      <c r="M528" s="1"/>
      <c r="N528" s="1"/>
      <c r="O528" s="1"/>
      <c r="P528" s="1"/>
      <c r="Q528" s="1"/>
      <c r="R528" s="1"/>
      <c r="S528" s="1"/>
      <c r="T528" s="1"/>
      <c r="U528" s="1"/>
      <c r="V528" s="1"/>
      <c r="W528" s="1"/>
      <c r="X528" s="1"/>
      <c r="Y528" s="1"/>
      <c r="Z528" s="1"/>
    </row>
    <row r="529" spans="1:26" ht="14" x14ac:dyDescent="0.15">
      <c r="A529" s="21"/>
      <c r="B529" s="21"/>
      <c r="C529" s="21"/>
      <c r="D529" s="21"/>
      <c r="E529" s="1"/>
      <c r="F529" s="1"/>
      <c r="G529" s="1"/>
      <c r="H529" s="1"/>
      <c r="I529" s="1"/>
      <c r="J529" s="1"/>
      <c r="K529" s="1"/>
      <c r="L529" s="1"/>
      <c r="M529" s="1"/>
      <c r="N529" s="1"/>
      <c r="O529" s="1"/>
      <c r="P529" s="1"/>
      <c r="Q529" s="1"/>
      <c r="R529" s="1"/>
      <c r="S529" s="1"/>
      <c r="T529" s="1"/>
      <c r="U529" s="1"/>
      <c r="V529" s="1"/>
      <c r="W529" s="1"/>
      <c r="X529" s="1"/>
      <c r="Y529" s="1"/>
      <c r="Z529" s="1"/>
    </row>
    <row r="530" spans="1:26" ht="14" x14ac:dyDescent="0.15">
      <c r="A530" s="21"/>
      <c r="B530" s="21"/>
      <c r="C530" s="21"/>
      <c r="D530" s="21"/>
      <c r="E530" s="1"/>
      <c r="F530" s="1"/>
      <c r="G530" s="1"/>
      <c r="H530" s="1"/>
      <c r="I530" s="1"/>
      <c r="J530" s="1"/>
      <c r="K530" s="1"/>
      <c r="L530" s="1"/>
      <c r="M530" s="1"/>
      <c r="N530" s="1"/>
      <c r="O530" s="1"/>
      <c r="P530" s="1"/>
      <c r="Q530" s="1"/>
      <c r="R530" s="1"/>
      <c r="S530" s="1"/>
      <c r="T530" s="1"/>
      <c r="U530" s="1"/>
      <c r="V530" s="1"/>
      <c r="W530" s="1"/>
      <c r="X530" s="1"/>
      <c r="Y530" s="1"/>
      <c r="Z530" s="1"/>
    </row>
    <row r="531" spans="1:26" ht="14" x14ac:dyDescent="0.15">
      <c r="A531" s="21"/>
      <c r="B531" s="21"/>
      <c r="C531" s="21"/>
      <c r="D531" s="21"/>
      <c r="E531" s="1"/>
      <c r="F531" s="1"/>
      <c r="G531" s="1"/>
      <c r="H531" s="1"/>
      <c r="I531" s="1"/>
      <c r="J531" s="1"/>
      <c r="K531" s="1"/>
      <c r="L531" s="1"/>
      <c r="M531" s="1"/>
      <c r="N531" s="1"/>
      <c r="O531" s="1"/>
      <c r="P531" s="1"/>
      <c r="Q531" s="1"/>
      <c r="R531" s="1"/>
      <c r="S531" s="1"/>
      <c r="T531" s="1"/>
      <c r="U531" s="1"/>
      <c r="V531" s="1"/>
      <c r="W531" s="1"/>
      <c r="X531" s="1"/>
      <c r="Y531" s="1"/>
      <c r="Z531" s="1"/>
    </row>
    <row r="532" spans="1:26" ht="14" x14ac:dyDescent="0.15">
      <c r="A532" s="21"/>
      <c r="B532" s="21"/>
      <c r="C532" s="21"/>
      <c r="D532" s="21"/>
      <c r="E532" s="1"/>
      <c r="F532" s="1"/>
      <c r="G532" s="1"/>
      <c r="H532" s="1"/>
      <c r="I532" s="1"/>
      <c r="J532" s="1"/>
      <c r="K532" s="1"/>
      <c r="L532" s="1"/>
      <c r="M532" s="1"/>
      <c r="N532" s="1"/>
      <c r="O532" s="1"/>
      <c r="P532" s="1"/>
      <c r="Q532" s="1"/>
      <c r="R532" s="1"/>
      <c r="S532" s="1"/>
      <c r="T532" s="1"/>
      <c r="U532" s="1"/>
      <c r="V532" s="1"/>
      <c r="W532" s="1"/>
      <c r="X532" s="1"/>
      <c r="Y532" s="1"/>
      <c r="Z532" s="1"/>
    </row>
    <row r="533" spans="1:26" ht="14" x14ac:dyDescent="0.15">
      <c r="A533" s="21"/>
      <c r="B533" s="21"/>
      <c r="C533" s="21"/>
      <c r="D533" s="21"/>
      <c r="E533" s="1"/>
      <c r="F533" s="1"/>
      <c r="G533" s="1"/>
      <c r="H533" s="1"/>
      <c r="I533" s="1"/>
      <c r="J533" s="1"/>
      <c r="K533" s="1"/>
      <c r="L533" s="1"/>
      <c r="M533" s="1"/>
      <c r="N533" s="1"/>
      <c r="O533" s="1"/>
      <c r="P533" s="1"/>
      <c r="Q533" s="1"/>
      <c r="R533" s="1"/>
      <c r="S533" s="1"/>
      <c r="T533" s="1"/>
      <c r="U533" s="1"/>
      <c r="V533" s="1"/>
      <c r="W533" s="1"/>
      <c r="X533" s="1"/>
      <c r="Y533" s="1"/>
      <c r="Z533" s="1"/>
    </row>
    <row r="534" spans="1:26" ht="14" x14ac:dyDescent="0.15">
      <c r="A534" s="21"/>
      <c r="B534" s="21"/>
      <c r="C534" s="21"/>
      <c r="D534" s="21"/>
      <c r="E534" s="1"/>
      <c r="F534" s="1"/>
      <c r="G534" s="1"/>
      <c r="H534" s="1"/>
      <c r="I534" s="1"/>
      <c r="J534" s="1"/>
      <c r="K534" s="1"/>
      <c r="L534" s="1"/>
      <c r="M534" s="1"/>
      <c r="N534" s="1"/>
      <c r="O534" s="1"/>
      <c r="P534" s="1"/>
      <c r="Q534" s="1"/>
      <c r="R534" s="1"/>
      <c r="S534" s="1"/>
      <c r="T534" s="1"/>
      <c r="U534" s="1"/>
      <c r="V534" s="1"/>
      <c r="W534" s="1"/>
      <c r="X534" s="1"/>
      <c r="Y534" s="1"/>
      <c r="Z534" s="1"/>
    </row>
    <row r="535" spans="1:26" ht="14" x14ac:dyDescent="0.15">
      <c r="A535" s="21"/>
      <c r="B535" s="21"/>
      <c r="C535" s="21"/>
      <c r="D535" s="21"/>
      <c r="E535" s="1"/>
      <c r="F535" s="1"/>
      <c r="G535" s="1"/>
      <c r="H535" s="1"/>
      <c r="I535" s="1"/>
      <c r="J535" s="1"/>
      <c r="K535" s="1"/>
      <c r="L535" s="1"/>
      <c r="M535" s="1"/>
      <c r="N535" s="1"/>
      <c r="O535" s="1"/>
      <c r="P535" s="1"/>
      <c r="Q535" s="1"/>
      <c r="R535" s="1"/>
      <c r="S535" s="1"/>
      <c r="T535" s="1"/>
      <c r="U535" s="1"/>
      <c r="V535" s="1"/>
      <c r="W535" s="1"/>
      <c r="X535" s="1"/>
      <c r="Y535" s="1"/>
      <c r="Z535" s="1"/>
    </row>
    <row r="536" spans="1:26" ht="14" x14ac:dyDescent="0.15">
      <c r="A536" s="21"/>
      <c r="B536" s="21"/>
      <c r="C536" s="21"/>
      <c r="D536" s="21"/>
      <c r="E536" s="1"/>
      <c r="F536" s="1"/>
      <c r="G536" s="1"/>
      <c r="H536" s="1"/>
      <c r="I536" s="1"/>
      <c r="J536" s="1"/>
      <c r="K536" s="1"/>
      <c r="L536" s="1"/>
      <c r="M536" s="1"/>
      <c r="N536" s="1"/>
      <c r="O536" s="1"/>
      <c r="P536" s="1"/>
      <c r="Q536" s="1"/>
      <c r="R536" s="1"/>
      <c r="S536" s="1"/>
      <c r="T536" s="1"/>
      <c r="U536" s="1"/>
      <c r="V536" s="1"/>
      <c r="W536" s="1"/>
      <c r="X536" s="1"/>
      <c r="Y536" s="1"/>
      <c r="Z536" s="1"/>
    </row>
    <row r="537" spans="1:26" ht="14" x14ac:dyDescent="0.15">
      <c r="A537" s="21"/>
      <c r="B537" s="21"/>
      <c r="C537" s="21"/>
      <c r="D537" s="21"/>
      <c r="E537" s="1"/>
      <c r="F537" s="1"/>
      <c r="G537" s="1"/>
      <c r="H537" s="1"/>
      <c r="I537" s="1"/>
      <c r="J537" s="1"/>
      <c r="K537" s="1"/>
      <c r="L537" s="1"/>
      <c r="M537" s="1"/>
      <c r="N537" s="1"/>
      <c r="O537" s="1"/>
      <c r="P537" s="1"/>
      <c r="Q537" s="1"/>
      <c r="R537" s="1"/>
      <c r="S537" s="1"/>
      <c r="T537" s="1"/>
      <c r="U537" s="1"/>
      <c r="V537" s="1"/>
      <c r="W537" s="1"/>
      <c r="X537" s="1"/>
      <c r="Y537" s="1"/>
      <c r="Z537" s="1"/>
    </row>
    <row r="538" spans="1:26" ht="14" x14ac:dyDescent="0.15">
      <c r="A538" s="21"/>
      <c r="B538" s="21"/>
      <c r="C538" s="21"/>
      <c r="D538" s="21"/>
      <c r="E538" s="1"/>
      <c r="F538" s="1"/>
      <c r="G538" s="1"/>
      <c r="H538" s="1"/>
      <c r="I538" s="1"/>
      <c r="J538" s="1"/>
      <c r="K538" s="1"/>
      <c r="L538" s="1"/>
      <c r="M538" s="1"/>
      <c r="N538" s="1"/>
      <c r="O538" s="1"/>
      <c r="P538" s="1"/>
      <c r="Q538" s="1"/>
      <c r="R538" s="1"/>
      <c r="S538" s="1"/>
      <c r="T538" s="1"/>
      <c r="U538" s="1"/>
      <c r="V538" s="1"/>
      <c r="W538" s="1"/>
      <c r="X538" s="1"/>
      <c r="Y538" s="1"/>
      <c r="Z538" s="1"/>
    </row>
    <row r="539" spans="1:26" ht="14" x14ac:dyDescent="0.15">
      <c r="A539" s="21"/>
      <c r="B539" s="21"/>
      <c r="C539" s="21"/>
      <c r="D539" s="21"/>
      <c r="E539" s="1"/>
      <c r="F539" s="1"/>
      <c r="G539" s="1"/>
      <c r="H539" s="1"/>
      <c r="I539" s="1"/>
      <c r="J539" s="1"/>
      <c r="K539" s="1"/>
      <c r="L539" s="1"/>
      <c r="M539" s="1"/>
      <c r="N539" s="1"/>
      <c r="O539" s="1"/>
      <c r="P539" s="1"/>
      <c r="Q539" s="1"/>
      <c r="R539" s="1"/>
      <c r="S539" s="1"/>
      <c r="T539" s="1"/>
      <c r="U539" s="1"/>
      <c r="V539" s="1"/>
      <c r="W539" s="1"/>
      <c r="X539" s="1"/>
      <c r="Y539" s="1"/>
      <c r="Z539" s="1"/>
    </row>
    <row r="540" spans="1:26" ht="14" x14ac:dyDescent="0.15">
      <c r="A540" s="21"/>
      <c r="B540" s="21"/>
      <c r="C540" s="21"/>
      <c r="D540" s="21"/>
      <c r="E540" s="1"/>
      <c r="F540" s="1"/>
      <c r="G540" s="1"/>
      <c r="H540" s="1"/>
      <c r="I540" s="1"/>
      <c r="J540" s="1"/>
      <c r="K540" s="1"/>
      <c r="L540" s="1"/>
      <c r="M540" s="1"/>
      <c r="N540" s="1"/>
      <c r="O540" s="1"/>
      <c r="P540" s="1"/>
      <c r="Q540" s="1"/>
      <c r="R540" s="1"/>
      <c r="S540" s="1"/>
      <c r="T540" s="1"/>
      <c r="U540" s="1"/>
      <c r="V540" s="1"/>
      <c r="W540" s="1"/>
      <c r="X540" s="1"/>
      <c r="Y540" s="1"/>
      <c r="Z540" s="1"/>
    </row>
    <row r="541" spans="1:26" ht="14" x14ac:dyDescent="0.15">
      <c r="A541" s="21"/>
      <c r="B541" s="21"/>
      <c r="C541" s="21"/>
      <c r="D541" s="21"/>
      <c r="E541" s="1"/>
      <c r="F541" s="1"/>
      <c r="G541" s="1"/>
      <c r="H541" s="1"/>
      <c r="I541" s="1"/>
      <c r="J541" s="1"/>
      <c r="K541" s="1"/>
      <c r="L541" s="1"/>
      <c r="M541" s="1"/>
      <c r="N541" s="1"/>
      <c r="O541" s="1"/>
      <c r="P541" s="1"/>
      <c r="Q541" s="1"/>
      <c r="R541" s="1"/>
      <c r="S541" s="1"/>
      <c r="T541" s="1"/>
      <c r="U541" s="1"/>
      <c r="V541" s="1"/>
      <c r="W541" s="1"/>
      <c r="X541" s="1"/>
      <c r="Y541" s="1"/>
      <c r="Z541" s="1"/>
    </row>
    <row r="542" spans="1:26" ht="14" x14ac:dyDescent="0.15">
      <c r="A542" s="21"/>
      <c r="B542" s="21"/>
      <c r="C542" s="21"/>
      <c r="D542" s="21"/>
      <c r="E542" s="1"/>
      <c r="F542" s="1"/>
      <c r="G542" s="1"/>
      <c r="H542" s="1"/>
      <c r="I542" s="1"/>
      <c r="J542" s="1"/>
      <c r="K542" s="1"/>
      <c r="L542" s="1"/>
      <c r="M542" s="1"/>
      <c r="N542" s="1"/>
      <c r="O542" s="1"/>
      <c r="P542" s="1"/>
      <c r="Q542" s="1"/>
      <c r="R542" s="1"/>
      <c r="S542" s="1"/>
      <c r="T542" s="1"/>
      <c r="U542" s="1"/>
      <c r="V542" s="1"/>
      <c r="W542" s="1"/>
      <c r="X542" s="1"/>
      <c r="Y542" s="1"/>
      <c r="Z542" s="1"/>
    </row>
    <row r="543" spans="1:26" ht="14" x14ac:dyDescent="0.15">
      <c r="A543" s="21"/>
      <c r="B543" s="21"/>
      <c r="C543" s="21"/>
      <c r="D543" s="21"/>
      <c r="E543" s="1"/>
      <c r="F543" s="1"/>
      <c r="G543" s="1"/>
      <c r="H543" s="1"/>
      <c r="I543" s="1"/>
      <c r="J543" s="1"/>
      <c r="K543" s="1"/>
      <c r="L543" s="1"/>
      <c r="M543" s="1"/>
      <c r="N543" s="1"/>
      <c r="O543" s="1"/>
      <c r="P543" s="1"/>
      <c r="Q543" s="1"/>
      <c r="R543" s="1"/>
      <c r="S543" s="1"/>
      <c r="T543" s="1"/>
      <c r="U543" s="1"/>
      <c r="V543" s="1"/>
      <c r="W543" s="1"/>
      <c r="X543" s="1"/>
      <c r="Y543" s="1"/>
      <c r="Z543" s="1"/>
    </row>
    <row r="544" spans="1:26" ht="14" x14ac:dyDescent="0.15">
      <c r="A544" s="21"/>
      <c r="B544" s="21"/>
      <c r="C544" s="21"/>
      <c r="D544" s="21"/>
      <c r="E544" s="1"/>
      <c r="F544" s="1"/>
      <c r="G544" s="1"/>
      <c r="H544" s="1"/>
      <c r="I544" s="1"/>
      <c r="J544" s="1"/>
      <c r="K544" s="1"/>
      <c r="L544" s="1"/>
      <c r="M544" s="1"/>
      <c r="N544" s="1"/>
      <c r="O544" s="1"/>
      <c r="P544" s="1"/>
      <c r="Q544" s="1"/>
      <c r="R544" s="1"/>
      <c r="S544" s="1"/>
      <c r="T544" s="1"/>
      <c r="U544" s="1"/>
      <c r="V544" s="1"/>
      <c r="W544" s="1"/>
      <c r="X544" s="1"/>
      <c r="Y544" s="1"/>
      <c r="Z544" s="1"/>
    </row>
    <row r="545" spans="1:26" ht="14" x14ac:dyDescent="0.15">
      <c r="A545" s="21"/>
      <c r="B545" s="21"/>
      <c r="C545" s="21"/>
      <c r="D545" s="21"/>
      <c r="E545" s="1"/>
      <c r="F545" s="1"/>
      <c r="G545" s="1"/>
      <c r="H545" s="1"/>
      <c r="I545" s="1"/>
      <c r="J545" s="1"/>
      <c r="K545" s="1"/>
      <c r="L545" s="1"/>
      <c r="M545" s="1"/>
      <c r="N545" s="1"/>
      <c r="O545" s="1"/>
      <c r="P545" s="1"/>
      <c r="Q545" s="1"/>
      <c r="R545" s="1"/>
      <c r="S545" s="1"/>
      <c r="T545" s="1"/>
      <c r="U545" s="1"/>
      <c r="V545" s="1"/>
      <c r="W545" s="1"/>
      <c r="X545" s="1"/>
      <c r="Y545" s="1"/>
      <c r="Z545" s="1"/>
    </row>
    <row r="546" spans="1:26" ht="14" x14ac:dyDescent="0.15">
      <c r="A546" s="21"/>
      <c r="B546" s="21"/>
      <c r="C546" s="21"/>
      <c r="D546" s="21"/>
      <c r="E546" s="1"/>
      <c r="F546" s="1"/>
      <c r="G546" s="1"/>
      <c r="H546" s="1"/>
      <c r="I546" s="1"/>
      <c r="J546" s="1"/>
      <c r="K546" s="1"/>
      <c r="L546" s="1"/>
      <c r="M546" s="1"/>
      <c r="N546" s="1"/>
      <c r="O546" s="1"/>
      <c r="P546" s="1"/>
      <c r="Q546" s="1"/>
      <c r="R546" s="1"/>
      <c r="S546" s="1"/>
      <c r="T546" s="1"/>
      <c r="U546" s="1"/>
      <c r="V546" s="1"/>
      <c r="W546" s="1"/>
      <c r="X546" s="1"/>
      <c r="Y546" s="1"/>
      <c r="Z546" s="1"/>
    </row>
    <row r="547" spans="1:26" ht="14" x14ac:dyDescent="0.15">
      <c r="A547" s="21"/>
      <c r="B547" s="21"/>
      <c r="C547" s="21"/>
      <c r="D547" s="21"/>
      <c r="E547" s="1"/>
      <c r="F547" s="1"/>
      <c r="G547" s="1"/>
      <c r="H547" s="1"/>
      <c r="I547" s="1"/>
      <c r="J547" s="1"/>
      <c r="K547" s="1"/>
      <c r="L547" s="1"/>
      <c r="M547" s="1"/>
      <c r="N547" s="1"/>
      <c r="O547" s="1"/>
      <c r="P547" s="1"/>
      <c r="Q547" s="1"/>
      <c r="R547" s="1"/>
      <c r="S547" s="1"/>
      <c r="T547" s="1"/>
      <c r="U547" s="1"/>
      <c r="V547" s="1"/>
      <c r="W547" s="1"/>
      <c r="X547" s="1"/>
      <c r="Y547" s="1"/>
      <c r="Z547" s="1"/>
    </row>
    <row r="548" spans="1:26" ht="14" x14ac:dyDescent="0.15">
      <c r="A548" s="21"/>
      <c r="B548" s="21"/>
      <c r="C548" s="21"/>
      <c r="D548" s="21"/>
      <c r="E548" s="1"/>
      <c r="F548" s="1"/>
      <c r="G548" s="1"/>
      <c r="H548" s="1"/>
      <c r="I548" s="1"/>
      <c r="J548" s="1"/>
      <c r="K548" s="1"/>
      <c r="L548" s="1"/>
      <c r="M548" s="1"/>
      <c r="N548" s="1"/>
      <c r="O548" s="1"/>
      <c r="P548" s="1"/>
      <c r="Q548" s="1"/>
      <c r="R548" s="1"/>
      <c r="S548" s="1"/>
      <c r="T548" s="1"/>
      <c r="U548" s="1"/>
      <c r="V548" s="1"/>
      <c r="W548" s="1"/>
      <c r="X548" s="1"/>
      <c r="Y548" s="1"/>
      <c r="Z548" s="1"/>
    </row>
    <row r="549" spans="1:26" ht="14" x14ac:dyDescent="0.15">
      <c r="A549" s="21"/>
      <c r="B549" s="21"/>
      <c r="C549" s="21"/>
      <c r="D549" s="21"/>
      <c r="E549" s="1"/>
      <c r="F549" s="1"/>
      <c r="G549" s="1"/>
      <c r="H549" s="1"/>
      <c r="I549" s="1"/>
      <c r="J549" s="1"/>
      <c r="K549" s="1"/>
      <c r="L549" s="1"/>
      <c r="M549" s="1"/>
      <c r="N549" s="1"/>
      <c r="O549" s="1"/>
      <c r="P549" s="1"/>
      <c r="Q549" s="1"/>
      <c r="R549" s="1"/>
      <c r="S549" s="1"/>
      <c r="T549" s="1"/>
      <c r="U549" s="1"/>
      <c r="V549" s="1"/>
      <c r="W549" s="1"/>
      <c r="X549" s="1"/>
      <c r="Y549" s="1"/>
      <c r="Z549" s="1"/>
    </row>
    <row r="550" spans="1:26" ht="14" x14ac:dyDescent="0.15">
      <c r="A550" s="21"/>
      <c r="B550" s="21"/>
      <c r="C550" s="21"/>
      <c r="D550" s="21"/>
      <c r="E550" s="1"/>
      <c r="F550" s="1"/>
      <c r="G550" s="1"/>
      <c r="H550" s="1"/>
      <c r="I550" s="1"/>
      <c r="J550" s="1"/>
      <c r="K550" s="1"/>
      <c r="L550" s="1"/>
      <c r="M550" s="1"/>
      <c r="N550" s="1"/>
      <c r="O550" s="1"/>
      <c r="P550" s="1"/>
      <c r="Q550" s="1"/>
      <c r="R550" s="1"/>
      <c r="S550" s="1"/>
      <c r="T550" s="1"/>
      <c r="U550" s="1"/>
      <c r="V550" s="1"/>
      <c r="W550" s="1"/>
      <c r="X550" s="1"/>
      <c r="Y550" s="1"/>
      <c r="Z550" s="1"/>
    </row>
    <row r="551" spans="1:26" ht="14" x14ac:dyDescent="0.15">
      <c r="A551" s="21"/>
      <c r="B551" s="21"/>
      <c r="C551" s="21"/>
      <c r="D551" s="21"/>
      <c r="E551" s="1"/>
      <c r="F551" s="1"/>
      <c r="G551" s="1"/>
      <c r="H551" s="1"/>
      <c r="I551" s="1"/>
      <c r="J551" s="1"/>
      <c r="K551" s="1"/>
      <c r="L551" s="1"/>
      <c r="M551" s="1"/>
      <c r="N551" s="1"/>
      <c r="O551" s="1"/>
      <c r="P551" s="1"/>
      <c r="Q551" s="1"/>
      <c r="R551" s="1"/>
      <c r="S551" s="1"/>
      <c r="T551" s="1"/>
      <c r="U551" s="1"/>
      <c r="V551" s="1"/>
      <c r="W551" s="1"/>
      <c r="X551" s="1"/>
      <c r="Y551" s="1"/>
      <c r="Z551" s="1"/>
    </row>
    <row r="552" spans="1:26" ht="14" x14ac:dyDescent="0.15">
      <c r="A552" s="21"/>
      <c r="B552" s="21"/>
      <c r="C552" s="21"/>
      <c r="D552" s="21"/>
      <c r="E552" s="1"/>
      <c r="F552" s="1"/>
      <c r="G552" s="1"/>
      <c r="H552" s="1"/>
      <c r="I552" s="1"/>
      <c r="J552" s="1"/>
      <c r="K552" s="1"/>
      <c r="L552" s="1"/>
      <c r="M552" s="1"/>
      <c r="N552" s="1"/>
      <c r="O552" s="1"/>
      <c r="P552" s="1"/>
      <c r="Q552" s="1"/>
      <c r="R552" s="1"/>
      <c r="S552" s="1"/>
      <c r="T552" s="1"/>
      <c r="U552" s="1"/>
      <c r="V552" s="1"/>
      <c r="W552" s="1"/>
      <c r="X552" s="1"/>
      <c r="Y552" s="1"/>
      <c r="Z552" s="1"/>
    </row>
    <row r="553" spans="1:26" ht="14" x14ac:dyDescent="0.15">
      <c r="A553" s="21"/>
      <c r="B553" s="21"/>
      <c r="C553" s="21"/>
      <c r="D553" s="21"/>
      <c r="E553" s="1"/>
      <c r="F553" s="1"/>
      <c r="G553" s="1"/>
      <c r="H553" s="1"/>
      <c r="I553" s="1"/>
      <c r="J553" s="1"/>
      <c r="K553" s="1"/>
      <c r="L553" s="1"/>
      <c r="M553" s="1"/>
      <c r="N553" s="1"/>
      <c r="O553" s="1"/>
      <c r="P553" s="1"/>
      <c r="Q553" s="1"/>
      <c r="R553" s="1"/>
      <c r="S553" s="1"/>
      <c r="T553" s="1"/>
      <c r="U553" s="1"/>
      <c r="V553" s="1"/>
      <c r="W553" s="1"/>
      <c r="X553" s="1"/>
      <c r="Y553" s="1"/>
      <c r="Z553" s="1"/>
    </row>
    <row r="554" spans="1:26" ht="14" x14ac:dyDescent="0.15">
      <c r="A554" s="21"/>
      <c r="B554" s="21"/>
      <c r="C554" s="21"/>
      <c r="D554" s="21"/>
      <c r="E554" s="1"/>
      <c r="F554" s="1"/>
      <c r="G554" s="1"/>
      <c r="H554" s="1"/>
      <c r="I554" s="1"/>
      <c r="J554" s="1"/>
      <c r="K554" s="1"/>
      <c r="L554" s="1"/>
      <c r="M554" s="1"/>
      <c r="N554" s="1"/>
      <c r="O554" s="1"/>
      <c r="P554" s="1"/>
      <c r="Q554" s="1"/>
      <c r="R554" s="1"/>
      <c r="S554" s="1"/>
      <c r="T554" s="1"/>
      <c r="U554" s="1"/>
      <c r="V554" s="1"/>
      <c r="W554" s="1"/>
      <c r="X554" s="1"/>
      <c r="Y554" s="1"/>
      <c r="Z554" s="1"/>
    </row>
    <row r="555" spans="1:26" ht="14" x14ac:dyDescent="0.15">
      <c r="A555" s="21"/>
      <c r="B555" s="21"/>
      <c r="C555" s="21"/>
      <c r="D555" s="21"/>
      <c r="E555" s="1"/>
      <c r="F555" s="1"/>
      <c r="G555" s="1"/>
      <c r="H555" s="1"/>
      <c r="I555" s="1"/>
      <c r="J555" s="1"/>
      <c r="K555" s="1"/>
      <c r="L555" s="1"/>
      <c r="M555" s="1"/>
      <c r="N555" s="1"/>
      <c r="O555" s="1"/>
      <c r="P555" s="1"/>
      <c r="Q555" s="1"/>
      <c r="R555" s="1"/>
      <c r="S555" s="1"/>
      <c r="T555" s="1"/>
      <c r="U555" s="1"/>
      <c r="V555" s="1"/>
      <c r="W555" s="1"/>
      <c r="X555" s="1"/>
      <c r="Y555" s="1"/>
      <c r="Z555" s="1"/>
    </row>
    <row r="556" spans="1:26" ht="14" x14ac:dyDescent="0.15">
      <c r="A556" s="21"/>
      <c r="B556" s="21"/>
      <c r="C556" s="21"/>
      <c r="D556" s="21"/>
      <c r="E556" s="1"/>
      <c r="F556" s="1"/>
      <c r="G556" s="1"/>
      <c r="H556" s="1"/>
      <c r="I556" s="1"/>
      <c r="J556" s="1"/>
      <c r="K556" s="1"/>
      <c r="L556" s="1"/>
      <c r="M556" s="1"/>
      <c r="N556" s="1"/>
      <c r="O556" s="1"/>
      <c r="P556" s="1"/>
      <c r="Q556" s="1"/>
      <c r="R556" s="1"/>
      <c r="S556" s="1"/>
      <c r="T556" s="1"/>
      <c r="U556" s="1"/>
      <c r="V556" s="1"/>
      <c r="W556" s="1"/>
      <c r="X556" s="1"/>
      <c r="Y556" s="1"/>
      <c r="Z556" s="1"/>
    </row>
    <row r="557" spans="1:26" ht="14" x14ac:dyDescent="0.15">
      <c r="A557" s="21"/>
      <c r="B557" s="21"/>
      <c r="C557" s="21"/>
      <c r="D557" s="21"/>
      <c r="E557" s="1"/>
      <c r="F557" s="1"/>
      <c r="G557" s="1"/>
      <c r="H557" s="1"/>
      <c r="I557" s="1"/>
      <c r="J557" s="1"/>
      <c r="K557" s="1"/>
      <c r="L557" s="1"/>
      <c r="M557" s="1"/>
      <c r="N557" s="1"/>
      <c r="O557" s="1"/>
      <c r="P557" s="1"/>
      <c r="Q557" s="1"/>
      <c r="R557" s="1"/>
      <c r="S557" s="1"/>
      <c r="T557" s="1"/>
      <c r="U557" s="1"/>
      <c r="V557" s="1"/>
      <c r="W557" s="1"/>
      <c r="X557" s="1"/>
      <c r="Y557" s="1"/>
      <c r="Z557" s="1"/>
    </row>
    <row r="558" spans="1:26" ht="14" x14ac:dyDescent="0.15">
      <c r="A558" s="21"/>
      <c r="B558" s="21"/>
      <c r="C558" s="21"/>
      <c r="D558" s="21"/>
      <c r="E558" s="1"/>
      <c r="F558" s="1"/>
      <c r="G558" s="1"/>
      <c r="H558" s="1"/>
      <c r="I558" s="1"/>
      <c r="J558" s="1"/>
      <c r="K558" s="1"/>
      <c r="L558" s="1"/>
      <c r="M558" s="1"/>
      <c r="N558" s="1"/>
      <c r="O558" s="1"/>
      <c r="P558" s="1"/>
      <c r="Q558" s="1"/>
      <c r="R558" s="1"/>
      <c r="S558" s="1"/>
      <c r="T558" s="1"/>
      <c r="U558" s="1"/>
      <c r="V558" s="1"/>
      <c r="W558" s="1"/>
      <c r="X558" s="1"/>
      <c r="Y558" s="1"/>
      <c r="Z558" s="1"/>
    </row>
    <row r="559" spans="1:26" ht="14" x14ac:dyDescent="0.15">
      <c r="A559" s="21"/>
      <c r="B559" s="21"/>
      <c r="C559" s="21"/>
      <c r="D559" s="21"/>
      <c r="E559" s="1"/>
      <c r="F559" s="1"/>
      <c r="G559" s="1"/>
      <c r="H559" s="1"/>
      <c r="I559" s="1"/>
      <c r="J559" s="1"/>
      <c r="K559" s="1"/>
      <c r="L559" s="1"/>
      <c r="M559" s="1"/>
      <c r="N559" s="1"/>
      <c r="O559" s="1"/>
      <c r="P559" s="1"/>
      <c r="Q559" s="1"/>
      <c r="R559" s="1"/>
      <c r="S559" s="1"/>
      <c r="T559" s="1"/>
      <c r="U559" s="1"/>
      <c r="V559" s="1"/>
      <c r="W559" s="1"/>
      <c r="X559" s="1"/>
      <c r="Y559" s="1"/>
      <c r="Z559" s="1"/>
    </row>
    <row r="560" spans="1:26" ht="14" x14ac:dyDescent="0.15">
      <c r="A560" s="21"/>
      <c r="B560" s="21"/>
      <c r="C560" s="21"/>
      <c r="D560" s="21"/>
      <c r="E560" s="1"/>
      <c r="F560" s="1"/>
      <c r="G560" s="1"/>
      <c r="H560" s="1"/>
      <c r="I560" s="1"/>
      <c r="J560" s="1"/>
      <c r="K560" s="1"/>
      <c r="L560" s="1"/>
      <c r="M560" s="1"/>
      <c r="N560" s="1"/>
      <c r="O560" s="1"/>
      <c r="P560" s="1"/>
      <c r="Q560" s="1"/>
      <c r="R560" s="1"/>
      <c r="S560" s="1"/>
      <c r="T560" s="1"/>
      <c r="U560" s="1"/>
      <c r="V560" s="1"/>
      <c r="W560" s="1"/>
      <c r="X560" s="1"/>
      <c r="Y560" s="1"/>
      <c r="Z560" s="1"/>
    </row>
    <row r="561" spans="1:26" ht="14" x14ac:dyDescent="0.15">
      <c r="A561" s="21"/>
      <c r="B561" s="21"/>
      <c r="C561" s="21"/>
      <c r="D561" s="21"/>
      <c r="E561" s="1"/>
      <c r="F561" s="1"/>
      <c r="G561" s="1"/>
      <c r="H561" s="1"/>
      <c r="I561" s="1"/>
      <c r="J561" s="1"/>
      <c r="K561" s="1"/>
      <c r="L561" s="1"/>
      <c r="M561" s="1"/>
      <c r="N561" s="1"/>
      <c r="O561" s="1"/>
      <c r="P561" s="1"/>
      <c r="Q561" s="1"/>
      <c r="R561" s="1"/>
      <c r="S561" s="1"/>
      <c r="T561" s="1"/>
      <c r="U561" s="1"/>
      <c r="V561" s="1"/>
      <c r="W561" s="1"/>
      <c r="X561" s="1"/>
      <c r="Y561" s="1"/>
      <c r="Z561" s="1"/>
    </row>
    <row r="562" spans="1:26" ht="14" x14ac:dyDescent="0.15">
      <c r="A562" s="21"/>
      <c r="B562" s="21"/>
      <c r="C562" s="21"/>
      <c r="D562" s="21"/>
      <c r="E562" s="1"/>
      <c r="F562" s="1"/>
      <c r="G562" s="1"/>
      <c r="H562" s="1"/>
      <c r="I562" s="1"/>
      <c r="J562" s="1"/>
      <c r="K562" s="1"/>
      <c r="L562" s="1"/>
      <c r="M562" s="1"/>
      <c r="N562" s="1"/>
      <c r="O562" s="1"/>
      <c r="P562" s="1"/>
      <c r="Q562" s="1"/>
      <c r="R562" s="1"/>
      <c r="S562" s="1"/>
      <c r="T562" s="1"/>
      <c r="U562" s="1"/>
      <c r="V562" s="1"/>
      <c r="W562" s="1"/>
      <c r="X562" s="1"/>
      <c r="Y562" s="1"/>
      <c r="Z562" s="1"/>
    </row>
    <row r="563" spans="1:26" ht="14" x14ac:dyDescent="0.15">
      <c r="A563" s="21"/>
      <c r="B563" s="21"/>
      <c r="C563" s="21"/>
      <c r="D563" s="21"/>
      <c r="E563" s="1"/>
      <c r="F563" s="1"/>
      <c r="G563" s="1"/>
      <c r="H563" s="1"/>
      <c r="I563" s="1"/>
      <c r="J563" s="1"/>
      <c r="K563" s="1"/>
      <c r="L563" s="1"/>
      <c r="M563" s="1"/>
      <c r="N563" s="1"/>
      <c r="O563" s="1"/>
      <c r="P563" s="1"/>
      <c r="Q563" s="1"/>
      <c r="R563" s="1"/>
      <c r="S563" s="1"/>
      <c r="T563" s="1"/>
      <c r="U563" s="1"/>
      <c r="V563" s="1"/>
      <c r="W563" s="1"/>
      <c r="X563" s="1"/>
      <c r="Y563" s="1"/>
      <c r="Z563" s="1"/>
    </row>
    <row r="564" spans="1:26" ht="14" x14ac:dyDescent="0.15">
      <c r="A564" s="21"/>
      <c r="B564" s="21"/>
      <c r="C564" s="21"/>
      <c r="D564" s="21"/>
      <c r="E564" s="1"/>
      <c r="F564" s="1"/>
      <c r="G564" s="1"/>
      <c r="H564" s="1"/>
      <c r="I564" s="1"/>
      <c r="J564" s="1"/>
      <c r="K564" s="1"/>
      <c r="L564" s="1"/>
      <c r="M564" s="1"/>
      <c r="N564" s="1"/>
      <c r="O564" s="1"/>
      <c r="P564" s="1"/>
      <c r="Q564" s="1"/>
      <c r="R564" s="1"/>
      <c r="S564" s="1"/>
      <c r="T564" s="1"/>
      <c r="U564" s="1"/>
      <c r="V564" s="1"/>
      <c r="W564" s="1"/>
      <c r="X564" s="1"/>
      <c r="Y564" s="1"/>
      <c r="Z564" s="1"/>
    </row>
    <row r="565" spans="1:26" ht="14" x14ac:dyDescent="0.15">
      <c r="A565" s="21"/>
      <c r="B565" s="21"/>
      <c r="C565" s="21"/>
      <c r="D565" s="21"/>
      <c r="E565" s="1"/>
      <c r="F565" s="1"/>
      <c r="G565" s="1"/>
      <c r="H565" s="1"/>
      <c r="I565" s="1"/>
      <c r="J565" s="1"/>
      <c r="K565" s="1"/>
      <c r="L565" s="1"/>
      <c r="M565" s="1"/>
      <c r="N565" s="1"/>
      <c r="O565" s="1"/>
      <c r="P565" s="1"/>
      <c r="Q565" s="1"/>
      <c r="R565" s="1"/>
      <c r="S565" s="1"/>
      <c r="T565" s="1"/>
      <c r="U565" s="1"/>
      <c r="V565" s="1"/>
      <c r="W565" s="1"/>
      <c r="X565" s="1"/>
      <c r="Y565" s="1"/>
      <c r="Z565" s="1"/>
    </row>
    <row r="566" spans="1:26" ht="14" x14ac:dyDescent="0.15">
      <c r="A566" s="21"/>
      <c r="B566" s="21"/>
      <c r="C566" s="21"/>
      <c r="D566" s="21"/>
      <c r="E566" s="1"/>
      <c r="F566" s="1"/>
      <c r="G566" s="1"/>
      <c r="H566" s="1"/>
      <c r="I566" s="1"/>
      <c r="J566" s="1"/>
      <c r="K566" s="1"/>
      <c r="L566" s="1"/>
      <c r="M566" s="1"/>
      <c r="N566" s="1"/>
      <c r="O566" s="1"/>
      <c r="P566" s="1"/>
      <c r="Q566" s="1"/>
      <c r="R566" s="1"/>
      <c r="S566" s="1"/>
      <c r="T566" s="1"/>
      <c r="U566" s="1"/>
      <c r="V566" s="1"/>
      <c r="W566" s="1"/>
      <c r="X566" s="1"/>
      <c r="Y566" s="1"/>
      <c r="Z566" s="1"/>
    </row>
    <row r="567" spans="1:26" ht="14" x14ac:dyDescent="0.15">
      <c r="A567" s="21"/>
      <c r="B567" s="21"/>
      <c r="C567" s="21"/>
      <c r="D567" s="21"/>
      <c r="E567" s="1"/>
      <c r="F567" s="1"/>
      <c r="G567" s="1"/>
      <c r="H567" s="1"/>
      <c r="I567" s="1"/>
      <c r="J567" s="1"/>
      <c r="K567" s="1"/>
      <c r="L567" s="1"/>
      <c r="M567" s="1"/>
      <c r="N567" s="1"/>
      <c r="O567" s="1"/>
      <c r="P567" s="1"/>
      <c r="Q567" s="1"/>
      <c r="R567" s="1"/>
      <c r="S567" s="1"/>
      <c r="T567" s="1"/>
      <c r="U567" s="1"/>
      <c r="V567" s="1"/>
      <c r="W567" s="1"/>
      <c r="X567" s="1"/>
      <c r="Y567" s="1"/>
      <c r="Z567" s="1"/>
    </row>
    <row r="568" spans="1:26" ht="14" x14ac:dyDescent="0.15">
      <c r="A568" s="21"/>
      <c r="B568" s="21"/>
      <c r="C568" s="21"/>
      <c r="D568" s="21"/>
      <c r="E568" s="1"/>
      <c r="F568" s="1"/>
      <c r="G568" s="1"/>
      <c r="H568" s="1"/>
      <c r="I568" s="1"/>
      <c r="J568" s="1"/>
      <c r="K568" s="1"/>
      <c r="L568" s="1"/>
      <c r="M568" s="1"/>
      <c r="N568" s="1"/>
      <c r="O568" s="1"/>
      <c r="P568" s="1"/>
      <c r="Q568" s="1"/>
      <c r="R568" s="1"/>
      <c r="S568" s="1"/>
      <c r="T568" s="1"/>
      <c r="U568" s="1"/>
      <c r="V568" s="1"/>
      <c r="W568" s="1"/>
      <c r="X568" s="1"/>
      <c r="Y568" s="1"/>
      <c r="Z568" s="1"/>
    </row>
    <row r="569" spans="1:26" ht="14" x14ac:dyDescent="0.15">
      <c r="A569" s="21"/>
      <c r="B569" s="21"/>
      <c r="C569" s="21"/>
      <c r="D569" s="21"/>
      <c r="E569" s="1"/>
      <c r="F569" s="1"/>
      <c r="G569" s="1"/>
      <c r="H569" s="1"/>
      <c r="I569" s="1"/>
      <c r="J569" s="1"/>
      <c r="K569" s="1"/>
      <c r="L569" s="1"/>
      <c r="M569" s="1"/>
      <c r="N569" s="1"/>
      <c r="O569" s="1"/>
      <c r="P569" s="1"/>
      <c r="Q569" s="1"/>
      <c r="R569" s="1"/>
      <c r="S569" s="1"/>
      <c r="T569" s="1"/>
      <c r="U569" s="1"/>
      <c r="V569" s="1"/>
      <c r="W569" s="1"/>
      <c r="X569" s="1"/>
      <c r="Y569" s="1"/>
      <c r="Z569" s="1"/>
    </row>
    <row r="570" spans="1:26" ht="14" x14ac:dyDescent="0.15">
      <c r="A570" s="21"/>
      <c r="B570" s="21"/>
      <c r="C570" s="21"/>
      <c r="D570" s="21"/>
      <c r="E570" s="1"/>
      <c r="F570" s="1"/>
      <c r="G570" s="1"/>
      <c r="H570" s="1"/>
      <c r="I570" s="1"/>
      <c r="J570" s="1"/>
      <c r="K570" s="1"/>
      <c r="L570" s="1"/>
      <c r="M570" s="1"/>
      <c r="N570" s="1"/>
      <c r="O570" s="1"/>
      <c r="P570" s="1"/>
      <c r="Q570" s="1"/>
      <c r="R570" s="1"/>
      <c r="S570" s="1"/>
      <c r="T570" s="1"/>
      <c r="U570" s="1"/>
      <c r="V570" s="1"/>
      <c r="W570" s="1"/>
      <c r="X570" s="1"/>
      <c r="Y570" s="1"/>
      <c r="Z570" s="1"/>
    </row>
    <row r="571" spans="1:26" ht="14" x14ac:dyDescent="0.15">
      <c r="A571" s="21"/>
      <c r="B571" s="21"/>
      <c r="C571" s="21"/>
      <c r="D571" s="21"/>
      <c r="E571" s="1"/>
      <c r="F571" s="1"/>
      <c r="G571" s="1"/>
      <c r="H571" s="1"/>
      <c r="I571" s="1"/>
      <c r="J571" s="1"/>
      <c r="K571" s="1"/>
      <c r="L571" s="1"/>
      <c r="M571" s="1"/>
      <c r="N571" s="1"/>
      <c r="O571" s="1"/>
      <c r="P571" s="1"/>
      <c r="Q571" s="1"/>
      <c r="R571" s="1"/>
      <c r="S571" s="1"/>
      <c r="T571" s="1"/>
      <c r="U571" s="1"/>
      <c r="V571" s="1"/>
      <c r="W571" s="1"/>
      <c r="X571" s="1"/>
      <c r="Y571" s="1"/>
      <c r="Z571" s="1"/>
    </row>
    <row r="572" spans="1:26" ht="14" x14ac:dyDescent="0.15">
      <c r="A572" s="21"/>
      <c r="B572" s="21"/>
      <c r="C572" s="21"/>
      <c r="D572" s="21"/>
      <c r="E572" s="1"/>
      <c r="F572" s="1"/>
      <c r="G572" s="1"/>
      <c r="H572" s="1"/>
      <c r="I572" s="1"/>
      <c r="J572" s="1"/>
      <c r="K572" s="1"/>
      <c r="L572" s="1"/>
      <c r="M572" s="1"/>
      <c r="N572" s="1"/>
      <c r="O572" s="1"/>
      <c r="P572" s="1"/>
      <c r="Q572" s="1"/>
      <c r="R572" s="1"/>
      <c r="S572" s="1"/>
      <c r="T572" s="1"/>
      <c r="U572" s="1"/>
      <c r="V572" s="1"/>
      <c r="W572" s="1"/>
      <c r="X572" s="1"/>
      <c r="Y572" s="1"/>
      <c r="Z572" s="1"/>
    </row>
    <row r="573" spans="1:26" ht="14" x14ac:dyDescent="0.15">
      <c r="A573" s="21"/>
      <c r="B573" s="21"/>
      <c r="C573" s="21"/>
      <c r="D573" s="21"/>
      <c r="E573" s="1"/>
      <c r="F573" s="1"/>
      <c r="G573" s="1"/>
      <c r="H573" s="1"/>
      <c r="I573" s="1"/>
      <c r="J573" s="1"/>
      <c r="K573" s="1"/>
      <c r="L573" s="1"/>
      <c r="M573" s="1"/>
      <c r="N573" s="1"/>
      <c r="O573" s="1"/>
      <c r="P573" s="1"/>
      <c r="Q573" s="1"/>
      <c r="R573" s="1"/>
      <c r="S573" s="1"/>
      <c r="T573" s="1"/>
      <c r="U573" s="1"/>
      <c r="V573" s="1"/>
      <c r="W573" s="1"/>
      <c r="X573" s="1"/>
      <c r="Y573" s="1"/>
      <c r="Z573" s="1"/>
    </row>
    <row r="574" spans="1:26" ht="14" x14ac:dyDescent="0.15">
      <c r="A574" s="21"/>
      <c r="B574" s="21"/>
      <c r="C574" s="21"/>
      <c r="D574" s="21"/>
      <c r="E574" s="1"/>
      <c r="F574" s="1"/>
      <c r="G574" s="1"/>
      <c r="H574" s="1"/>
      <c r="I574" s="1"/>
      <c r="J574" s="1"/>
      <c r="K574" s="1"/>
      <c r="L574" s="1"/>
      <c r="M574" s="1"/>
      <c r="N574" s="1"/>
      <c r="O574" s="1"/>
      <c r="P574" s="1"/>
      <c r="Q574" s="1"/>
      <c r="R574" s="1"/>
      <c r="S574" s="1"/>
      <c r="T574" s="1"/>
      <c r="U574" s="1"/>
      <c r="V574" s="1"/>
      <c r="W574" s="1"/>
      <c r="X574" s="1"/>
      <c r="Y574" s="1"/>
      <c r="Z574" s="1"/>
    </row>
    <row r="575" spans="1:26" ht="14" x14ac:dyDescent="0.15">
      <c r="A575" s="21"/>
      <c r="B575" s="21"/>
      <c r="C575" s="21"/>
      <c r="D575" s="21"/>
      <c r="E575" s="1"/>
      <c r="F575" s="1"/>
      <c r="G575" s="1"/>
      <c r="H575" s="1"/>
      <c r="I575" s="1"/>
      <c r="J575" s="1"/>
      <c r="K575" s="1"/>
      <c r="L575" s="1"/>
      <c r="M575" s="1"/>
      <c r="N575" s="1"/>
      <c r="O575" s="1"/>
      <c r="P575" s="1"/>
      <c r="Q575" s="1"/>
      <c r="R575" s="1"/>
      <c r="S575" s="1"/>
      <c r="T575" s="1"/>
      <c r="U575" s="1"/>
      <c r="V575" s="1"/>
      <c r="W575" s="1"/>
      <c r="X575" s="1"/>
      <c r="Y575" s="1"/>
      <c r="Z575" s="1"/>
    </row>
    <row r="576" spans="1:26" ht="14" x14ac:dyDescent="0.15">
      <c r="A576" s="21"/>
      <c r="B576" s="21"/>
      <c r="C576" s="21"/>
      <c r="D576" s="21"/>
      <c r="E576" s="1"/>
      <c r="F576" s="1"/>
      <c r="G576" s="1"/>
      <c r="H576" s="1"/>
      <c r="I576" s="1"/>
      <c r="J576" s="1"/>
      <c r="K576" s="1"/>
      <c r="L576" s="1"/>
      <c r="M576" s="1"/>
      <c r="N576" s="1"/>
      <c r="O576" s="1"/>
      <c r="P576" s="1"/>
      <c r="Q576" s="1"/>
      <c r="R576" s="1"/>
      <c r="S576" s="1"/>
      <c r="T576" s="1"/>
      <c r="U576" s="1"/>
      <c r="V576" s="1"/>
      <c r="W576" s="1"/>
      <c r="X576" s="1"/>
      <c r="Y576" s="1"/>
      <c r="Z576" s="1"/>
    </row>
    <row r="577" spans="1:26" ht="14" x14ac:dyDescent="0.15">
      <c r="A577" s="21"/>
      <c r="B577" s="21"/>
      <c r="C577" s="21"/>
      <c r="D577" s="21"/>
      <c r="E577" s="1"/>
      <c r="F577" s="1"/>
      <c r="G577" s="1"/>
      <c r="H577" s="1"/>
      <c r="I577" s="1"/>
      <c r="J577" s="1"/>
      <c r="K577" s="1"/>
      <c r="L577" s="1"/>
      <c r="M577" s="1"/>
      <c r="N577" s="1"/>
      <c r="O577" s="1"/>
      <c r="P577" s="1"/>
      <c r="Q577" s="1"/>
      <c r="R577" s="1"/>
      <c r="S577" s="1"/>
      <c r="T577" s="1"/>
      <c r="U577" s="1"/>
      <c r="V577" s="1"/>
      <c r="W577" s="1"/>
      <c r="X577" s="1"/>
      <c r="Y577" s="1"/>
      <c r="Z577" s="1"/>
    </row>
    <row r="578" spans="1:26" ht="14" x14ac:dyDescent="0.15">
      <c r="A578" s="21"/>
      <c r="B578" s="21"/>
      <c r="C578" s="21"/>
      <c r="D578" s="21"/>
      <c r="E578" s="1"/>
      <c r="F578" s="1"/>
      <c r="G578" s="1"/>
      <c r="H578" s="1"/>
      <c r="I578" s="1"/>
      <c r="J578" s="1"/>
      <c r="K578" s="1"/>
      <c r="L578" s="1"/>
      <c r="M578" s="1"/>
      <c r="N578" s="1"/>
      <c r="O578" s="1"/>
      <c r="P578" s="1"/>
      <c r="Q578" s="1"/>
      <c r="R578" s="1"/>
      <c r="S578" s="1"/>
      <c r="T578" s="1"/>
      <c r="U578" s="1"/>
      <c r="V578" s="1"/>
      <c r="W578" s="1"/>
      <c r="X578" s="1"/>
      <c r="Y578" s="1"/>
      <c r="Z578" s="1"/>
    </row>
    <row r="579" spans="1:26" ht="14" x14ac:dyDescent="0.15">
      <c r="A579" s="21"/>
      <c r="B579" s="21"/>
      <c r="C579" s="21"/>
      <c r="D579" s="21"/>
      <c r="E579" s="1"/>
      <c r="F579" s="1"/>
      <c r="G579" s="1"/>
      <c r="H579" s="1"/>
      <c r="I579" s="1"/>
      <c r="J579" s="1"/>
      <c r="K579" s="1"/>
      <c r="L579" s="1"/>
      <c r="M579" s="1"/>
      <c r="N579" s="1"/>
      <c r="O579" s="1"/>
      <c r="P579" s="1"/>
      <c r="Q579" s="1"/>
      <c r="R579" s="1"/>
      <c r="S579" s="1"/>
      <c r="T579" s="1"/>
      <c r="U579" s="1"/>
      <c r="V579" s="1"/>
      <c r="W579" s="1"/>
      <c r="X579" s="1"/>
      <c r="Y579" s="1"/>
      <c r="Z579" s="1"/>
    </row>
    <row r="580" spans="1:26" ht="14" x14ac:dyDescent="0.15">
      <c r="A580" s="21"/>
      <c r="B580" s="21"/>
      <c r="C580" s="21"/>
      <c r="D580" s="21"/>
      <c r="E580" s="1"/>
      <c r="F580" s="1"/>
      <c r="G580" s="1"/>
      <c r="H580" s="1"/>
      <c r="I580" s="1"/>
      <c r="J580" s="1"/>
      <c r="K580" s="1"/>
      <c r="L580" s="1"/>
      <c r="M580" s="1"/>
      <c r="N580" s="1"/>
      <c r="O580" s="1"/>
      <c r="P580" s="1"/>
      <c r="Q580" s="1"/>
      <c r="R580" s="1"/>
      <c r="S580" s="1"/>
      <c r="T580" s="1"/>
      <c r="U580" s="1"/>
      <c r="V580" s="1"/>
      <c r="W580" s="1"/>
      <c r="X580" s="1"/>
      <c r="Y580" s="1"/>
      <c r="Z580" s="1"/>
    </row>
    <row r="581" spans="1:26" ht="14" x14ac:dyDescent="0.15">
      <c r="A581" s="21"/>
      <c r="B581" s="21"/>
      <c r="C581" s="21"/>
      <c r="D581" s="21"/>
      <c r="E581" s="1"/>
      <c r="F581" s="1"/>
      <c r="G581" s="1"/>
      <c r="H581" s="1"/>
      <c r="I581" s="1"/>
      <c r="J581" s="1"/>
      <c r="K581" s="1"/>
      <c r="L581" s="1"/>
      <c r="M581" s="1"/>
      <c r="N581" s="1"/>
      <c r="O581" s="1"/>
      <c r="P581" s="1"/>
      <c r="Q581" s="1"/>
      <c r="R581" s="1"/>
      <c r="S581" s="1"/>
      <c r="T581" s="1"/>
      <c r="U581" s="1"/>
      <c r="V581" s="1"/>
      <c r="W581" s="1"/>
      <c r="X581" s="1"/>
      <c r="Y581" s="1"/>
      <c r="Z581" s="1"/>
    </row>
    <row r="582" spans="1:26" ht="14" x14ac:dyDescent="0.15">
      <c r="A582" s="21"/>
      <c r="B582" s="21"/>
      <c r="C582" s="21"/>
      <c r="D582" s="21"/>
      <c r="E582" s="1"/>
      <c r="F582" s="1"/>
      <c r="G582" s="1"/>
      <c r="H582" s="1"/>
      <c r="I582" s="1"/>
      <c r="J582" s="1"/>
      <c r="K582" s="1"/>
      <c r="L582" s="1"/>
      <c r="M582" s="1"/>
      <c r="N582" s="1"/>
      <c r="O582" s="1"/>
      <c r="P582" s="1"/>
      <c r="Q582" s="1"/>
      <c r="R582" s="1"/>
      <c r="S582" s="1"/>
      <c r="T582" s="1"/>
      <c r="U582" s="1"/>
      <c r="V582" s="1"/>
      <c r="W582" s="1"/>
      <c r="X582" s="1"/>
      <c r="Y582" s="1"/>
      <c r="Z582" s="1"/>
    </row>
    <row r="583" spans="1:26" ht="14" x14ac:dyDescent="0.15">
      <c r="A583" s="21"/>
      <c r="B583" s="21"/>
      <c r="C583" s="21"/>
      <c r="D583" s="21"/>
      <c r="E583" s="1"/>
      <c r="F583" s="1"/>
      <c r="G583" s="1"/>
      <c r="H583" s="1"/>
      <c r="I583" s="1"/>
      <c r="J583" s="1"/>
      <c r="K583" s="1"/>
      <c r="L583" s="1"/>
      <c r="M583" s="1"/>
      <c r="N583" s="1"/>
      <c r="O583" s="1"/>
      <c r="P583" s="1"/>
      <c r="Q583" s="1"/>
      <c r="R583" s="1"/>
      <c r="S583" s="1"/>
      <c r="T583" s="1"/>
      <c r="U583" s="1"/>
      <c r="V583" s="1"/>
      <c r="W583" s="1"/>
      <c r="X583" s="1"/>
      <c r="Y583" s="1"/>
      <c r="Z583" s="1"/>
    </row>
    <row r="584" spans="1:26" ht="14" x14ac:dyDescent="0.15">
      <c r="A584" s="21"/>
      <c r="B584" s="21"/>
      <c r="C584" s="21"/>
      <c r="D584" s="21"/>
      <c r="E584" s="1"/>
      <c r="F584" s="1"/>
      <c r="G584" s="1"/>
      <c r="H584" s="1"/>
      <c r="I584" s="1"/>
      <c r="J584" s="1"/>
      <c r="K584" s="1"/>
      <c r="L584" s="1"/>
      <c r="M584" s="1"/>
      <c r="N584" s="1"/>
      <c r="O584" s="1"/>
      <c r="P584" s="1"/>
      <c r="Q584" s="1"/>
      <c r="R584" s="1"/>
      <c r="S584" s="1"/>
      <c r="T584" s="1"/>
      <c r="U584" s="1"/>
      <c r="V584" s="1"/>
      <c r="W584" s="1"/>
      <c r="X584" s="1"/>
      <c r="Y584" s="1"/>
      <c r="Z584" s="1"/>
    </row>
    <row r="585" spans="1:26" ht="14" x14ac:dyDescent="0.15">
      <c r="A585" s="21"/>
      <c r="B585" s="21"/>
      <c r="C585" s="21"/>
      <c r="D585" s="21"/>
      <c r="E585" s="1"/>
      <c r="F585" s="1"/>
      <c r="G585" s="1"/>
      <c r="H585" s="1"/>
      <c r="I585" s="1"/>
      <c r="J585" s="1"/>
      <c r="K585" s="1"/>
      <c r="L585" s="1"/>
      <c r="M585" s="1"/>
      <c r="N585" s="1"/>
      <c r="O585" s="1"/>
      <c r="P585" s="1"/>
      <c r="Q585" s="1"/>
      <c r="R585" s="1"/>
      <c r="S585" s="1"/>
      <c r="T585" s="1"/>
      <c r="U585" s="1"/>
      <c r="V585" s="1"/>
      <c r="W585" s="1"/>
      <c r="X585" s="1"/>
      <c r="Y585" s="1"/>
      <c r="Z585" s="1"/>
    </row>
    <row r="586" spans="1:26" ht="14" x14ac:dyDescent="0.15">
      <c r="A586" s="21"/>
      <c r="B586" s="21"/>
      <c r="C586" s="21"/>
      <c r="D586" s="21"/>
      <c r="E586" s="1"/>
      <c r="F586" s="1"/>
      <c r="G586" s="1"/>
      <c r="H586" s="1"/>
      <c r="I586" s="1"/>
      <c r="J586" s="1"/>
      <c r="K586" s="1"/>
      <c r="L586" s="1"/>
      <c r="M586" s="1"/>
      <c r="N586" s="1"/>
      <c r="O586" s="1"/>
      <c r="P586" s="1"/>
      <c r="Q586" s="1"/>
      <c r="R586" s="1"/>
      <c r="S586" s="1"/>
      <c r="T586" s="1"/>
      <c r="U586" s="1"/>
      <c r="V586" s="1"/>
      <c r="W586" s="1"/>
      <c r="X586" s="1"/>
      <c r="Y586" s="1"/>
      <c r="Z586" s="1"/>
    </row>
    <row r="587" spans="1:26" ht="14" x14ac:dyDescent="0.15">
      <c r="A587" s="21"/>
      <c r="B587" s="21"/>
      <c r="C587" s="21"/>
      <c r="D587" s="21"/>
      <c r="E587" s="1"/>
      <c r="F587" s="1"/>
      <c r="G587" s="1"/>
      <c r="H587" s="1"/>
      <c r="I587" s="1"/>
      <c r="J587" s="1"/>
      <c r="K587" s="1"/>
      <c r="L587" s="1"/>
      <c r="M587" s="1"/>
      <c r="N587" s="1"/>
      <c r="O587" s="1"/>
      <c r="P587" s="1"/>
      <c r="Q587" s="1"/>
      <c r="R587" s="1"/>
      <c r="S587" s="1"/>
      <c r="T587" s="1"/>
      <c r="U587" s="1"/>
      <c r="V587" s="1"/>
      <c r="W587" s="1"/>
      <c r="X587" s="1"/>
      <c r="Y587" s="1"/>
      <c r="Z587" s="1"/>
    </row>
    <row r="588" spans="1:26" ht="14" x14ac:dyDescent="0.15">
      <c r="A588" s="21"/>
      <c r="B588" s="21"/>
      <c r="C588" s="21"/>
      <c r="D588" s="21"/>
      <c r="E588" s="1"/>
      <c r="F588" s="1"/>
      <c r="G588" s="1"/>
      <c r="H588" s="1"/>
      <c r="I588" s="1"/>
      <c r="J588" s="1"/>
      <c r="K588" s="1"/>
      <c r="L588" s="1"/>
      <c r="M588" s="1"/>
      <c r="N588" s="1"/>
      <c r="O588" s="1"/>
      <c r="P588" s="1"/>
      <c r="Q588" s="1"/>
      <c r="R588" s="1"/>
      <c r="S588" s="1"/>
      <c r="T588" s="1"/>
      <c r="U588" s="1"/>
      <c r="V588" s="1"/>
      <c r="W588" s="1"/>
      <c r="X588" s="1"/>
      <c r="Y588" s="1"/>
      <c r="Z588" s="1"/>
    </row>
    <row r="589" spans="1:26" ht="14" x14ac:dyDescent="0.15">
      <c r="A589" s="21"/>
      <c r="B589" s="21"/>
      <c r="C589" s="21"/>
      <c r="D589" s="21"/>
      <c r="E589" s="1"/>
      <c r="F589" s="1"/>
      <c r="G589" s="1"/>
      <c r="H589" s="1"/>
      <c r="I589" s="1"/>
      <c r="J589" s="1"/>
      <c r="K589" s="1"/>
      <c r="L589" s="1"/>
      <c r="M589" s="1"/>
      <c r="N589" s="1"/>
      <c r="O589" s="1"/>
      <c r="P589" s="1"/>
      <c r="Q589" s="1"/>
      <c r="R589" s="1"/>
      <c r="S589" s="1"/>
      <c r="T589" s="1"/>
      <c r="U589" s="1"/>
      <c r="V589" s="1"/>
      <c r="W589" s="1"/>
      <c r="X589" s="1"/>
      <c r="Y589" s="1"/>
      <c r="Z589" s="1"/>
    </row>
    <row r="590" spans="1:26" ht="14" x14ac:dyDescent="0.15">
      <c r="A590" s="21"/>
      <c r="B590" s="21"/>
      <c r="C590" s="21"/>
      <c r="D590" s="21"/>
      <c r="E590" s="1"/>
      <c r="F590" s="1"/>
      <c r="G590" s="1"/>
      <c r="H590" s="1"/>
      <c r="I590" s="1"/>
      <c r="J590" s="1"/>
      <c r="K590" s="1"/>
      <c r="L590" s="1"/>
      <c r="M590" s="1"/>
      <c r="N590" s="1"/>
      <c r="O590" s="1"/>
      <c r="P590" s="1"/>
      <c r="Q590" s="1"/>
      <c r="R590" s="1"/>
      <c r="S590" s="1"/>
      <c r="T590" s="1"/>
      <c r="U590" s="1"/>
      <c r="V590" s="1"/>
      <c r="W590" s="1"/>
      <c r="X590" s="1"/>
      <c r="Y590" s="1"/>
      <c r="Z590" s="1"/>
    </row>
    <row r="591" spans="1:26" ht="14" x14ac:dyDescent="0.15">
      <c r="A591" s="21"/>
      <c r="B591" s="21"/>
      <c r="C591" s="21"/>
      <c r="D591" s="21"/>
      <c r="E591" s="1"/>
      <c r="F591" s="1"/>
      <c r="G591" s="1"/>
      <c r="H591" s="1"/>
      <c r="I591" s="1"/>
      <c r="J591" s="1"/>
      <c r="K591" s="1"/>
      <c r="L591" s="1"/>
      <c r="M591" s="1"/>
      <c r="N591" s="1"/>
      <c r="O591" s="1"/>
      <c r="P591" s="1"/>
      <c r="Q591" s="1"/>
      <c r="R591" s="1"/>
      <c r="S591" s="1"/>
      <c r="T591" s="1"/>
      <c r="U591" s="1"/>
      <c r="V591" s="1"/>
      <c r="W591" s="1"/>
      <c r="X591" s="1"/>
      <c r="Y591" s="1"/>
      <c r="Z591" s="1"/>
    </row>
    <row r="592" spans="1:26" ht="14" x14ac:dyDescent="0.15">
      <c r="A592" s="21"/>
      <c r="B592" s="21"/>
      <c r="C592" s="21"/>
      <c r="D592" s="21"/>
      <c r="E592" s="1"/>
      <c r="F592" s="1"/>
      <c r="G592" s="1"/>
      <c r="H592" s="1"/>
      <c r="I592" s="1"/>
      <c r="J592" s="1"/>
      <c r="K592" s="1"/>
      <c r="L592" s="1"/>
      <c r="M592" s="1"/>
      <c r="N592" s="1"/>
      <c r="O592" s="1"/>
      <c r="P592" s="1"/>
      <c r="Q592" s="1"/>
      <c r="R592" s="1"/>
      <c r="S592" s="1"/>
      <c r="T592" s="1"/>
      <c r="U592" s="1"/>
      <c r="V592" s="1"/>
      <c r="W592" s="1"/>
      <c r="X592" s="1"/>
      <c r="Y592" s="1"/>
      <c r="Z592" s="1"/>
    </row>
    <row r="593" spans="1:26" ht="14" x14ac:dyDescent="0.15">
      <c r="A593" s="21"/>
      <c r="B593" s="21"/>
      <c r="C593" s="21"/>
      <c r="D593" s="21"/>
      <c r="E593" s="1"/>
      <c r="F593" s="1"/>
      <c r="G593" s="1"/>
      <c r="H593" s="1"/>
      <c r="I593" s="1"/>
      <c r="J593" s="1"/>
      <c r="K593" s="1"/>
      <c r="L593" s="1"/>
      <c r="M593" s="1"/>
      <c r="N593" s="1"/>
      <c r="O593" s="1"/>
      <c r="P593" s="1"/>
      <c r="Q593" s="1"/>
      <c r="R593" s="1"/>
      <c r="S593" s="1"/>
      <c r="T593" s="1"/>
      <c r="U593" s="1"/>
      <c r="V593" s="1"/>
      <c r="W593" s="1"/>
      <c r="X593" s="1"/>
      <c r="Y593" s="1"/>
      <c r="Z593" s="1"/>
    </row>
    <row r="594" spans="1:26" ht="14" x14ac:dyDescent="0.15">
      <c r="A594" s="21"/>
      <c r="B594" s="21"/>
      <c r="C594" s="21"/>
      <c r="D594" s="21"/>
      <c r="E594" s="1"/>
      <c r="F594" s="1"/>
      <c r="G594" s="1"/>
      <c r="H594" s="1"/>
      <c r="I594" s="1"/>
      <c r="J594" s="1"/>
      <c r="K594" s="1"/>
      <c r="L594" s="1"/>
      <c r="M594" s="1"/>
      <c r="N594" s="1"/>
      <c r="O594" s="1"/>
      <c r="P594" s="1"/>
      <c r="Q594" s="1"/>
      <c r="R594" s="1"/>
      <c r="S594" s="1"/>
      <c r="T594" s="1"/>
      <c r="U594" s="1"/>
      <c r="V594" s="1"/>
      <c r="W594" s="1"/>
      <c r="X594" s="1"/>
      <c r="Y594" s="1"/>
      <c r="Z594" s="1"/>
    </row>
    <row r="595" spans="1:26" ht="14" x14ac:dyDescent="0.15">
      <c r="A595" s="21"/>
      <c r="B595" s="21"/>
      <c r="C595" s="21"/>
      <c r="D595" s="21"/>
      <c r="E595" s="1"/>
      <c r="F595" s="1"/>
      <c r="G595" s="1"/>
      <c r="H595" s="1"/>
      <c r="I595" s="1"/>
      <c r="J595" s="1"/>
      <c r="K595" s="1"/>
      <c r="L595" s="1"/>
      <c r="M595" s="1"/>
      <c r="N595" s="1"/>
      <c r="O595" s="1"/>
      <c r="P595" s="1"/>
      <c r="Q595" s="1"/>
      <c r="R595" s="1"/>
      <c r="S595" s="1"/>
      <c r="T595" s="1"/>
      <c r="U595" s="1"/>
      <c r="V595" s="1"/>
      <c r="W595" s="1"/>
      <c r="X595" s="1"/>
      <c r="Y595" s="1"/>
      <c r="Z595" s="1"/>
    </row>
    <row r="596" spans="1:26" ht="14" x14ac:dyDescent="0.15">
      <c r="A596" s="21"/>
      <c r="B596" s="21"/>
      <c r="C596" s="21"/>
      <c r="D596" s="21"/>
      <c r="E596" s="1"/>
      <c r="F596" s="1"/>
      <c r="G596" s="1"/>
      <c r="H596" s="1"/>
      <c r="I596" s="1"/>
      <c r="J596" s="1"/>
      <c r="K596" s="1"/>
      <c r="L596" s="1"/>
      <c r="M596" s="1"/>
      <c r="N596" s="1"/>
      <c r="O596" s="1"/>
      <c r="P596" s="1"/>
      <c r="Q596" s="1"/>
      <c r="R596" s="1"/>
      <c r="S596" s="1"/>
      <c r="T596" s="1"/>
      <c r="U596" s="1"/>
      <c r="V596" s="1"/>
      <c r="W596" s="1"/>
      <c r="X596" s="1"/>
      <c r="Y596" s="1"/>
      <c r="Z596" s="1"/>
    </row>
    <row r="597" spans="1:26" ht="14" x14ac:dyDescent="0.15">
      <c r="A597" s="21"/>
      <c r="B597" s="21"/>
      <c r="C597" s="21"/>
      <c r="D597" s="21"/>
      <c r="E597" s="1"/>
      <c r="F597" s="1"/>
      <c r="G597" s="1"/>
      <c r="H597" s="1"/>
      <c r="I597" s="1"/>
      <c r="J597" s="1"/>
      <c r="K597" s="1"/>
      <c r="L597" s="1"/>
      <c r="M597" s="1"/>
      <c r="N597" s="1"/>
      <c r="O597" s="1"/>
      <c r="P597" s="1"/>
      <c r="Q597" s="1"/>
      <c r="R597" s="1"/>
      <c r="S597" s="1"/>
      <c r="T597" s="1"/>
      <c r="U597" s="1"/>
      <c r="V597" s="1"/>
      <c r="W597" s="1"/>
      <c r="X597" s="1"/>
      <c r="Y597" s="1"/>
      <c r="Z597" s="1"/>
    </row>
    <row r="598" spans="1:26" ht="14" x14ac:dyDescent="0.15">
      <c r="A598" s="21"/>
      <c r="B598" s="21"/>
      <c r="C598" s="21"/>
      <c r="D598" s="21"/>
      <c r="E598" s="1"/>
      <c r="F598" s="1"/>
      <c r="G598" s="1"/>
      <c r="H598" s="1"/>
      <c r="I598" s="1"/>
      <c r="J598" s="1"/>
      <c r="K598" s="1"/>
      <c r="L598" s="1"/>
      <c r="M598" s="1"/>
      <c r="N598" s="1"/>
      <c r="O598" s="1"/>
      <c r="P598" s="1"/>
      <c r="Q598" s="1"/>
      <c r="R598" s="1"/>
      <c r="S598" s="1"/>
      <c r="T598" s="1"/>
      <c r="U598" s="1"/>
      <c r="V598" s="1"/>
      <c r="W598" s="1"/>
      <c r="X598" s="1"/>
      <c r="Y598" s="1"/>
      <c r="Z598" s="1"/>
    </row>
    <row r="599" spans="1:26" ht="14" x14ac:dyDescent="0.15">
      <c r="A599" s="21"/>
      <c r="B599" s="21"/>
      <c r="C599" s="21"/>
      <c r="D599" s="21"/>
      <c r="E599" s="1"/>
      <c r="F599" s="1"/>
      <c r="G599" s="1"/>
      <c r="H599" s="1"/>
      <c r="I599" s="1"/>
      <c r="J599" s="1"/>
      <c r="K599" s="1"/>
      <c r="L599" s="1"/>
      <c r="M599" s="1"/>
      <c r="N599" s="1"/>
      <c r="O599" s="1"/>
      <c r="P599" s="1"/>
      <c r="Q599" s="1"/>
      <c r="R599" s="1"/>
      <c r="S599" s="1"/>
      <c r="T599" s="1"/>
      <c r="U599" s="1"/>
      <c r="V599" s="1"/>
      <c r="W599" s="1"/>
      <c r="X599" s="1"/>
      <c r="Y599" s="1"/>
      <c r="Z599" s="1"/>
    </row>
    <row r="600" spans="1:26" ht="14" x14ac:dyDescent="0.15">
      <c r="A600" s="21"/>
      <c r="B600" s="21"/>
      <c r="C600" s="21"/>
      <c r="D600" s="21"/>
      <c r="E600" s="1"/>
      <c r="F600" s="1"/>
      <c r="G600" s="1"/>
      <c r="H600" s="1"/>
      <c r="I600" s="1"/>
      <c r="J600" s="1"/>
      <c r="K600" s="1"/>
      <c r="L600" s="1"/>
      <c r="M600" s="1"/>
      <c r="N600" s="1"/>
      <c r="O600" s="1"/>
      <c r="P600" s="1"/>
      <c r="Q600" s="1"/>
      <c r="R600" s="1"/>
      <c r="S600" s="1"/>
      <c r="T600" s="1"/>
      <c r="U600" s="1"/>
      <c r="V600" s="1"/>
      <c r="W600" s="1"/>
      <c r="X600" s="1"/>
      <c r="Y600" s="1"/>
      <c r="Z600" s="1"/>
    </row>
    <row r="601" spans="1:26" ht="14" x14ac:dyDescent="0.15">
      <c r="A601" s="21"/>
      <c r="B601" s="21"/>
      <c r="C601" s="21"/>
      <c r="D601" s="21"/>
      <c r="E601" s="1"/>
      <c r="F601" s="1"/>
      <c r="G601" s="1"/>
      <c r="H601" s="1"/>
      <c r="I601" s="1"/>
      <c r="J601" s="1"/>
      <c r="K601" s="1"/>
      <c r="L601" s="1"/>
      <c r="M601" s="1"/>
      <c r="N601" s="1"/>
      <c r="O601" s="1"/>
      <c r="P601" s="1"/>
      <c r="Q601" s="1"/>
      <c r="R601" s="1"/>
      <c r="S601" s="1"/>
      <c r="T601" s="1"/>
      <c r="U601" s="1"/>
      <c r="V601" s="1"/>
      <c r="W601" s="1"/>
      <c r="X601" s="1"/>
      <c r="Y601" s="1"/>
      <c r="Z601" s="1"/>
    </row>
    <row r="602" spans="1:26" ht="14" x14ac:dyDescent="0.15">
      <c r="A602" s="21"/>
      <c r="B602" s="21"/>
      <c r="C602" s="21"/>
      <c r="D602" s="21"/>
      <c r="E602" s="1"/>
      <c r="F602" s="1"/>
      <c r="G602" s="1"/>
      <c r="H602" s="1"/>
      <c r="I602" s="1"/>
      <c r="J602" s="1"/>
      <c r="K602" s="1"/>
      <c r="L602" s="1"/>
      <c r="M602" s="1"/>
      <c r="N602" s="1"/>
      <c r="O602" s="1"/>
      <c r="P602" s="1"/>
      <c r="Q602" s="1"/>
      <c r="R602" s="1"/>
      <c r="S602" s="1"/>
      <c r="T602" s="1"/>
      <c r="U602" s="1"/>
      <c r="V602" s="1"/>
      <c r="W602" s="1"/>
      <c r="X602" s="1"/>
      <c r="Y602" s="1"/>
      <c r="Z602" s="1"/>
    </row>
    <row r="603" spans="1:26" ht="14" x14ac:dyDescent="0.15">
      <c r="A603" s="21"/>
      <c r="B603" s="21"/>
      <c r="C603" s="21"/>
      <c r="D603" s="21"/>
      <c r="E603" s="1"/>
      <c r="F603" s="1"/>
      <c r="G603" s="1"/>
      <c r="H603" s="1"/>
      <c r="I603" s="1"/>
      <c r="J603" s="1"/>
      <c r="K603" s="1"/>
      <c r="L603" s="1"/>
      <c r="M603" s="1"/>
      <c r="N603" s="1"/>
      <c r="O603" s="1"/>
      <c r="P603" s="1"/>
      <c r="Q603" s="1"/>
      <c r="R603" s="1"/>
      <c r="S603" s="1"/>
      <c r="T603" s="1"/>
      <c r="U603" s="1"/>
      <c r="V603" s="1"/>
      <c r="W603" s="1"/>
      <c r="X603" s="1"/>
      <c r="Y603" s="1"/>
      <c r="Z603" s="1"/>
    </row>
    <row r="604" spans="1:26" ht="14" x14ac:dyDescent="0.15">
      <c r="A604" s="21"/>
      <c r="B604" s="21"/>
      <c r="C604" s="21"/>
      <c r="D604" s="21"/>
      <c r="E604" s="1"/>
      <c r="F604" s="1"/>
      <c r="G604" s="1"/>
      <c r="H604" s="1"/>
      <c r="I604" s="1"/>
      <c r="J604" s="1"/>
      <c r="K604" s="1"/>
      <c r="L604" s="1"/>
      <c r="M604" s="1"/>
      <c r="N604" s="1"/>
      <c r="O604" s="1"/>
      <c r="P604" s="1"/>
      <c r="Q604" s="1"/>
      <c r="R604" s="1"/>
      <c r="S604" s="1"/>
      <c r="T604" s="1"/>
      <c r="U604" s="1"/>
      <c r="V604" s="1"/>
      <c r="W604" s="1"/>
      <c r="X604" s="1"/>
      <c r="Y604" s="1"/>
      <c r="Z604" s="1"/>
    </row>
    <row r="605" spans="1:26" ht="14" x14ac:dyDescent="0.15">
      <c r="A605" s="21"/>
      <c r="B605" s="21"/>
      <c r="C605" s="21"/>
      <c r="D605" s="21"/>
      <c r="E605" s="1"/>
      <c r="F605" s="1"/>
      <c r="G605" s="1"/>
      <c r="H605" s="1"/>
      <c r="I605" s="1"/>
      <c r="J605" s="1"/>
      <c r="K605" s="1"/>
      <c r="L605" s="1"/>
      <c r="M605" s="1"/>
      <c r="N605" s="1"/>
      <c r="O605" s="1"/>
      <c r="P605" s="1"/>
      <c r="Q605" s="1"/>
      <c r="R605" s="1"/>
      <c r="S605" s="1"/>
      <c r="T605" s="1"/>
      <c r="U605" s="1"/>
      <c r="V605" s="1"/>
      <c r="W605" s="1"/>
      <c r="X605" s="1"/>
      <c r="Y605" s="1"/>
      <c r="Z605" s="1"/>
    </row>
    <row r="606" spans="1:26" ht="14" x14ac:dyDescent="0.15">
      <c r="A606" s="21"/>
      <c r="B606" s="21"/>
      <c r="C606" s="21"/>
      <c r="D606" s="21"/>
      <c r="E606" s="1"/>
      <c r="F606" s="1"/>
      <c r="G606" s="1"/>
      <c r="H606" s="1"/>
      <c r="I606" s="1"/>
      <c r="J606" s="1"/>
      <c r="K606" s="1"/>
      <c r="L606" s="1"/>
      <c r="M606" s="1"/>
      <c r="N606" s="1"/>
      <c r="O606" s="1"/>
      <c r="P606" s="1"/>
      <c r="Q606" s="1"/>
      <c r="R606" s="1"/>
      <c r="S606" s="1"/>
      <c r="T606" s="1"/>
      <c r="U606" s="1"/>
      <c r="V606" s="1"/>
      <c r="W606" s="1"/>
      <c r="X606" s="1"/>
      <c r="Y606" s="1"/>
      <c r="Z606" s="1"/>
    </row>
    <row r="607" spans="1:26" ht="14" x14ac:dyDescent="0.15">
      <c r="A607" s="21"/>
      <c r="B607" s="21"/>
      <c r="C607" s="21"/>
      <c r="D607" s="21"/>
      <c r="E607" s="1"/>
      <c r="F607" s="1"/>
      <c r="G607" s="1"/>
      <c r="H607" s="1"/>
      <c r="I607" s="1"/>
      <c r="J607" s="1"/>
      <c r="K607" s="1"/>
      <c r="L607" s="1"/>
      <c r="M607" s="1"/>
      <c r="N607" s="1"/>
      <c r="O607" s="1"/>
      <c r="P607" s="1"/>
      <c r="Q607" s="1"/>
      <c r="R607" s="1"/>
      <c r="S607" s="1"/>
      <c r="T607" s="1"/>
      <c r="U607" s="1"/>
      <c r="V607" s="1"/>
      <c r="W607" s="1"/>
      <c r="X607" s="1"/>
      <c r="Y607" s="1"/>
      <c r="Z607" s="1"/>
    </row>
    <row r="608" spans="1:26" ht="14" x14ac:dyDescent="0.15">
      <c r="A608" s="21"/>
      <c r="B608" s="21"/>
      <c r="C608" s="21"/>
      <c r="D608" s="21"/>
      <c r="E608" s="1"/>
      <c r="F608" s="1"/>
      <c r="G608" s="1"/>
      <c r="H608" s="1"/>
      <c r="I608" s="1"/>
      <c r="J608" s="1"/>
      <c r="K608" s="1"/>
      <c r="L608" s="1"/>
      <c r="M608" s="1"/>
      <c r="N608" s="1"/>
      <c r="O608" s="1"/>
      <c r="P608" s="1"/>
      <c r="Q608" s="1"/>
      <c r="R608" s="1"/>
      <c r="S608" s="1"/>
      <c r="T608" s="1"/>
      <c r="U608" s="1"/>
      <c r="V608" s="1"/>
      <c r="W608" s="1"/>
      <c r="X608" s="1"/>
      <c r="Y608" s="1"/>
      <c r="Z608" s="1"/>
    </row>
    <row r="609" spans="1:26" ht="14" x14ac:dyDescent="0.15">
      <c r="A609" s="21"/>
      <c r="B609" s="21"/>
      <c r="C609" s="21"/>
      <c r="D609" s="21"/>
      <c r="E609" s="1"/>
      <c r="F609" s="1"/>
      <c r="G609" s="1"/>
      <c r="H609" s="1"/>
      <c r="I609" s="1"/>
      <c r="J609" s="1"/>
      <c r="K609" s="1"/>
      <c r="L609" s="1"/>
      <c r="M609" s="1"/>
      <c r="N609" s="1"/>
      <c r="O609" s="1"/>
      <c r="P609" s="1"/>
      <c r="Q609" s="1"/>
      <c r="R609" s="1"/>
      <c r="S609" s="1"/>
      <c r="T609" s="1"/>
      <c r="U609" s="1"/>
      <c r="V609" s="1"/>
      <c r="W609" s="1"/>
      <c r="X609" s="1"/>
      <c r="Y609" s="1"/>
      <c r="Z609" s="1"/>
    </row>
    <row r="610" spans="1:26" ht="14" x14ac:dyDescent="0.15">
      <c r="A610" s="21"/>
      <c r="B610" s="21"/>
      <c r="C610" s="21"/>
      <c r="D610" s="21"/>
      <c r="E610" s="1"/>
      <c r="F610" s="1"/>
      <c r="G610" s="1"/>
      <c r="H610" s="1"/>
      <c r="I610" s="1"/>
      <c r="J610" s="1"/>
      <c r="K610" s="1"/>
      <c r="L610" s="1"/>
      <c r="M610" s="1"/>
      <c r="N610" s="1"/>
      <c r="O610" s="1"/>
      <c r="P610" s="1"/>
      <c r="Q610" s="1"/>
      <c r="R610" s="1"/>
      <c r="S610" s="1"/>
      <c r="T610" s="1"/>
      <c r="U610" s="1"/>
      <c r="V610" s="1"/>
      <c r="W610" s="1"/>
      <c r="X610" s="1"/>
      <c r="Y610" s="1"/>
      <c r="Z610" s="1"/>
    </row>
    <row r="611" spans="1:26" ht="14" x14ac:dyDescent="0.15">
      <c r="A611" s="21"/>
      <c r="B611" s="21"/>
      <c r="C611" s="21"/>
      <c r="D611" s="21"/>
      <c r="E611" s="1"/>
      <c r="F611" s="1"/>
      <c r="G611" s="1"/>
      <c r="H611" s="1"/>
      <c r="I611" s="1"/>
      <c r="J611" s="1"/>
      <c r="K611" s="1"/>
      <c r="L611" s="1"/>
      <c r="M611" s="1"/>
      <c r="N611" s="1"/>
      <c r="O611" s="1"/>
      <c r="P611" s="1"/>
      <c r="Q611" s="1"/>
      <c r="R611" s="1"/>
      <c r="S611" s="1"/>
      <c r="T611" s="1"/>
      <c r="U611" s="1"/>
      <c r="V611" s="1"/>
      <c r="W611" s="1"/>
      <c r="X611" s="1"/>
      <c r="Y611" s="1"/>
      <c r="Z611" s="1"/>
    </row>
    <row r="612" spans="1:26" ht="14" x14ac:dyDescent="0.15">
      <c r="A612" s="21"/>
      <c r="B612" s="21"/>
      <c r="C612" s="21"/>
      <c r="D612" s="21"/>
      <c r="E612" s="1"/>
      <c r="F612" s="1"/>
      <c r="G612" s="1"/>
      <c r="H612" s="1"/>
      <c r="I612" s="1"/>
      <c r="J612" s="1"/>
      <c r="K612" s="1"/>
      <c r="L612" s="1"/>
      <c r="M612" s="1"/>
      <c r="N612" s="1"/>
      <c r="O612" s="1"/>
      <c r="P612" s="1"/>
      <c r="Q612" s="1"/>
      <c r="R612" s="1"/>
      <c r="S612" s="1"/>
      <c r="T612" s="1"/>
      <c r="U612" s="1"/>
      <c r="V612" s="1"/>
      <c r="W612" s="1"/>
      <c r="X612" s="1"/>
      <c r="Y612" s="1"/>
      <c r="Z612" s="1"/>
    </row>
    <row r="613" spans="1:26" ht="14" x14ac:dyDescent="0.15">
      <c r="A613" s="21"/>
      <c r="B613" s="21"/>
      <c r="C613" s="21"/>
      <c r="D613" s="21"/>
      <c r="E613" s="1"/>
      <c r="F613" s="1"/>
      <c r="G613" s="1"/>
      <c r="H613" s="1"/>
      <c r="I613" s="1"/>
      <c r="J613" s="1"/>
      <c r="K613" s="1"/>
      <c r="L613" s="1"/>
      <c r="M613" s="1"/>
      <c r="N613" s="1"/>
      <c r="O613" s="1"/>
      <c r="P613" s="1"/>
      <c r="Q613" s="1"/>
      <c r="R613" s="1"/>
      <c r="S613" s="1"/>
      <c r="T613" s="1"/>
      <c r="U613" s="1"/>
      <c r="V613" s="1"/>
      <c r="W613" s="1"/>
      <c r="X613" s="1"/>
      <c r="Y613" s="1"/>
      <c r="Z613" s="1"/>
    </row>
    <row r="614" spans="1:26" ht="14" x14ac:dyDescent="0.15">
      <c r="A614" s="21"/>
      <c r="B614" s="21"/>
      <c r="C614" s="21"/>
      <c r="D614" s="21"/>
      <c r="E614" s="1"/>
      <c r="F614" s="1"/>
      <c r="G614" s="1"/>
      <c r="H614" s="1"/>
      <c r="I614" s="1"/>
      <c r="J614" s="1"/>
      <c r="K614" s="1"/>
      <c r="L614" s="1"/>
      <c r="M614" s="1"/>
      <c r="N614" s="1"/>
      <c r="O614" s="1"/>
      <c r="P614" s="1"/>
      <c r="Q614" s="1"/>
      <c r="R614" s="1"/>
      <c r="S614" s="1"/>
      <c r="T614" s="1"/>
      <c r="U614" s="1"/>
      <c r="V614" s="1"/>
      <c r="W614" s="1"/>
      <c r="X614" s="1"/>
      <c r="Y614" s="1"/>
      <c r="Z614" s="1"/>
    </row>
    <row r="615" spans="1:26" ht="14" x14ac:dyDescent="0.15">
      <c r="A615" s="21"/>
      <c r="B615" s="21"/>
      <c r="C615" s="21"/>
      <c r="D615" s="21"/>
      <c r="E615" s="1"/>
      <c r="F615" s="1"/>
      <c r="G615" s="1"/>
      <c r="H615" s="1"/>
      <c r="I615" s="1"/>
      <c r="J615" s="1"/>
      <c r="K615" s="1"/>
      <c r="L615" s="1"/>
      <c r="M615" s="1"/>
      <c r="N615" s="1"/>
      <c r="O615" s="1"/>
      <c r="P615" s="1"/>
      <c r="Q615" s="1"/>
      <c r="R615" s="1"/>
      <c r="S615" s="1"/>
      <c r="T615" s="1"/>
      <c r="U615" s="1"/>
      <c r="V615" s="1"/>
      <c r="W615" s="1"/>
      <c r="X615" s="1"/>
      <c r="Y615" s="1"/>
      <c r="Z615" s="1"/>
    </row>
    <row r="616" spans="1:26" ht="14" x14ac:dyDescent="0.15">
      <c r="A616" s="21"/>
      <c r="B616" s="21"/>
      <c r="C616" s="21"/>
      <c r="D616" s="21"/>
      <c r="E616" s="1"/>
      <c r="F616" s="1"/>
      <c r="G616" s="1"/>
      <c r="H616" s="1"/>
      <c r="I616" s="1"/>
      <c r="J616" s="1"/>
      <c r="K616" s="1"/>
      <c r="L616" s="1"/>
      <c r="M616" s="1"/>
      <c r="N616" s="1"/>
      <c r="O616" s="1"/>
      <c r="P616" s="1"/>
      <c r="Q616" s="1"/>
      <c r="R616" s="1"/>
      <c r="S616" s="1"/>
      <c r="T616" s="1"/>
      <c r="U616" s="1"/>
      <c r="V616" s="1"/>
      <c r="W616" s="1"/>
      <c r="X616" s="1"/>
      <c r="Y616" s="1"/>
      <c r="Z616" s="1"/>
    </row>
    <row r="617" spans="1:26" ht="14" x14ac:dyDescent="0.15">
      <c r="A617" s="21"/>
      <c r="B617" s="21"/>
      <c r="C617" s="21"/>
      <c r="D617" s="21"/>
      <c r="E617" s="1"/>
      <c r="F617" s="1"/>
      <c r="G617" s="1"/>
      <c r="H617" s="1"/>
      <c r="I617" s="1"/>
      <c r="J617" s="1"/>
      <c r="K617" s="1"/>
      <c r="L617" s="1"/>
      <c r="M617" s="1"/>
      <c r="N617" s="1"/>
      <c r="O617" s="1"/>
      <c r="P617" s="1"/>
      <c r="Q617" s="1"/>
      <c r="R617" s="1"/>
      <c r="S617" s="1"/>
      <c r="T617" s="1"/>
      <c r="U617" s="1"/>
      <c r="V617" s="1"/>
      <c r="W617" s="1"/>
      <c r="X617" s="1"/>
      <c r="Y617" s="1"/>
      <c r="Z617" s="1"/>
    </row>
    <row r="618" spans="1:26" ht="14" x14ac:dyDescent="0.15">
      <c r="A618" s="21"/>
      <c r="B618" s="21"/>
      <c r="C618" s="21"/>
      <c r="D618" s="21"/>
      <c r="E618" s="1"/>
      <c r="F618" s="1"/>
      <c r="G618" s="1"/>
      <c r="H618" s="1"/>
      <c r="I618" s="1"/>
      <c r="J618" s="1"/>
      <c r="K618" s="1"/>
      <c r="L618" s="1"/>
      <c r="M618" s="1"/>
      <c r="N618" s="1"/>
      <c r="O618" s="1"/>
      <c r="P618" s="1"/>
      <c r="Q618" s="1"/>
      <c r="R618" s="1"/>
      <c r="S618" s="1"/>
      <c r="T618" s="1"/>
      <c r="U618" s="1"/>
      <c r="V618" s="1"/>
      <c r="W618" s="1"/>
      <c r="X618" s="1"/>
      <c r="Y618" s="1"/>
      <c r="Z618" s="1"/>
    </row>
    <row r="619" spans="1:26" ht="14" x14ac:dyDescent="0.15">
      <c r="A619" s="21"/>
      <c r="B619" s="21"/>
      <c r="C619" s="21"/>
      <c r="D619" s="21"/>
      <c r="E619" s="1"/>
      <c r="F619" s="1"/>
      <c r="G619" s="1"/>
      <c r="H619" s="1"/>
      <c r="I619" s="1"/>
      <c r="J619" s="1"/>
      <c r="K619" s="1"/>
      <c r="L619" s="1"/>
      <c r="M619" s="1"/>
      <c r="N619" s="1"/>
      <c r="O619" s="1"/>
      <c r="P619" s="1"/>
      <c r="Q619" s="1"/>
      <c r="R619" s="1"/>
      <c r="S619" s="1"/>
      <c r="T619" s="1"/>
      <c r="U619" s="1"/>
      <c r="V619" s="1"/>
      <c r="W619" s="1"/>
      <c r="X619" s="1"/>
      <c r="Y619" s="1"/>
      <c r="Z619" s="1"/>
    </row>
    <row r="620" spans="1:26" ht="14" x14ac:dyDescent="0.15">
      <c r="A620" s="21"/>
      <c r="B620" s="21"/>
      <c r="C620" s="21"/>
      <c r="D620" s="21"/>
      <c r="E620" s="1"/>
      <c r="F620" s="1"/>
      <c r="G620" s="1"/>
      <c r="H620" s="1"/>
      <c r="I620" s="1"/>
      <c r="J620" s="1"/>
      <c r="K620" s="1"/>
      <c r="L620" s="1"/>
      <c r="M620" s="1"/>
      <c r="N620" s="1"/>
      <c r="O620" s="1"/>
      <c r="P620" s="1"/>
      <c r="Q620" s="1"/>
      <c r="R620" s="1"/>
      <c r="S620" s="1"/>
      <c r="T620" s="1"/>
      <c r="U620" s="1"/>
      <c r="V620" s="1"/>
      <c r="W620" s="1"/>
      <c r="X620" s="1"/>
      <c r="Y620" s="1"/>
      <c r="Z620" s="1"/>
    </row>
    <row r="621" spans="1:26" ht="14" x14ac:dyDescent="0.15">
      <c r="A621" s="21"/>
      <c r="B621" s="21"/>
      <c r="C621" s="21"/>
      <c r="D621" s="21"/>
      <c r="E621" s="1"/>
      <c r="F621" s="1"/>
      <c r="G621" s="1"/>
      <c r="H621" s="1"/>
      <c r="I621" s="1"/>
      <c r="J621" s="1"/>
      <c r="K621" s="1"/>
      <c r="L621" s="1"/>
      <c r="M621" s="1"/>
      <c r="N621" s="1"/>
      <c r="O621" s="1"/>
      <c r="P621" s="1"/>
      <c r="Q621" s="1"/>
      <c r="R621" s="1"/>
      <c r="S621" s="1"/>
      <c r="T621" s="1"/>
      <c r="U621" s="1"/>
      <c r="V621" s="1"/>
      <c r="W621" s="1"/>
      <c r="X621" s="1"/>
      <c r="Y621" s="1"/>
      <c r="Z621" s="1"/>
    </row>
    <row r="622" spans="1:26" ht="14" x14ac:dyDescent="0.15">
      <c r="A622" s="21"/>
      <c r="B622" s="21"/>
      <c r="C622" s="21"/>
      <c r="D622" s="21"/>
      <c r="E622" s="1"/>
      <c r="F622" s="1"/>
      <c r="G622" s="1"/>
      <c r="H622" s="1"/>
      <c r="I622" s="1"/>
      <c r="J622" s="1"/>
      <c r="K622" s="1"/>
      <c r="L622" s="1"/>
      <c r="M622" s="1"/>
      <c r="N622" s="1"/>
      <c r="O622" s="1"/>
      <c r="P622" s="1"/>
      <c r="Q622" s="1"/>
      <c r="R622" s="1"/>
      <c r="S622" s="1"/>
      <c r="T622" s="1"/>
      <c r="U622" s="1"/>
      <c r="V622" s="1"/>
      <c r="W622" s="1"/>
      <c r="X622" s="1"/>
      <c r="Y622" s="1"/>
      <c r="Z622" s="1"/>
    </row>
    <row r="623" spans="1:26" ht="14" x14ac:dyDescent="0.15">
      <c r="A623" s="21"/>
      <c r="B623" s="21"/>
      <c r="C623" s="21"/>
      <c r="D623" s="21"/>
      <c r="E623" s="1"/>
      <c r="F623" s="1"/>
      <c r="G623" s="1"/>
      <c r="H623" s="1"/>
      <c r="I623" s="1"/>
      <c r="J623" s="1"/>
      <c r="K623" s="1"/>
      <c r="L623" s="1"/>
      <c r="M623" s="1"/>
      <c r="N623" s="1"/>
      <c r="O623" s="1"/>
      <c r="P623" s="1"/>
      <c r="Q623" s="1"/>
      <c r="R623" s="1"/>
      <c r="S623" s="1"/>
      <c r="T623" s="1"/>
      <c r="U623" s="1"/>
      <c r="V623" s="1"/>
      <c r="W623" s="1"/>
      <c r="X623" s="1"/>
      <c r="Y623" s="1"/>
      <c r="Z623" s="1"/>
    </row>
    <row r="624" spans="1:26" ht="14" x14ac:dyDescent="0.15">
      <c r="A624" s="21"/>
      <c r="B624" s="21"/>
      <c r="C624" s="21"/>
      <c r="D624" s="21"/>
      <c r="E624" s="1"/>
      <c r="F624" s="1"/>
      <c r="G624" s="1"/>
      <c r="H624" s="1"/>
      <c r="I624" s="1"/>
      <c r="J624" s="1"/>
      <c r="K624" s="1"/>
      <c r="L624" s="1"/>
      <c r="M624" s="1"/>
      <c r="N624" s="1"/>
      <c r="O624" s="1"/>
      <c r="P624" s="1"/>
      <c r="Q624" s="1"/>
      <c r="R624" s="1"/>
      <c r="S624" s="1"/>
      <c r="T624" s="1"/>
      <c r="U624" s="1"/>
      <c r="V624" s="1"/>
      <c r="W624" s="1"/>
      <c r="X624" s="1"/>
      <c r="Y624" s="1"/>
      <c r="Z624" s="1"/>
    </row>
    <row r="625" spans="1:26" ht="14" x14ac:dyDescent="0.15">
      <c r="A625" s="21"/>
      <c r="B625" s="21"/>
      <c r="C625" s="21"/>
      <c r="D625" s="21"/>
      <c r="E625" s="1"/>
      <c r="F625" s="1"/>
      <c r="G625" s="1"/>
      <c r="H625" s="1"/>
      <c r="I625" s="1"/>
      <c r="J625" s="1"/>
      <c r="K625" s="1"/>
      <c r="L625" s="1"/>
      <c r="M625" s="1"/>
      <c r="N625" s="1"/>
      <c r="O625" s="1"/>
      <c r="P625" s="1"/>
      <c r="Q625" s="1"/>
      <c r="R625" s="1"/>
      <c r="S625" s="1"/>
      <c r="T625" s="1"/>
      <c r="U625" s="1"/>
      <c r="V625" s="1"/>
      <c r="W625" s="1"/>
      <c r="X625" s="1"/>
      <c r="Y625" s="1"/>
      <c r="Z625" s="1"/>
    </row>
    <row r="626" spans="1:26" ht="14" x14ac:dyDescent="0.15">
      <c r="A626" s="21"/>
      <c r="B626" s="21"/>
      <c r="C626" s="21"/>
      <c r="D626" s="21"/>
      <c r="E626" s="1"/>
      <c r="F626" s="1"/>
      <c r="G626" s="1"/>
      <c r="H626" s="1"/>
      <c r="I626" s="1"/>
      <c r="J626" s="1"/>
      <c r="K626" s="1"/>
      <c r="L626" s="1"/>
      <c r="M626" s="1"/>
      <c r="N626" s="1"/>
      <c r="O626" s="1"/>
      <c r="P626" s="1"/>
      <c r="Q626" s="1"/>
      <c r="R626" s="1"/>
      <c r="S626" s="1"/>
      <c r="T626" s="1"/>
      <c r="U626" s="1"/>
      <c r="V626" s="1"/>
      <c r="W626" s="1"/>
      <c r="X626" s="1"/>
      <c r="Y626" s="1"/>
      <c r="Z626" s="1"/>
    </row>
    <row r="627" spans="1:26" ht="14" x14ac:dyDescent="0.15">
      <c r="A627" s="21"/>
      <c r="B627" s="21"/>
      <c r="C627" s="21"/>
      <c r="D627" s="21"/>
      <c r="E627" s="1"/>
      <c r="F627" s="1"/>
      <c r="G627" s="1"/>
      <c r="H627" s="1"/>
      <c r="I627" s="1"/>
      <c r="J627" s="1"/>
      <c r="K627" s="1"/>
      <c r="L627" s="1"/>
      <c r="M627" s="1"/>
      <c r="N627" s="1"/>
      <c r="O627" s="1"/>
      <c r="P627" s="1"/>
      <c r="Q627" s="1"/>
      <c r="R627" s="1"/>
      <c r="S627" s="1"/>
      <c r="T627" s="1"/>
      <c r="U627" s="1"/>
      <c r="V627" s="1"/>
      <c r="W627" s="1"/>
      <c r="X627" s="1"/>
      <c r="Y627" s="1"/>
      <c r="Z627" s="1"/>
    </row>
    <row r="628" spans="1:26" ht="14" x14ac:dyDescent="0.15">
      <c r="A628" s="21"/>
      <c r="B628" s="21"/>
      <c r="C628" s="21"/>
      <c r="D628" s="21"/>
      <c r="E628" s="1"/>
      <c r="F628" s="1"/>
      <c r="G628" s="1"/>
      <c r="H628" s="1"/>
      <c r="I628" s="1"/>
      <c r="J628" s="1"/>
      <c r="K628" s="1"/>
      <c r="L628" s="1"/>
      <c r="M628" s="1"/>
      <c r="N628" s="1"/>
      <c r="O628" s="1"/>
      <c r="P628" s="1"/>
      <c r="Q628" s="1"/>
      <c r="R628" s="1"/>
      <c r="S628" s="1"/>
      <c r="T628" s="1"/>
      <c r="U628" s="1"/>
      <c r="V628" s="1"/>
      <c r="W628" s="1"/>
      <c r="X628" s="1"/>
      <c r="Y628" s="1"/>
      <c r="Z628" s="1"/>
    </row>
    <row r="629" spans="1:26" ht="14" x14ac:dyDescent="0.15">
      <c r="A629" s="21"/>
      <c r="B629" s="21"/>
      <c r="C629" s="21"/>
      <c r="D629" s="21"/>
      <c r="E629" s="1"/>
      <c r="F629" s="1"/>
      <c r="G629" s="1"/>
      <c r="H629" s="1"/>
      <c r="I629" s="1"/>
      <c r="J629" s="1"/>
      <c r="K629" s="1"/>
      <c r="L629" s="1"/>
      <c r="M629" s="1"/>
      <c r="N629" s="1"/>
      <c r="O629" s="1"/>
      <c r="P629" s="1"/>
      <c r="Q629" s="1"/>
      <c r="R629" s="1"/>
      <c r="S629" s="1"/>
      <c r="T629" s="1"/>
      <c r="U629" s="1"/>
      <c r="V629" s="1"/>
      <c r="W629" s="1"/>
      <c r="X629" s="1"/>
      <c r="Y629" s="1"/>
      <c r="Z629" s="1"/>
    </row>
    <row r="630" spans="1:26" ht="14" x14ac:dyDescent="0.15">
      <c r="A630" s="21"/>
      <c r="B630" s="21"/>
      <c r="C630" s="21"/>
      <c r="D630" s="21"/>
      <c r="E630" s="1"/>
      <c r="F630" s="1"/>
      <c r="G630" s="1"/>
      <c r="H630" s="1"/>
      <c r="I630" s="1"/>
      <c r="J630" s="1"/>
      <c r="K630" s="1"/>
      <c r="L630" s="1"/>
      <c r="M630" s="1"/>
      <c r="N630" s="1"/>
      <c r="O630" s="1"/>
      <c r="P630" s="1"/>
      <c r="Q630" s="1"/>
      <c r="R630" s="1"/>
      <c r="S630" s="1"/>
      <c r="T630" s="1"/>
      <c r="U630" s="1"/>
      <c r="V630" s="1"/>
      <c r="W630" s="1"/>
      <c r="X630" s="1"/>
      <c r="Y630" s="1"/>
      <c r="Z630" s="1"/>
    </row>
    <row r="631" spans="1:26" ht="14" x14ac:dyDescent="0.15">
      <c r="A631" s="21"/>
      <c r="B631" s="21"/>
      <c r="C631" s="21"/>
      <c r="D631" s="21"/>
      <c r="E631" s="1"/>
      <c r="F631" s="1"/>
      <c r="G631" s="1"/>
      <c r="H631" s="1"/>
      <c r="I631" s="1"/>
      <c r="J631" s="1"/>
      <c r="K631" s="1"/>
      <c r="L631" s="1"/>
      <c r="M631" s="1"/>
      <c r="N631" s="1"/>
      <c r="O631" s="1"/>
      <c r="P631" s="1"/>
      <c r="Q631" s="1"/>
      <c r="R631" s="1"/>
      <c r="S631" s="1"/>
      <c r="T631" s="1"/>
      <c r="U631" s="1"/>
      <c r="V631" s="1"/>
      <c r="W631" s="1"/>
      <c r="X631" s="1"/>
      <c r="Y631" s="1"/>
      <c r="Z631" s="1"/>
    </row>
    <row r="632" spans="1:26" ht="14" x14ac:dyDescent="0.15">
      <c r="A632" s="21"/>
      <c r="B632" s="21"/>
      <c r="C632" s="21"/>
      <c r="D632" s="21"/>
      <c r="E632" s="1"/>
      <c r="F632" s="1"/>
      <c r="G632" s="1"/>
      <c r="H632" s="1"/>
      <c r="I632" s="1"/>
      <c r="J632" s="1"/>
      <c r="K632" s="1"/>
      <c r="L632" s="1"/>
      <c r="M632" s="1"/>
      <c r="N632" s="1"/>
      <c r="O632" s="1"/>
      <c r="P632" s="1"/>
      <c r="Q632" s="1"/>
      <c r="R632" s="1"/>
      <c r="S632" s="1"/>
      <c r="T632" s="1"/>
      <c r="U632" s="1"/>
      <c r="V632" s="1"/>
      <c r="W632" s="1"/>
      <c r="X632" s="1"/>
      <c r="Y632" s="1"/>
      <c r="Z632" s="1"/>
    </row>
    <row r="633" spans="1:26" ht="14" x14ac:dyDescent="0.15">
      <c r="A633" s="21"/>
      <c r="B633" s="21"/>
      <c r="C633" s="21"/>
      <c r="D633" s="21"/>
      <c r="E633" s="1"/>
      <c r="F633" s="1"/>
      <c r="G633" s="1"/>
      <c r="H633" s="1"/>
      <c r="I633" s="1"/>
      <c r="J633" s="1"/>
      <c r="K633" s="1"/>
      <c r="L633" s="1"/>
      <c r="M633" s="1"/>
      <c r="N633" s="1"/>
      <c r="O633" s="1"/>
      <c r="P633" s="1"/>
      <c r="Q633" s="1"/>
      <c r="R633" s="1"/>
      <c r="S633" s="1"/>
      <c r="T633" s="1"/>
      <c r="U633" s="1"/>
      <c r="V633" s="1"/>
      <c r="W633" s="1"/>
      <c r="X633" s="1"/>
      <c r="Y633" s="1"/>
      <c r="Z633" s="1"/>
    </row>
    <row r="634" spans="1:26" ht="14" x14ac:dyDescent="0.15">
      <c r="A634" s="21"/>
      <c r="B634" s="21"/>
      <c r="C634" s="21"/>
      <c r="D634" s="21"/>
      <c r="E634" s="1"/>
      <c r="F634" s="1"/>
      <c r="G634" s="1"/>
      <c r="H634" s="1"/>
      <c r="I634" s="1"/>
      <c r="J634" s="1"/>
      <c r="K634" s="1"/>
      <c r="L634" s="1"/>
      <c r="M634" s="1"/>
      <c r="N634" s="1"/>
      <c r="O634" s="1"/>
      <c r="P634" s="1"/>
      <c r="Q634" s="1"/>
      <c r="R634" s="1"/>
      <c r="S634" s="1"/>
      <c r="T634" s="1"/>
      <c r="U634" s="1"/>
      <c r="V634" s="1"/>
      <c r="W634" s="1"/>
      <c r="X634" s="1"/>
      <c r="Y634" s="1"/>
      <c r="Z634" s="1"/>
    </row>
    <row r="635" spans="1:26" ht="14" x14ac:dyDescent="0.15">
      <c r="A635" s="21"/>
      <c r="B635" s="21"/>
      <c r="C635" s="21"/>
      <c r="D635" s="21"/>
      <c r="E635" s="1"/>
      <c r="F635" s="1"/>
      <c r="G635" s="1"/>
      <c r="H635" s="1"/>
      <c r="I635" s="1"/>
      <c r="J635" s="1"/>
      <c r="K635" s="1"/>
      <c r="L635" s="1"/>
      <c r="M635" s="1"/>
      <c r="N635" s="1"/>
      <c r="O635" s="1"/>
      <c r="P635" s="1"/>
      <c r="Q635" s="1"/>
      <c r="R635" s="1"/>
      <c r="S635" s="1"/>
      <c r="T635" s="1"/>
      <c r="U635" s="1"/>
      <c r="V635" s="1"/>
      <c r="W635" s="1"/>
      <c r="X635" s="1"/>
      <c r="Y635" s="1"/>
      <c r="Z635" s="1"/>
    </row>
    <row r="636" spans="1:26" ht="14" x14ac:dyDescent="0.15">
      <c r="A636" s="21"/>
      <c r="B636" s="21"/>
      <c r="C636" s="21"/>
      <c r="D636" s="21"/>
      <c r="E636" s="1"/>
      <c r="F636" s="1"/>
      <c r="G636" s="1"/>
      <c r="H636" s="1"/>
      <c r="I636" s="1"/>
      <c r="J636" s="1"/>
      <c r="K636" s="1"/>
      <c r="L636" s="1"/>
      <c r="M636" s="1"/>
      <c r="N636" s="1"/>
      <c r="O636" s="1"/>
      <c r="P636" s="1"/>
      <c r="Q636" s="1"/>
      <c r="R636" s="1"/>
      <c r="S636" s="1"/>
      <c r="T636" s="1"/>
      <c r="U636" s="1"/>
      <c r="V636" s="1"/>
      <c r="W636" s="1"/>
      <c r="X636" s="1"/>
      <c r="Y636" s="1"/>
      <c r="Z636" s="1"/>
    </row>
    <row r="637" spans="1:26" ht="14" x14ac:dyDescent="0.15">
      <c r="A637" s="21"/>
      <c r="B637" s="21"/>
      <c r="C637" s="21"/>
      <c r="D637" s="21"/>
      <c r="E637" s="1"/>
      <c r="F637" s="1"/>
      <c r="G637" s="1"/>
      <c r="H637" s="1"/>
      <c r="I637" s="1"/>
      <c r="J637" s="1"/>
      <c r="K637" s="1"/>
      <c r="L637" s="1"/>
      <c r="M637" s="1"/>
      <c r="N637" s="1"/>
      <c r="O637" s="1"/>
      <c r="P637" s="1"/>
      <c r="Q637" s="1"/>
      <c r="R637" s="1"/>
      <c r="S637" s="1"/>
      <c r="T637" s="1"/>
      <c r="U637" s="1"/>
      <c r="V637" s="1"/>
      <c r="W637" s="1"/>
      <c r="X637" s="1"/>
      <c r="Y637" s="1"/>
      <c r="Z637" s="1"/>
    </row>
    <row r="638" spans="1:26" ht="14" x14ac:dyDescent="0.15">
      <c r="A638" s="21"/>
      <c r="B638" s="21"/>
      <c r="C638" s="21"/>
      <c r="D638" s="21"/>
      <c r="E638" s="1"/>
      <c r="F638" s="1"/>
      <c r="G638" s="1"/>
      <c r="H638" s="1"/>
      <c r="I638" s="1"/>
      <c r="J638" s="1"/>
      <c r="K638" s="1"/>
      <c r="L638" s="1"/>
      <c r="M638" s="1"/>
      <c r="N638" s="1"/>
      <c r="O638" s="1"/>
      <c r="P638" s="1"/>
      <c r="Q638" s="1"/>
      <c r="R638" s="1"/>
      <c r="S638" s="1"/>
      <c r="T638" s="1"/>
      <c r="U638" s="1"/>
      <c r="V638" s="1"/>
      <c r="W638" s="1"/>
      <c r="X638" s="1"/>
      <c r="Y638" s="1"/>
      <c r="Z638" s="1"/>
    </row>
    <row r="639" spans="1:26" ht="14" x14ac:dyDescent="0.15">
      <c r="A639" s="21"/>
      <c r="B639" s="21"/>
      <c r="C639" s="21"/>
      <c r="D639" s="21"/>
      <c r="E639" s="1"/>
      <c r="F639" s="1"/>
      <c r="G639" s="1"/>
      <c r="H639" s="1"/>
      <c r="I639" s="1"/>
      <c r="J639" s="1"/>
      <c r="K639" s="1"/>
      <c r="L639" s="1"/>
      <c r="M639" s="1"/>
      <c r="N639" s="1"/>
      <c r="O639" s="1"/>
      <c r="P639" s="1"/>
      <c r="Q639" s="1"/>
      <c r="R639" s="1"/>
      <c r="S639" s="1"/>
      <c r="T639" s="1"/>
      <c r="U639" s="1"/>
      <c r="V639" s="1"/>
      <c r="W639" s="1"/>
      <c r="X639" s="1"/>
      <c r="Y639" s="1"/>
      <c r="Z639" s="1"/>
    </row>
    <row r="640" spans="1:26" ht="14" x14ac:dyDescent="0.15">
      <c r="A640" s="21"/>
      <c r="B640" s="21"/>
      <c r="C640" s="21"/>
      <c r="D640" s="21"/>
      <c r="E640" s="1"/>
      <c r="F640" s="1"/>
      <c r="G640" s="1"/>
      <c r="H640" s="1"/>
      <c r="I640" s="1"/>
      <c r="J640" s="1"/>
      <c r="K640" s="1"/>
      <c r="L640" s="1"/>
      <c r="M640" s="1"/>
      <c r="N640" s="1"/>
      <c r="O640" s="1"/>
      <c r="P640" s="1"/>
      <c r="Q640" s="1"/>
      <c r="R640" s="1"/>
      <c r="S640" s="1"/>
      <c r="T640" s="1"/>
      <c r="U640" s="1"/>
      <c r="V640" s="1"/>
      <c r="W640" s="1"/>
      <c r="X640" s="1"/>
      <c r="Y640" s="1"/>
      <c r="Z640" s="1"/>
    </row>
    <row r="641" spans="1:26" ht="14" x14ac:dyDescent="0.15">
      <c r="A641" s="21"/>
      <c r="B641" s="21"/>
      <c r="C641" s="21"/>
      <c r="D641" s="21"/>
      <c r="E641" s="1"/>
      <c r="F641" s="1"/>
      <c r="G641" s="1"/>
      <c r="H641" s="1"/>
      <c r="I641" s="1"/>
      <c r="J641" s="1"/>
      <c r="K641" s="1"/>
      <c r="L641" s="1"/>
      <c r="M641" s="1"/>
      <c r="N641" s="1"/>
      <c r="O641" s="1"/>
      <c r="P641" s="1"/>
      <c r="Q641" s="1"/>
      <c r="R641" s="1"/>
      <c r="S641" s="1"/>
      <c r="T641" s="1"/>
      <c r="U641" s="1"/>
      <c r="V641" s="1"/>
      <c r="W641" s="1"/>
      <c r="X641" s="1"/>
      <c r="Y641" s="1"/>
      <c r="Z641" s="1"/>
    </row>
    <row r="642" spans="1:26" ht="14" x14ac:dyDescent="0.15">
      <c r="A642" s="21"/>
      <c r="B642" s="21"/>
      <c r="C642" s="21"/>
      <c r="D642" s="21"/>
      <c r="E642" s="1"/>
      <c r="F642" s="1"/>
      <c r="G642" s="1"/>
      <c r="H642" s="1"/>
      <c r="I642" s="1"/>
      <c r="J642" s="1"/>
      <c r="K642" s="1"/>
      <c r="L642" s="1"/>
      <c r="M642" s="1"/>
      <c r="N642" s="1"/>
      <c r="O642" s="1"/>
      <c r="P642" s="1"/>
      <c r="Q642" s="1"/>
      <c r="R642" s="1"/>
      <c r="S642" s="1"/>
      <c r="T642" s="1"/>
      <c r="U642" s="1"/>
      <c r="V642" s="1"/>
      <c r="W642" s="1"/>
      <c r="X642" s="1"/>
      <c r="Y642" s="1"/>
      <c r="Z642" s="1"/>
    </row>
    <row r="643" spans="1:26" ht="14" x14ac:dyDescent="0.15">
      <c r="A643" s="21"/>
      <c r="B643" s="21"/>
      <c r="C643" s="21"/>
      <c r="D643" s="21"/>
      <c r="E643" s="1"/>
      <c r="F643" s="1"/>
      <c r="G643" s="1"/>
      <c r="H643" s="1"/>
      <c r="I643" s="1"/>
      <c r="J643" s="1"/>
      <c r="K643" s="1"/>
      <c r="L643" s="1"/>
      <c r="M643" s="1"/>
      <c r="N643" s="1"/>
      <c r="O643" s="1"/>
      <c r="P643" s="1"/>
      <c r="Q643" s="1"/>
      <c r="R643" s="1"/>
      <c r="S643" s="1"/>
      <c r="T643" s="1"/>
      <c r="U643" s="1"/>
      <c r="V643" s="1"/>
      <c r="W643" s="1"/>
      <c r="X643" s="1"/>
      <c r="Y643" s="1"/>
      <c r="Z643" s="1"/>
    </row>
    <row r="644" spans="1:26" ht="14" x14ac:dyDescent="0.15">
      <c r="A644" s="21"/>
      <c r="B644" s="21"/>
      <c r="C644" s="21"/>
      <c r="D644" s="21"/>
      <c r="E644" s="1"/>
      <c r="F644" s="1"/>
      <c r="G644" s="1"/>
      <c r="H644" s="1"/>
      <c r="I644" s="1"/>
      <c r="J644" s="1"/>
      <c r="K644" s="1"/>
      <c r="L644" s="1"/>
      <c r="M644" s="1"/>
      <c r="N644" s="1"/>
      <c r="O644" s="1"/>
      <c r="P644" s="1"/>
      <c r="Q644" s="1"/>
      <c r="R644" s="1"/>
      <c r="S644" s="1"/>
      <c r="T644" s="1"/>
      <c r="U644" s="1"/>
      <c r="V644" s="1"/>
      <c r="W644" s="1"/>
      <c r="X644" s="1"/>
      <c r="Y644" s="1"/>
      <c r="Z644" s="1"/>
    </row>
    <row r="645" spans="1:26" ht="14" x14ac:dyDescent="0.15">
      <c r="A645" s="21"/>
      <c r="B645" s="21"/>
      <c r="C645" s="21"/>
      <c r="D645" s="21"/>
      <c r="E645" s="1"/>
      <c r="F645" s="1"/>
      <c r="G645" s="1"/>
      <c r="H645" s="1"/>
      <c r="I645" s="1"/>
      <c r="J645" s="1"/>
      <c r="K645" s="1"/>
      <c r="L645" s="1"/>
      <c r="M645" s="1"/>
      <c r="N645" s="1"/>
      <c r="O645" s="1"/>
      <c r="P645" s="1"/>
      <c r="Q645" s="1"/>
      <c r="R645" s="1"/>
      <c r="S645" s="1"/>
      <c r="T645" s="1"/>
      <c r="U645" s="1"/>
      <c r="V645" s="1"/>
      <c r="W645" s="1"/>
      <c r="X645" s="1"/>
      <c r="Y645" s="1"/>
      <c r="Z645" s="1"/>
    </row>
    <row r="646" spans="1:26" ht="14" x14ac:dyDescent="0.15">
      <c r="A646" s="21"/>
      <c r="B646" s="21"/>
      <c r="C646" s="21"/>
      <c r="D646" s="21"/>
      <c r="E646" s="1"/>
      <c r="F646" s="1"/>
      <c r="G646" s="1"/>
      <c r="H646" s="1"/>
      <c r="I646" s="1"/>
      <c r="J646" s="1"/>
      <c r="K646" s="1"/>
      <c r="L646" s="1"/>
      <c r="M646" s="1"/>
      <c r="N646" s="1"/>
      <c r="O646" s="1"/>
      <c r="P646" s="1"/>
      <c r="Q646" s="1"/>
      <c r="R646" s="1"/>
      <c r="S646" s="1"/>
      <c r="T646" s="1"/>
      <c r="U646" s="1"/>
      <c r="V646" s="1"/>
      <c r="W646" s="1"/>
      <c r="X646" s="1"/>
      <c r="Y646" s="1"/>
      <c r="Z646" s="1"/>
    </row>
    <row r="647" spans="1:26" ht="14" x14ac:dyDescent="0.15">
      <c r="A647" s="21"/>
      <c r="B647" s="21"/>
      <c r="C647" s="21"/>
      <c r="D647" s="21"/>
      <c r="E647" s="1"/>
      <c r="F647" s="1"/>
      <c r="G647" s="1"/>
      <c r="H647" s="1"/>
      <c r="I647" s="1"/>
      <c r="J647" s="1"/>
      <c r="K647" s="1"/>
      <c r="L647" s="1"/>
      <c r="M647" s="1"/>
      <c r="N647" s="1"/>
      <c r="O647" s="1"/>
      <c r="P647" s="1"/>
      <c r="Q647" s="1"/>
      <c r="R647" s="1"/>
      <c r="S647" s="1"/>
      <c r="T647" s="1"/>
      <c r="U647" s="1"/>
      <c r="V647" s="1"/>
      <c r="W647" s="1"/>
      <c r="X647" s="1"/>
      <c r="Y647" s="1"/>
      <c r="Z647" s="1"/>
    </row>
    <row r="648" spans="1:26" ht="14" x14ac:dyDescent="0.15">
      <c r="A648" s="21"/>
      <c r="B648" s="21"/>
      <c r="C648" s="21"/>
      <c r="D648" s="21"/>
      <c r="E648" s="1"/>
      <c r="F648" s="1"/>
      <c r="G648" s="1"/>
      <c r="H648" s="1"/>
      <c r="I648" s="1"/>
      <c r="J648" s="1"/>
      <c r="K648" s="1"/>
      <c r="L648" s="1"/>
      <c r="M648" s="1"/>
      <c r="N648" s="1"/>
      <c r="O648" s="1"/>
      <c r="P648" s="1"/>
      <c r="Q648" s="1"/>
      <c r="R648" s="1"/>
      <c r="S648" s="1"/>
      <c r="T648" s="1"/>
      <c r="U648" s="1"/>
      <c r="V648" s="1"/>
      <c r="W648" s="1"/>
      <c r="X648" s="1"/>
      <c r="Y648" s="1"/>
      <c r="Z648" s="1"/>
    </row>
    <row r="649" spans="1:26" ht="14" x14ac:dyDescent="0.15">
      <c r="A649" s="21"/>
      <c r="B649" s="21"/>
      <c r="C649" s="21"/>
      <c r="D649" s="21"/>
      <c r="E649" s="1"/>
      <c r="F649" s="1"/>
      <c r="G649" s="1"/>
      <c r="H649" s="1"/>
      <c r="I649" s="1"/>
      <c r="J649" s="1"/>
      <c r="K649" s="1"/>
      <c r="L649" s="1"/>
      <c r="M649" s="1"/>
      <c r="N649" s="1"/>
      <c r="O649" s="1"/>
      <c r="P649" s="1"/>
      <c r="Q649" s="1"/>
      <c r="R649" s="1"/>
      <c r="S649" s="1"/>
      <c r="T649" s="1"/>
      <c r="U649" s="1"/>
      <c r="V649" s="1"/>
      <c r="W649" s="1"/>
      <c r="X649" s="1"/>
      <c r="Y649" s="1"/>
      <c r="Z649" s="1"/>
    </row>
    <row r="650" spans="1:26" ht="14" x14ac:dyDescent="0.15">
      <c r="A650" s="21"/>
      <c r="B650" s="21"/>
      <c r="C650" s="21"/>
      <c r="D650" s="21"/>
      <c r="E650" s="1"/>
      <c r="F650" s="1"/>
      <c r="G650" s="1"/>
      <c r="H650" s="1"/>
      <c r="I650" s="1"/>
      <c r="J650" s="1"/>
      <c r="K650" s="1"/>
      <c r="L650" s="1"/>
      <c r="M650" s="1"/>
      <c r="N650" s="1"/>
      <c r="O650" s="1"/>
      <c r="P650" s="1"/>
      <c r="Q650" s="1"/>
      <c r="R650" s="1"/>
      <c r="S650" s="1"/>
      <c r="T650" s="1"/>
      <c r="U650" s="1"/>
      <c r="V650" s="1"/>
      <c r="W650" s="1"/>
      <c r="X650" s="1"/>
      <c r="Y650" s="1"/>
      <c r="Z650" s="1"/>
    </row>
    <row r="651" spans="1:26" ht="14" x14ac:dyDescent="0.15">
      <c r="A651" s="21"/>
      <c r="B651" s="21"/>
      <c r="C651" s="21"/>
      <c r="D651" s="21"/>
      <c r="E651" s="1"/>
      <c r="F651" s="1"/>
      <c r="G651" s="1"/>
      <c r="H651" s="1"/>
      <c r="I651" s="1"/>
      <c r="J651" s="1"/>
      <c r="K651" s="1"/>
      <c r="L651" s="1"/>
      <c r="M651" s="1"/>
      <c r="N651" s="1"/>
      <c r="O651" s="1"/>
      <c r="P651" s="1"/>
      <c r="Q651" s="1"/>
      <c r="R651" s="1"/>
      <c r="S651" s="1"/>
      <c r="T651" s="1"/>
      <c r="U651" s="1"/>
      <c r="V651" s="1"/>
      <c r="W651" s="1"/>
      <c r="X651" s="1"/>
      <c r="Y651" s="1"/>
      <c r="Z651" s="1"/>
    </row>
    <row r="652" spans="1:26" ht="14" x14ac:dyDescent="0.15">
      <c r="A652" s="21"/>
      <c r="B652" s="21"/>
      <c r="C652" s="21"/>
      <c r="D652" s="21"/>
      <c r="E652" s="1"/>
      <c r="F652" s="1"/>
      <c r="G652" s="1"/>
      <c r="H652" s="1"/>
      <c r="I652" s="1"/>
      <c r="J652" s="1"/>
      <c r="K652" s="1"/>
      <c r="L652" s="1"/>
      <c r="M652" s="1"/>
      <c r="N652" s="1"/>
      <c r="O652" s="1"/>
      <c r="P652" s="1"/>
      <c r="Q652" s="1"/>
      <c r="R652" s="1"/>
      <c r="S652" s="1"/>
      <c r="T652" s="1"/>
      <c r="U652" s="1"/>
      <c r="V652" s="1"/>
      <c r="W652" s="1"/>
      <c r="X652" s="1"/>
      <c r="Y652" s="1"/>
      <c r="Z652" s="1"/>
    </row>
    <row r="653" spans="1:26" ht="14" x14ac:dyDescent="0.15">
      <c r="A653" s="21"/>
      <c r="B653" s="21"/>
      <c r="C653" s="21"/>
      <c r="D653" s="21"/>
      <c r="E653" s="1"/>
      <c r="F653" s="1"/>
      <c r="G653" s="1"/>
      <c r="H653" s="1"/>
      <c r="I653" s="1"/>
      <c r="J653" s="1"/>
      <c r="K653" s="1"/>
      <c r="L653" s="1"/>
      <c r="M653" s="1"/>
      <c r="N653" s="1"/>
      <c r="O653" s="1"/>
      <c r="P653" s="1"/>
      <c r="Q653" s="1"/>
      <c r="R653" s="1"/>
      <c r="S653" s="1"/>
      <c r="T653" s="1"/>
      <c r="U653" s="1"/>
      <c r="V653" s="1"/>
      <c r="W653" s="1"/>
      <c r="X653" s="1"/>
      <c r="Y653" s="1"/>
      <c r="Z653" s="1"/>
    </row>
    <row r="654" spans="1:26" ht="14" x14ac:dyDescent="0.15">
      <c r="A654" s="21"/>
      <c r="B654" s="21"/>
      <c r="C654" s="21"/>
      <c r="D654" s="21"/>
      <c r="E654" s="1"/>
      <c r="F654" s="1"/>
      <c r="G654" s="1"/>
      <c r="H654" s="1"/>
      <c r="I654" s="1"/>
      <c r="J654" s="1"/>
      <c r="K654" s="1"/>
      <c r="L654" s="1"/>
      <c r="M654" s="1"/>
      <c r="N654" s="1"/>
      <c r="O654" s="1"/>
      <c r="P654" s="1"/>
      <c r="Q654" s="1"/>
      <c r="R654" s="1"/>
      <c r="S654" s="1"/>
      <c r="T654" s="1"/>
      <c r="U654" s="1"/>
      <c r="V654" s="1"/>
      <c r="W654" s="1"/>
      <c r="X654" s="1"/>
      <c r="Y654" s="1"/>
      <c r="Z654" s="1"/>
    </row>
    <row r="655" spans="1:26" ht="14" x14ac:dyDescent="0.15">
      <c r="A655" s="21"/>
      <c r="B655" s="21"/>
      <c r="C655" s="21"/>
      <c r="D655" s="21"/>
      <c r="E655" s="1"/>
      <c r="F655" s="1"/>
      <c r="G655" s="1"/>
      <c r="H655" s="1"/>
      <c r="I655" s="1"/>
      <c r="J655" s="1"/>
      <c r="K655" s="1"/>
      <c r="L655" s="1"/>
      <c r="M655" s="1"/>
      <c r="N655" s="1"/>
      <c r="O655" s="1"/>
      <c r="P655" s="1"/>
      <c r="Q655" s="1"/>
      <c r="R655" s="1"/>
      <c r="S655" s="1"/>
      <c r="T655" s="1"/>
      <c r="U655" s="1"/>
      <c r="V655" s="1"/>
      <c r="W655" s="1"/>
      <c r="X655" s="1"/>
      <c r="Y655" s="1"/>
      <c r="Z655" s="1"/>
    </row>
    <row r="656" spans="1:26" ht="14" x14ac:dyDescent="0.15">
      <c r="A656" s="21"/>
      <c r="B656" s="21"/>
      <c r="C656" s="21"/>
      <c r="D656" s="21"/>
      <c r="E656" s="1"/>
      <c r="F656" s="1"/>
      <c r="G656" s="1"/>
      <c r="H656" s="1"/>
      <c r="I656" s="1"/>
      <c r="J656" s="1"/>
      <c r="K656" s="1"/>
      <c r="L656" s="1"/>
      <c r="M656" s="1"/>
      <c r="N656" s="1"/>
      <c r="O656" s="1"/>
      <c r="P656" s="1"/>
      <c r="Q656" s="1"/>
      <c r="R656" s="1"/>
      <c r="S656" s="1"/>
      <c r="T656" s="1"/>
      <c r="U656" s="1"/>
      <c r="V656" s="1"/>
      <c r="W656" s="1"/>
      <c r="X656" s="1"/>
      <c r="Y656" s="1"/>
      <c r="Z656" s="1"/>
    </row>
    <row r="657" spans="1:26" ht="14" x14ac:dyDescent="0.15">
      <c r="A657" s="21"/>
      <c r="B657" s="21"/>
      <c r="C657" s="21"/>
      <c r="D657" s="21"/>
      <c r="E657" s="1"/>
      <c r="F657" s="1"/>
      <c r="G657" s="1"/>
      <c r="H657" s="1"/>
      <c r="I657" s="1"/>
      <c r="J657" s="1"/>
      <c r="K657" s="1"/>
      <c r="L657" s="1"/>
      <c r="M657" s="1"/>
      <c r="N657" s="1"/>
      <c r="O657" s="1"/>
      <c r="P657" s="1"/>
      <c r="Q657" s="1"/>
      <c r="R657" s="1"/>
      <c r="S657" s="1"/>
      <c r="T657" s="1"/>
      <c r="U657" s="1"/>
      <c r="V657" s="1"/>
      <c r="W657" s="1"/>
      <c r="X657" s="1"/>
      <c r="Y657" s="1"/>
      <c r="Z657" s="1"/>
    </row>
    <row r="658" spans="1:26" ht="14" x14ac:dyDescent="0.15">
      <c r="A658" s="21"/>
      <c r="B658" s="21"/>
      <c r="C658" s="21"/>
      <c r="D658" s="21"/>
      <c r="E658" s="1"/>
      <c r="F658" s="1"/>
      <c r="G658" s="1"/>
      <c r="H658" s="1"/>
      <c r="I658" s="1"/>
      <c r="J658" s="1"/>
      <c r="K658" s="1"/>
      <c r="L658" s="1"/>
      <c r="M658" s="1"/>
      <c r="N658" s="1"/>
      <c r="O658" s="1"/>
      <c r="P658" s="1"/>
      <c r="Q658" s="1"/>
      <c r="R658" s="1"/>
      <c r="S658" s="1"/>
      <c r="T658" s="1"/>
      <c r="U658" s="1"/>
      <c r="V658" s="1"/>
      <c r="W658" s="1"/>
      <c r="X658" s="1"/>
      <c r="Y658" s="1"/>
      <c r="Z658" s="1"/>
    </row>
    <row r="659" spans="1:26" ht="14" x14ac:dyDescent="0.15">
      <c r="A659" s="21"/>
      <c r="B659" s="21"/>
      <c r="C659" s="21"/>
      <c r="D659" s="21"/>
      <c r="E659" s="1"/>
      <c r="F659" s="1"/>
      <c r="G659" s="1"/>
      <c r="H659" s="1"/>
      <c r="I659" s="1"/>
      <c r="J659" s="1"/>
      <c r="K659" s="1"/>
      <c r="L659" s="1"/>
      <c r="M659" s="1"/>
      <c r="N659" s="1"/>
      <c r="O659" s="1"/>
      <c r="P659" s="1"/>
      <c r="Q659" s="1"/>
      <c r="R659" s="1"/>
      <c r="S659" s="1"/>
      <c r="T659" s="1"/>
      <c r="U659" s="1"/>
      <c r="V659" s="1"/>
      <c r="W659" s="1"/>
      <c r="X659" s="1"/>
      <c r="Y659" s="1"/>
      <c r="Z659" s="1"/>
    </row>
    <row r="660" spans="1:26" ht="14" x14ac:dyDescent="0.15">
      <c r="A660" s="21"/>
      <c r="B660" s="21"/>
      <c r="C660" s="21"/>
      <c r="D660" s="21"/>
      <c r="E660" s="1"/>
      <c r="F660" s="1"/>
      <c r="G660" s="1"/>
      <c r="H660" s="1"/>
      <c r="I660" s="1"/>
      <c r="J660" s="1"/>
      <c r="K660" s="1"/>
      <c r="L660" s="1"/>
      <c r="M660" s="1"/>
      <c r="N660" s="1"/>
      <c r="O660" s="1"/>
      <c r="P660" s="1"/>
      <c r="Q660" s="1"/>
      <c r="R660" s="1"/>
      <c r="S660" s="1"/>
      <c r="T660" s="1"/>
      <c r="U660" s="1"/>
      <c r="V660" s="1"/>
      <c r="W660" s="1"/>
      <c r="X660" s="1"/>
      <c r="Y660" s="1"/>
      <c r="Z660" s="1"/>
    </row>
    <row r="661" spans="1:26" ht="14" x14ac:dyDescent="0.15">
      <c r="A661" s="21"/>
      <c r="B661" s="21"/>
      <c r="C661" s="21"/>
      <c r="D661" s="21"/>
      <c r="E661" s="1"/>
      <c r="F661" s="1"/>
      <c r="G661" s="1"/>
      <c r="H661" s="1"/>
      <c r="I661" s="1"/>
      <c r="J661" s="1"/>
      <c r="K661" s="1"/>
      <c r="L661" s="1"/>
      <c r="M661" s="1"/>
      <c r="N661" s="1"/>
      <c r="O661" s="1"/>
      <c r="P661" s="1"/>
      <c r="Q661" s="1"/>
      <c r="R661" s="1"/>
      <c r="S661" s="1"/>
      <c r="T661" s="1"/>
      <c r="U661" s="1"/>
      <c r="V661" s="1"/>
      <c r="W661" s="1"/>
      <c r="X661" s="1"/>
      <c r="Y661" s="1"/>
      <c r="Z661" s="1"/>
    </row>
    <row r="662" spans="1:26" ht="14" x14ac:dyDescent="0.15">
      <c r="A662" s="21"/>
      <c r="B662" s="21"/>
      <c r="C662" s="21"/>
      <c r="D662" s="21"/>
      <c r="E662" s="1"/>
      <c r="F662" s="1"/>
      <c r="G662" s="1"/>
      <c r="H662" s="1"/>
      <c r="I662" s="1"/>
      <c r="J662" s="1"/>
      <c r="K662" s="1"/>
      <c r="L662" s="1"/>
      <c r="M662" s="1"/>
      <c r="N662" s="1"/>
      <c r="O662" s="1"/>
      <c r="P662" s="1"/>
      <c r="Q662" s="1"/>
      <c r="R662" s="1"/>
      <c r="S662" s="1"/>
      <c r="T662" s="1"/>
      <c r="U662" s="1"/>
      <c r="V662" s="1"/>
      <c r="W662" s="1"/>
      <c r="X662" s="1"/>
      <c r="Y662" s="1"/>
      <c r="Z662" s="1"/>
    </row>
    <row r="663" spans="1:26" ht="14" x14ac:dyDescent="0.15">
      <c r="A663" s="21"/>
      <c r="B663" s="21"/>
      <c r="C663" s="21"/>
      <c r="D663" s="21"/>
      <c r="E663" s="1"/>
      <c r="F663" s="1"/>
      <c r="G663" s="1"/>
      <c r="H663" s="1"/>
      <c r="I663" s="1"/>
      <c r="J663" s="1"/>
      <c r="K663" s="1"/>
      <c r="L663" s="1"/>
      <c r="M663" s="1"/>
      <c r="N663" s="1"/>
      <c r="O663" s="1"/>
      <c r="P663" s="1"/>
      <c r="Q663" s="1"/>
      <c r="R663" s="1"/>
      <c r="S663" s="1"/>
      <c r="T663" s="1"/>
      <c r="U663" s="1"/>
      <c r="V663" s="1"/>
      <c r="W663" s="1"/>
      <c r="X663" s="1"/>
      <c r="Y663" s="1"/>
      <c r="Z663" s="1"/>
    </row>
    <row r="664" spans="1:26" ht="14" x14ac:dyDescent="0.15">
      <c r="A664" s="21"/>
      <c r="B664" s="21"/>
      <c r="C664" s="21"/>
      <c r="D664" s="21"/>
      <c r="E664" s="1"/>
      <c r="F664" s="1"/>
      <c r="G664" s="1"/>
      <c r="H664" s="1"/>
      <c r="I664" s="1"/>
      <c r="J664" s="1"/>
      <c r="K664" s="1"/>
      <c r="L664" s="1"/>
      <c r="M664" s="1"/>
      <c r="N664" s="1"/>
      <c r="O664" s="1"/>
      <c r="P664" s="1"/>
      <c r="Q664" s="1"/>
      <c r="R664" s="1"/>
      <c r="S664" s="1"/>
      <c r="T664" s="1"/>
      <c r="U664" s="1"/>
      <c r="V664" s="1"/>
      <c r="W664" s="1"/>
      <c r="X664" s="1"/>
      <c r="Y664" s="1"/>
      <c r="Z664" s="1"/>
    </row>
    <row r="665" spans="1:26" ht="14" x14ac:dyDescent="0.15">
      <c r="A665" s="21"/>
      <c r="B665" s="21"/>
      <c r="C665" s="21"/>
      <c r="D665" s="21"/>
      <c r="E665" s="1"/>
      <c r="F665" s="1"/>
      <c r="G665" s="1"/>
      <c r="H665" s="1"/>
      <c r="I665" s="1"/>
      <c r="J665" s="1"/>
      <c r="K665" s="1"/>
      <c r="L665" s="1"/>
      <c r="M665" s="1"/>
      <c r="N665" s="1"/>
      <c r="O665" s="1"/>
      <c r="P665" s="1"/>
      <c r="Q665" s="1"/>
      <c r="R665" s="1"/>
      <c r="S665" s="1"/>
      <c r="T665" s="1"/>
      <c r="U665" s="1"/>
      <c r="V665" s="1"/>
      <c r="W665" s="1"/>
      <c r="X665" s="1"/>
      <c r="Y665" s="1"/>
      <c r="Z665" s="1"/>
    </row>
    <row r="666" spans="1:26" ht="14" x14ac:dyDescent="0.15">
      <c r="A666" s="21"/>
      <c r="B666" s="21"/>
      <c r="C666" s="21"/>
      <c r="D666" s="21"/>
      <c r="E666" s="1"/>
      <c r="F666" s="1"/>
      <c r="G666" s="1"/>
      <c r="H666" s="1"/>
      <c r="I666" s="1"/>
      <c r="J666" s="1"/>
      <c r="K666" s="1"/>
      <c r="L666" s="1"/>
      <c r="M666" s="1"/>
      <c r="N666" s="1"/>
      <c r="O666" s="1"/>
      <c r="P666" s="1"/>
      <c r="Q666" s="1"/>
      <c r="R666" s="1"/>
      <c r="S666" s="1"/>
      <c r="T666" s="1"/>
      <c r="U666" s="1"/>
      <c r="V666" s="1"/>
      <c r="W666" s="1"/>
      <c r="X666" s="1"/>
      <c r="Y666" s="1"/>
      <c r="Z666" s="1"/>
    </row>
    <row r="667" spans="1:26" ht="14" x14ac:dyDescent="0.15">
      <c r="A667" s="21"/>
      <c r="B667" s="21"/>
      <c r="C667" s="21"/>
      <c r="D667" s="21"/>
      <c r="E667" s="1"/>
      <c r="F667" s="1"/>
      <c r="G667" s="1"/>
      <c r="H667" s="1"/>
      <c r="I667" s="1"/>
      <c r="J667" s="1"/>
      <c r="K667" s="1"/>
      <c r="L667" s="1"/>
      <c r="M667" s="1"/>
      <c r="N667" s="1"/>
      <c r="O667" s="1"/>
      <c r="P667" s="1"/>
      <c r="Q667" s="1"/>
      <c r="R667" s="1"/>
      <c r="S667" s="1"/>
      <c r="T667" s="1"/>
      <c r="U667" s="1"/>
      <c r="V667" s="1"/>
      <c r="W667" s="1"/>
      <c r="X667" s="1"/>
      <c r="Y667" s="1"/>
      <c r="Z667" s="1"/>
    </row>
    <row r="668" spans="1:26" ht="14" x14ac:dyDescent="0.15">
      <c r="A668" s="21"/>
      <c r="B668" s="21"/>
      <c r="C668" s="21"/>
      <c r="D668" s="21"/>
      <c r="E668" s="1"/>
      <c r="F668" s="1"/>
      <c r="G668" s="1"/>
      <c r="H668" s="1"/>
      <c r="I668" s="1"/>
      <c r="J668" s="1"/>
      <c r="K668" s="1"/>
      <c r="L668" s="1"/>
      <c r="M668" s="1"/>
      <c r="N668" s="1"/>
      <c r="O668" s="1"/>
      <c r="P668" s="1"/>
      <c r="Q668" s="1"/>
      <c r="R668" s="1"/>
      <c r="S668" s="1"/>
      <c r="T668" s="1"/>
      <c r="U668" s="1"/>
      <c r="V668" s="1"/>
      <c r="W668" s="1"/>
      <c r="X668" s="1"/>
      <c r="Y668" s="1"/>
      <c r="Z668" s="1"/>
    </row>
    <row r="669" spans="1:26" ht="14" x14ac:dyDescent="0.15">
      <c r="A669" s="21"/>
      <c r="B669" s="21"/>
      <c r="C669" s="21"/>
      <c r="D669" s="21"/>
      <c r="E669" s="1"/>
      <c r="F669" s="1"/>
      <c r="G669" s="1"/>
      <c r="H669" s="1"/>
      <c r="I669" s="1"/>
      <c r="J669" s="1"/>
      <c r="K669" s="1"/>
      <c r="L669" s="1"/>
      <c r="M669" s="1"/>
      <c r="N669" s="1"/>
      <c r="O669" s="1"/>
      <c r="P669" s="1"/>
      <c r="Q669" s="1"/>
      <c r="R669" s="1"/>
      <c r="S669" s="1"/>
      <c r="T669" s="1"/>
      <c r="U669" s="1"/>
      <c r="V669" s="1"/>
      <c r="W669" s="1"/>
      <c r="X669" s="1"/>
      <c r="Y669" s="1"/>
      <c r="Z669" s="1"/>
    </row>
    <row r="670" spans="1:26" ht="14" x14ac:dyDescent="0.15">
      <c r="A670" s="21"/>
      <c r="B670" s="21"/>
      <c r="C670" s="21"/>
      <c r="D670" s="21"/>
      <c r="E670" s="1"/>
      <c r="F670" s="1"/>
      <c r="G670" s="1"/>
      <c r="H670" s="1"/>
      <c r="I670" s="1"/>
      <c r="J670" s="1"/>
      <c r="K670" s="1"/>
      <c r="L670" s="1"/>
      <c r="M670" s="1"/>
      <c r="N670" s="1"/>
      <c r="O670" s="1"/>
      <c r="P670" s="1"/>
      <c r="Q670" s="1"/>
      <c r="R670" s="1"/>
      <c r="S670" s="1"/>
      <c r="T670" s="1"/>
      <c r="U670" s="1"/>
      <c r="V670" s="1"/>
      <c r="W670" s="1"/>
      <c r="X670" s="1"/>
      <c r="Y670" s="1"/>
      <c r="Z670" s="1"/>
    </row>
    <row r="671" spans="1:26" ht="14" x14ac:dyDescent="0.15">
      <c r="A671" s="21"/>
      <c r="B671" s="21"/>
      <c r="C671" s="21"/>
      <c r="D671" s="21"/>
      <c r="E671" s="1"/>
      <c r="F671" s="1"/>
      <c r="G671" s="1"/>
      <c r="H671" s="1"/>
      <c r="I671" s="1"/>
      <c r="J671" s="1"/>
      <c r="K671" s="1"/>
      <c r="L671" s="1"/>
      <c r="M671" s="1"/>
      <c r="N671" s="1"/>
      <c r="O671" s="1"/>
      <c r="P671" s="1"/>
      <c r="Q671" s="1"/>
      <c r="R671" s="1"/>
      <c r="S671" s="1"/>
      <c r="T671" s="1"/>
      <c r="U671" s="1"/>
      <c r="V671" s="1"/>
      <c r="W671" s="1"/>
      <c r="X671" s="1"/>
      <c r="Y671" s="1"/>
      <c r="Z671" s="1"/>
    </row>
    <row r="672" spans="1:26" ht="14" x14ac:dyDescent="0.15">
      <c r="A672" s="21"/>
      <c r="B672" s="21"/>
      <c r="C672" s="21"/>
      <c r="D672" s="21"/>
      <c r="E672" s="1"/>
      <c r="F672" s="1"/>
      <c r="G672" s="1"/>
      <c r="H672" s="1"/>
      <c r="I672" s="1"/>
      <c r="J672" s="1"/>
      <c r="K672" s="1"/>
      <c r="L672" s="1"/>
      <c r="M672" s="1"/>
      <c r="N672" s="1"/>
      <c r="O672" s="1"/>
      <c r="P672" s="1"/>
      <c r="Q672" s="1"/>
      <c r="R672" s="1"/>
      <c r="S672" s="1"/>
      <c r="T672" s="1"/>
      <c r="U672" s="1"/>
      <c r="V672" s="1"/>
      <c r="W672" s="1"/>
      <c r="X672" s="1"/>
      <c r="Y672" s="1"/>
      <c r="Z672" s="1"/>
    </row>
    <row r="673" spans="1:26" ht="14" x14ac:dyDescent="0.15">
      <c r="A673" s="21"/>
      <c r="B673" s="21"/>
      <c r="C673" s="21"/>
      <c r="D673" s="21"/>
      <c r="E673" s="1"/>
      <c r="F673" s="1"/>
      <c r="G673" s="1"/>
      <c r="H673" s="1"/>
      <c r="I673" s="1"/>
      <c r="J673" s="1"/>
      <c r="K673" s="1"/>
      <c r="L673" s="1"/>
      <c r="M673" s="1"/>
      <c r="N673" s="1"/>
      <c r="O673" s="1"/>
      <c r="P673" s="1"/>
      <c r="Q673" s="1"/>
      <c r="R673" s="1"/>
      <c r="S673" s="1"/>
      <c r="T673" s="1"/>
      <c r="U673" s="1"/>
      <c r="V673" s="1"/>
      <c r="W673" s="1"/>
      <c r="X673" s="1"/>
      <c r="Y673" s="1"/>
      <c r="Z673" s="1"/>
    </row>
    <row r="674" spans="1:26" ht="14" x14ac:dyDescent="0.15">
      <c r="A674" s="21"/>
      <c r="B674" s="21"/>
      <c r="C674" s="21"/>
      <c r="D674" s="21"/>
      <c r="E674" s="1"/>
      <c r="F674" s="1"/>
      <c r="G674" s="1"/>
      <c r="H674" s="1"/>
      <c r="I674" s="1"/>
      <c r="J674" s="1"/>
      <c r="K674" s="1"/>
      <c r="L674" s="1"/>
      <c r="M674" s="1"/>
      <c r="N674" s="1"/>
      <c r="O674" s="1"/>
      <c r="P674" s="1"/>
      <c r="Q674" s="1"/>
      <c r="R674" s="1"/>
      <c r="S674" s="1"/>
      <c r="T674" s="1"/>
      <c r="U674" s="1"/>
      <c r="V674" s="1"/>
      <c r="W674" s="1"/>
      <c r="X674" s="1"/>
      <c r="Y674" s="1"/>
      <c r="Z674" s="1"/>
    </row>
    <row r="675" spans="1:26" ht="14" x14ac:dyDescent="0.15">
      <c r="A675" s="21"/>
      <c r="B675" s="21"/>
      <c r="C675" s="21"/>
      <c r="D675" s="21"/>
      <c r="E675" s="1"/>
      <c r="F675" s="1"/>
      <c r="G675" s="1"/>
      <c r="H675" s="1"/>
      <c r="I675" s="1"/>
      <c r="J675" s="1"/>
      <c r="K675" s="1"/>
      <c r="L675" s="1"/>
      <c r="M675" s="1"/>
      <c r="N675" s="1"/>
      <c r="O675" s="1"/>
      <c r="P675" s="1"/>
      <c r="Q675" s="1"/>
      <c r="R675" s="1"/>
      <c r="S675" s="1"/>
      <c r="T675" s="1"/>
      <c r="U675" s="1"/>
      <c r="V675" s="1"/>
      <c r="W675" s="1"/>
      <c r="X675" s="1"/>
      <c r="Y675" s="1"/>
      <c r="Z675" s="1"/>
    </row>
    <row r="676" spans="1:26" ht="14" x14ac:dyDescent="0.15">
      <c r="A676" s="21"/>
      <c r="B676" s="21"/>
      <c r="C676" s="21"/>
      <c r="D676" s="21"/>
      <c r="E676" s="1"/>
      <c r="F676" s="1"/>
      <c r="G676" s="1"/>
      <c r="H676" s="1"/>
      <c r="I676" s="1"/>
      <c r="J676" s="1"/>
      <c r="K676" s="1"/>
      <c r="L676" s="1"/>
      <c r="M676" s="1"/>
      <c r="N676" s="1"/>
      <c r="O676" s="1"/>
      <c r="P676" s="1"/>
      <c r="Q676" s="1"/>
      <c r="R676" s="1"/>
      <c r="S676" s="1"/>
      <c r="T676" s="1"/>
      <c r="U676" s="1"/>
      <c r="V676" s="1"/>
      <c r="W676" s="1"/>
      <c r="X676" s="1"/>
      <c r="Y676" s="1"/>
      <c r="Z676" s="1"/>
    </row>
    <row r="677" spans="1:26" ht="14" x14ac:dyDescent="0.15">
      <c r="A677" s="21"/>
      <c r="B677" s="21"/>
      <c r="C677" s="21"/>
      <c r="D677" s="21"/>
      <c r="E677" s="1"/>
      <c r="F677" s="1"/>
      <c r="G677" s="1"/>
      <c r="H677" s="1"/>
      <c r="I677" s="1"/>
      <c r="J677" s="1"/>
      <c r="K677" s="1"/>
      <c r="L677" s="1"/>
      <c r="M677" s="1"/>
      <c r="N677" s="1"/>
      <c r="O677" s="1"/>
      <c r="P677" s="1"/>
      <c r="Q677" s="1"/>
      <c r="R677" s="1"/>
      <c r="S677" s="1"/>
      <c r="T677" s="1"/>
      <c r="U677" s="1"/>
      <c r="V677" s="1"/>
      <c r="W677" s="1"/>
      <c r="X677" s="1"/>
      <c r="Y677" s="1"/>
      <c r="Z677" s="1"/>
    </row>
    <row r="678" spans="1:26" ht="14" x14ac:dyDescent="0.15">
      <c r="A678" s="21"/>
      <c r="B678" s="21"/>
      <c r="C678" s="21"/>
      <c r="D678" s="21"/>
      <c r="E678" s="1"/>
      <c r="F678" s="1"/>
      <c r="G678" s="1"/>
      <c r="H678" s="1"/>
      <c r="I678" s="1"/>
      <c r="J678" s="1"/>
      <c r="K678" s="1"/>
      <c r="L678" s="1"/>
      <c r="M678" s="1"/>
      <c r="N678" s="1"/>
      <c r="O678" s="1"/>
      <c r="P678" s="1"/>
      <c r="Q678" s="1"/>
      <c r="R678" s="1"/>
      <c r="S678" s="1"/>
      <c r="T678" s="1"/>
      <c r="U678" s="1"/>
      <c r="V678" s="1"/>
      <c r="W678" s="1"/>
      <c r="X678" s="1"/>
      <c r="Y678" s="1"/>
      <c r="Z678" s="1"/>
    </row>
    <row r="679" spans="1:26" ht="14" x14ac:dyDescent="0.15">
      <c r="A679" s="21"/>
      <c r="B679" s="21"/>
      <c r="C679" s="21"/>
      <c r="D679" s="21"/>
      <c r="E679" s="1"/>
      <c r="F679" s="1"/>
      <c r="G679" s="1"/>
      <c r="H679" s="1"/>
      <c r="I679" s="1"/>
      <c r="J679" s="1"/>
      <c r="K679" s="1"/>
      <c r="L679" s="1"/>
      <c r="M679" s="1"/>
      <c r="N679" s="1"/>
      <c r="O679" s="1"/>
      <c r="P679" s="1"/>
      <c r="Q679" s="1"/>
      <c r="R679" s="1"/>
      <c r="S679" s="1"/>
      <c r="T679" s="1"/>
      <c r="U679" s="1"/>
      <c r="V679" s="1"/>
      <c r="W679" s="1"/>
      <c r="X679" s="1"/>
      <c r="Y679" s="1"/>
      <c r="Z679" s="1"/>
    </row>
    <row r="680" spans="1:26" ht="14" x14ac:dyDescent="0.15">
      <c r="A680" s="21"/>
      <c r="B680" s="21"/>
      <c r="C680" s="21"/>
      <c r="D680" s="21"/>
      <c r="E680" s="1"/>
      <c r="F680" s="1"/>
      <c r="G680" s="1"/>
      <c r="H680" s="1"/>
      <c r="I680" s="1"/>
      <c r="J680" s="1"/>
      <c r="K680" s="1"/>
      <c r="L680" s="1"/>
      <c r="M680" s="1"/>
      <c r="N680" s="1"/>
      <c r="O680" s="1"/>
      <c r="P680" s="1"/>
      <c r="Q680" s="1"/>
      <c r="R680" s="1"/>
      <c r="S680" s="1"/>
      <c r="T680" s="1"/>
      <c r="U680" s="1"/>
      <c r="V680" s="1"/>
      <c r="W680" s="1"/>
      <c r="X680" s="1"/>
      <c r="Y680" s="1"/>
      <c r="Z680" s="1"/>
    </row>
    <row r="681" spans="1:26" ht="14" x14ac:dyDescent="0.15">
      <c r="A681" s="21"/>
      <c r="B681" s="21"/>
      <c r="C681" s="21"/>
      <c r="D681" s="21"/>
      <c r="E681" s="1"/>
      <c r="F681" s="1"/>
      <c r="G681" s="1"/>
      <c r="H681" s="1"/>
      <c r="I681" s="1"/>
      <c r="J681" s="1"/>
      <c r="K681" s="1"/>
      <c r="L681" s="1"/>
      <c r="M681" s="1"/>
      <c r="N681" s="1"/>
      <c r="O681" s="1"/>
      <c r="P681" s="1"/>
      <c r="Q681" s="1"/>
      <c r="R681" s="1"/>
      <c r="S681" s="1"/>
      <c r="T681" s="1"/>
      <c r="U681" s="1"/>
      <c r="V681" s="1"/>
      <c r="W681" s="1"/>
      <c r="X681" s="1"/>
      <c r="Y681" s="1"/>
      <c r="Z681" s="1"/>
    </row>
    <row r="682" spans="1:26" ht="14" x14ac:dyDescent="0.15">
      <c r="A682" s="21"/>
      <c r="B682" s="21"/>
      <c r="C682" s="21"/>
      <c r="D682" s="21"/>
      <c r="E682" s="1"/>
      <c r="F682" s="1"/>
      <c r="G682" s="1"/>
      <c r="H682" s="1"/>
      <c r="I682" s="1"/>
      <c r="J682" s="1"/>
      <c r="K682" s="1"/>
      <c r="L682" s="1"/>
      <c r="M682" s="1"/>
      <c r="N682" s="1"/>
      <c r="O682" s="1"/>
      <c r="P682" s="1"/>
      <c r="Q682" s="1"/>
      <c r="R682" s="1"/>
      <c r="S682" s="1"/>
      <c r="T682" s="1"/>
      <c r="U682" s="1"/>
      <c r="V682" s="1"/>
      <c r="W682" s="1"/>
      <c r="X682" s="1"/>
      <c r="Y682" s="1"/>
      <c r="Z682" s="1"/>
    </row>
    <row r="683" spans="1:26" ht="14" x14ac:dyDescent="0.15">
      <c r="A683" s="21"/>
      <c r="B683" s="21"/>
      <c r="C683" s="21"/>
      <c r="D683" s="21"/>
      <c r="E683" s="1"/>
      <c r="F683" s="1"/>
      <c r="G683" s="1"/>
      <c r="H683" s="1"/>
      <c r="I683" s="1"/>
      <c r="J683" s="1"/>
      <c r="K683" s="1"/>
      <c r="L683" s="1"/>
      <c r="M683" s="1"/>
      <c r="N683" s="1"/>
      <c r="O683" s="1"/>
      <c r="P683" s="1"/>
      <c r="Q683" s="1"/>
      <c r="R683" s="1"/>
      <c r="S683" s="1"/>
      <c r="T683" s="1"/>
      <c r="U683" s="1"/>
      <c r="V683" s="1"/>
      <c r="W683" s="1"/>
      <c r="X683" s="1"/>
      <c r="Y683" s="1"/>
      <c r="Z683" s="1"/>
    </row>
    <row r="684" spans="1:26" ht="14" x14ac:dyDescent="0.15">
      <c r="A684" s="21"/>
      <c r="B684" s="21"/>
      <c r="C684" s="21"/>
      <c r="D684" s="21"/>
      <c r="E684" s="1"/>
      <c r="F684" s="1"/>
      <c r="G684" s="1"/>
      <c r="H684" s="1"/>
      <c r="I684" s="1"/>
      <c r="J684" s="1"/>
      <c r="K684" s="1"/>
      <c r="L684" s="1"/>
      <c r="M684" s="1"/>
      <c r="N684" s="1"/>
      <c r="O684" s="1"/>
      <c r="P684" s="1"/>
      <c r="Q684" s="1"/>
      <c r="R684" s="1"/>
      <c r="S684" s="1"/>
      <c r="T684" s="1"/>
      <c r="U684" s="1"/>
      <c r="V684" s="1"/>
      <c r="W684" s="1"/>
      <c r="X684" s="1"/>
      <c r="Y684" s="1"/>
      <c r="Z684" s="1"/>
    </row>
    <row r="685" spans="1:26" ht="14" x14ac:dyDescent="0.15">
      <c r="A685" s="21"/>
      <c r="B685" s="21"/>
      <c r="C685" s="21"/>
      <c r="D685" s="21"/>
      <c r="E685" s="1"/>
      <c r="F685" s="1"/>
      <c r="G685" s="1"/>
      <c r="H685" s="1"/>
      <c r="I685" s="1"/>
      <c r="J685" s="1"/>
      <c r="K685" s="1"/>
      <c r="L685" s="1"/>
      <c r="M685" s="1"/>
      <c r="N685" s="1"/>
      <c r="O685" s="1"/>
      <c r="P685" s="1"/>
      <c r="Q685" s="1"/>
      <c r="R685" s="1"/>
      <c r="S685" s="1"/>
      <c r="T685" s="1"/>
      <c r="U685" s="1"/>
      <c r="V685" s="1"/>
      <c r="W685" s="1"/>
      <c r="X685" s="1"/>
      <c r="Y685" s="1"/>
      <c r="Z685" s="1"/>
    </row>
    <row r="686" spans="1:26" ht="14" x14ac:dyDescent="0.15">
      <c r="A686" s="21"/>
      <c r="B686" s="21"/>
      <c r="C686" s="21"/>
      <c r="D686" s="21"/>
      <c r="E686" s="1"/>
      <c r="F686" s="1"/>
      <c r="G686" s="1"/>
      <c r="H686" s="1"/>
      <c r="I686" s="1"/>
      <c r="J686" s="1"/>
      <c r="K686" s="1"/>
      <c r="L686" s="1"/>
      <c r="M686" s="1"/>
      <c r="N686" s="1"/>
      <c r="O686" s="1"/>
      <c r="P686" s="1"/>
      <c r="Q686" s="1"/>
      <c r="R686" s="1"/>
      <c r="S686" s="1"/>
      <c r="T686" s="1"/>
      <c r="U686" s="1"/>
      <c r="V686" s="1"/>
      <c r="W686" s="1"/>
      <c r="X686" s="1"/>
      <c r="Y686" s="1"/>
      <c r="Z686" s="1"/>
    </row>
    <row r="687" spans="1:26" ht="14" x14ac:dyDescent="0.15">
      <c r="A687" s="21"/>
      <c r="B687" s="21"/>
      <c r="C687" s="21"/>
      <c r="D687" s="21"/>
      <c r="E687" s="1"/>
      <c r="F687" s="1"/>
      <c r="G687" s="1"/>
      <c r="H687" s="1"/>
      <c r="I687" s="1"/>
      <c r="J687" s="1"/>
      <c r="K687" s="1"/>
      <c r="L687" s="1"/>
      <c r="M687" s="1"/>
      <c r="N687" s="1"/>
      <c r="O687" s="1"/>
      <c r="P687" s="1"/>
      <c r="Q687" s="1"/>
      <c r="R687" s="1"/>
      <c r="S687" s="1"/>
      <c r="T687" s="1"/>
      <c r="U687" s="1"/>
      <c r="V687" s="1"/>
      <c r="W687" s="1"/>
      <c r="X687" s="1"/>
      <c r="Y687" s="1"/>
      <c r="Z687" s="1"/>
    </row>
    <row r="688" spans="1:26" ht="14" x14ac:dyDescent="0.15">
      <c r="A688" s="21"/>
      <c r="B688" s="21"/>
      <c r="C688" s="21"/>
      <c r="D688" s="21"/>
      <c r="E688" s="1"/>
      <c r="F688" s="1"/>
      <c r="G688" s="1"/>
      <c r="H688" s="1"/>
      <c r="I688" s="1"/>
      <c r="J688" s="1"/>
      <c r="K688" s="1"/>
      <c r="L688" s="1"/>
      <c r="M688" s="1"/>
      <c r="N688" s="1"/>
      <c r="O688" s="1"/>
      <c r="P688" s="1"/>
      <c r="Q688" s="1"/>
      <c r="R688" s="1"/>
      <c r="S688" s="1"/>
      <c r="T688" s="1"/>
      <c r="U688" s="1"/>
      <c r="V688" s="1"/>
      <c r="W688" s="1"/>
      <c r="X688" s="1"/>
      <c r="Y688" s="1"/>
      <c r="Z688" s="1"/>
    </row>
    <row r="689" spans="1:26" ht="14" x14ac:dyDescent="0.15">
      <c r="A689" s="21"/>
      <c r="B689" s="21"/>
      <c r="C689" s="21"/>
      <c r="D689" s="21"/>
      <c r="E689" s="1"/>
      <c r="F689" s="1"/>
      <c r="G689" s="1"/>
      <c r="H689" s="1"/>
      <c r="I689" s="1"/>
      <c r="J689" s="1"/>
      <c r="K689" s="1"/>
      <c r="L689" s="1"/>
      <c r="M689" s="1"/>
      <c r="N689" s="1"/>
      <c r="O689" s="1"/>
      <c r="P689" s="1"/>
      <c r="Q689" s="1"/>
      <c r="R689" s="1"/>
      <c r="S689" s="1"/>
      <c r="T689" s="1"/>
      <c r="U689" s="1"/>
      <c r="V689" s="1"/>
      <c r="W689" s="1"/>
      <c r="X689" s="1"/>
      <c r="Y689" s="1"/>
      <c r="Z689" s="1"/>
    </row>
    <row r="690" spans="1:26" ht="14" x14ac:dyDescent="0.15">
      <c r="A690" s="21"/>
      <c r="B690" s="21"/>
      <c r="C690" s="21"/>
      <c r="D690" s="21"/>
      <c r="E690" s="1"/>
      <c r="F690" s="1"/>
      <c r="G690" s="1"/>
      <c r="H690" s="1"/>
      <c r="I690" s="1"/>
      <c r="J690" s="1"/>
      <c r="K690" s="1"/>
      <c r="L690" s="1"/>
      <c r="M690" s="1"/>
      <c r="N690" s="1"/>
      <c r="O690" s="1"/>
      <c r="P690" s="1"/>
      <c r="Q690" s="1"/>
      <c r="R690" s="1"/>
      <c r="S690" s="1"/>
      <c r="T690" s="1"/>
      <c r="U690" s="1"/>
      <c r="V690" s="1"/>
      <c r="W690" s="1"/>
      <c r="X690" s="1"/>
      <c r="Y690" s="1"/>
      <c r="Z690" s="1"/>
    </row>
    <row r="691" spans="1:26" ht="14" x14ac:dyDescent="0.15">
      <c r="A691" s="21"/>
      <c r="B691" s="21"/>
      <c r="C691" s="21"/>
      <c r="D691" s="21"/>
      <c r="E691" s="1"/>
      <c r="F691" s="1"/>
      <c r="G691" s="1"/>
      <c r="H691" s="1"/>
      <c r="I691" s="1"/>
      <c r="J691" s="1"/>
      <c r="K691" s="1"/>
      <c r="L691" s="1"/>
      <c r="M691" s="1"/>
      <c r="N691" s="1"/>
      <c r="O691" s="1"/>
      <c r="P691" s="1"/>
      <c r="Q691" s="1"/>
      <c r="R691" s="1"/>
      <c r="S691" s="1"/>
      <c r="T691" s="1"/>
      <c r="U691" s="1"/>
      <c r="V691" s="1"/>
      <c r="W691" s="1"/>
      <c r="X691" s="1"/>
      <c r="Y691" s="1"/>
      <c r="Z691" s="1"/>
    </row>
    <row r="692" spans="1:26" ht="14" x14ac:dyDescent="0.15">
      <c r="A692" s="21"/>
      <c r="B692" s="21"/>
      <c r="C692" s="21"/>
      <c r="D692" s="21"/>
      <c r="E692" s="1"/>
      <c r="F692" s="1"/>
      <c r="G692" s="1"/>
      <c r="H692" s="1"/>
      <c r="I692" s="1"/>
      <c r="J692" s="1"/>
      <c r="K692" s="1"/>
      <c r="L692" s="1"/>
      <c r="M692" s="1"/>
      <c r="N692" s="1"/>
      <c r="O692" s="1"/>
      <c r="P692" s="1"/>
      <c r="Q692" s="1"/>
      <c r="R692" s="1"/>
      <c r="S692" s="1"/>
      <c r="T692" s="1"/>
      <c r="U692" s="1"/>
      <c r="V692" s="1"/>
      <c r="W692" s="1"/>
      <c r="X692" s="1"/>
      <c r="Y692" s="1"/>
      <c r="Z692" s="1"/>
    </row>
    <row r="693" spans="1:26" ht="14" x14ac:dyDescent="0.15">
      <c r="A693" s="21"/>
      <c r="B693" s="21"/>
      <c r="C693" s="21"/>
      <c r="D693" s="21"/>
      <c r="E693" s="1"/>
      <c r="F693" s="1"/>
      <c r="G693" s="1"/>
      <c r="H693" s="1"/>
      <c r="I693" s="1"/>
      <c r="J693" s="1"/>
      <c r="K693" s="1"/>
      <c r="L693" s="1"/>
      <c r="M693" s="1"/>
      <c r="N693" s="1"/>
      <c r="O693" s="1"/>
      <c r="P693" s="1"/>
      <c r="Q693" s="1"/>
      <c r="R693" s="1"/>
      <c r="S693" s="1"/>
      <c r="T693" s="1"/>
      <c r="U693" s="1"/>
      <c r="V693" s="1"/>
      <c r="W693" s="1"/>
      <c r="X693" s="1"/>
      <c r="Y693" s="1"/>
      <c r="Z693" s="1"/>
    </row>
    <row r="694" spans="1:26" ht="14" x14ac:dyDescent="0.15">
      <c r="A694" s="21"/>
      <c r="B694" s="21"/>
      <c r="C694" s="21"/>
      <c r="D694" s="21"/>
      <c r="E694" s="1"/>
      <c r="F694" s="1"/>
      <c r="G694" s="1"/>
      <c r="H694" s="1"/>
      <c r="I694" s="1"/>
      <c r="J694" s="1"/>
      <c r="K694" s="1"/>
      <c r="L694" s="1"/>
      <c r="M694" s="1"/>
      <c r="N694" s="1"/>
      <c r="O694" s="1"/>
      <c r="P694" s="1"/>
      <c r="Q694" s="1"/>
      <c r="R694" s="1"/>
      <c r="S694" s="1"/>
      <c r="T694" s="1"/>
      <c r="U694" s="1"/>
      <c r="V694" s="1"/>
      <c r="W694" s="1"/>
      <c r="X694" s="1"/>
      <c r="Y694" s="1"/>
      <c r="Z694" s="1"/>
    </row>
    <row r="695" spans="1:26" ht="14" x14ac:dyDescent="0.15">
      <c r="A695" s="21"/>
      <c r="B695" s="21"/>
      <c r="C695" s="21"/>
      <c r="D695" s="21"/>
      <c r="E695" s="1"/>
      <c r="F695" s="1"/>
      <c r="G695" s="1"/>
      <c r="H695" s="1"/>
      <c r="I695" s="1"/>
      <c r="J695" s="1"/>
      <c r="K695" s="1"/>
      <c r="L695" s="1"/>
      <c r="M695" s="1"/>
      <c r="N695" s="1"/>
      <c r="O695" s="1"/>
      <c r="P695" s="1"/>
      <c r="Q695" s="1"/>
      <c r="R695" s="1"/>
      <c r="S695" s="1"/>
      <c r="T695" s="1"/>
      <c r="U695" s="1"/>
      <c r="V695" s="1"/>
      <c r="W695" s="1"/>
      <c r="X695" s="1"/>
      <c r="Y695" s="1"/>
      <c r="Z695" s="1"/>
    </row>
    <row r="696" spans="1:26" ht="14" x14ac:dyDescent="0.15">
      <c r="A696" s="21"/>
      <c r="B696" s="21"/>
      <c r="C696" s="21"/>
      <c r="D696" s="21"/>
      <c r="E696" s="1"/>
      <c r="F696" s="1"/>
      <c r="G696" s="1"/>
      <c r="H696" s="1"/>
      <c r="I696" s="1"/>
      <c r="J696" s="1"/>
      <c r="K696" s="1"/>
      <c r="L696" s="1"/>
      <c r="M696" s="1"/>
      <c r="N696" s="1"/>
      <c r="O696" s="1"/>
      <c r="P696" s="1"/>
      <c r="Q696" s="1"/>
      <c r="R696" s="1"/>
      <c r="S696" s="1"/>
      <c r="T696" s="1"/>
      <c r="U696" s="1"/>
      <c r="V696" s="1"/>
      <c r="W696" s="1"/>
      <c r="X696" s="1"/>
      <c r="Y696" s="1"/>
      <c r="Z696" s="1"/>
    </row>
    <row r="697" spans="1:26" ht="14" x14ac:dyDescent="0.15">
      <c r="A697" s="21"/>
      <c r="B697" s="21"/>
      <c r="C697" s="21"/>
      <c r="D697" s="21"/>
      <c r="E697" s="1"/>
      <c r="F697" s="1"/>
      <c r="G697" s="1"/>
      <c r="H697" s="1"/>
      <c r="I697" s="1"/>
      <c r="J697" s="1"/>
      <c r="K697" s="1"/>
      <c r="L697" s="1"/>
      <c r="M697" s="1"/>
      <c r="N697" s="1"/>
      <c r="O697" s="1"/>
      <c r="P697" s="1"/>
      <c r="Q697" s="1"/>
      <c r="R697" s="1"/>
      <c r="S697" s="1"/>
      <c r="T697" s="1"/>
      <c r="U697" s="1"/>
      <c r="V697" s="1"/>
      <c r="W697" s="1"/>
      <c r="X697" s="1"/>
      <c r="Y697" s="1"/>
      <c r="Z697" s="1"/>
    </row>
    <row r="698" spans="1:26" ht="14" x14ac:dyDescent="0.15">
      <c r="A698" s="21"/>
      <c r="B698" s="21"/>
      <c r="C698" s="21"/>
      <c r="D698" s="21"/>
      <c r="E698" s="1"/>
      <c r="F698" s="1"/>
      <c r="G698" s="1"/>
      <c r="H698" s="1"/>
      <c r="I698" s="1"/>
      <c r="J698" s="1"/>
      <c r="K698" s="1"/>
      <c r="L698" s="1"/>
      <c r="M698" s="1"/>
      <c r="N698" s="1"/>
      <c r="O698" s="1"/>
      <c r="P698" s="1"/>
      <c r="Q698" s="1"/>
      <c r="R698" s="1"/>
      <c r="S698" s="1"/>
      <c r="T698" s="1"/>
      <c r="U698" s="1"/>
      <c r="V698" s="1"/>
      <c r="W698" s="1"/>
      <c r="X698" s="1"/>
      <c r="Y698" s="1"/>
      <c r="Z698" s="1"/>
    </row>
    <row r="699" spans="1:26" ht="14" x14ac:dyDescent="0.15">
      <c r="A699" s="21"/>
      <c r="B699" s="21"/>
      <c r="C699" s="21"/>
      <c r="D699" s="21"/>
      <c r="E699" s="1"/>
      <c r="F699" s="1"/>
      <c r="G699" s="1"/>
      <c r="H699" s="1"/>
      <c r="I699" s="1"/>
      <c r="J699" s="1"/>
      <c r="K699" s="1"/>
      <c r="L699" s="1"/>
      <c r="M699" s="1"/>
      <c r="N699" s="1"/>
      <c r="O699" s="1"/>
      <c r="P699" s="1"/>
      <c r="Q699" s="1"/>
      <c r="R699" s="1"/>
      <c r="S699" s="1"/>
      <c r="T699" s="1"/>
      <c r="U699" s="1"/>
      <c r="V699" s="1"/>
      <c r="W699" s="1"/>
      <c r="X699" s="1"/>
      <c r="Y699" s="1"/>
      <c r="Z699" s="1"/>
    </row>
    <row r="700" spans="1:26" ht="14" x14ac:dyDescent="0.15">
      <c r="A700" s="21"/>
      <c r="B700" s="21"/>
      <c r="C700" s="21"/>
      <c r="D700" s="21"/>
      <c r="E700" s="1"/>
      <c r="F700" s="1"/>
      <c r="G700" s="1"/>
      <c r="H700" s="1"/>
      <c r="I700" s="1"/>
      <c r="J700" s="1"/>
      <c r="K700" s="1"/>
      <c r="L700" s="1"/>
      <c r="M700" s="1"/>
      <c r="N700" s="1"/>
      <c r="O700" s="1"/>
      <c r="P700" s="1"/>
      <c r="Q700" s="1"/>
      <c r="R700" s="1"/>
      <c r="S700" s="1"/>
      <c r="T700" s="1"/>
      <c r="U700" s="1"/>
      <c r="V700" s="1"/>
      <c r="W700" s="1"/>
      <c r="X700" s="1"/>
      <c r="Y700" s="1"/>
      <c r="Z700" s="1"/>
    </row>
    <row r="701" spans="1:26" ht="14" x14ac:dyDescent="0.15">
      <c r="A701" s="21"/>
      <c r="B701" s="21"/>
      <c r="C701" s="21"/>
      <c r="D701" s="21"/>
      <c r="E701" s="1"/>
      <c r="F701" s="1"/>
      <c r="G701" s="1"/>
      <c r="H701" s="1"/>
      <c r="I701" s="1"/>
      <c r="J701" s="1"/>
      <c r="K701" s="1"/>
      <c r="L701" s="1"/>
      <c r="M701" s="1"/>
      <c r="N701" s="1"/>
      <c r="O701" s="1"/>
      <c r="P701" s="1"/>
      <c r="Q701" s="1"/>
      <c r="R701" s="1"/>
      <c r="S701" s="1"/>
      <c r="T701" s="1"/>
      <c r="U701" s="1"/>
      <c r="V701" s="1"/>
      <c r="W701" s="1"/>
      <c r="X701" s="1"/>
      <c r="Y701" s="1"/>
      <c r="Z701" s="1"/>
    </row>
    <row r="702" spans="1:26" ht="14" x14ac:dyDescent="0.15">
      <c r="A702" s="21"/>
      <c r="B702" s="21"/>
      <c r="C702" s="21"/>
      <c r="D702" s="21"/>
      <c r="E702" s="1"/>
      <c r="F702" s="1"/>
      <c r="G702" s="1"/>
      <c r="H702" s="1"/>
      <c r="I702" s="1"/>
      <c r="J702" s="1"/>
      <c r="K702" s="1"/>
      <c r="L702" s="1"/>
      <c r="M702" s="1"/>
      <c r="N702" s="1"/>
      <c r="O702" s="1"/>
      <c r="P702" s="1"/>
      <c r="Q702" s="1"/>
      <c r="R702" s="1"/>
      <c r="S702" s="1"/>
      <c r="T702" s="1"/>
      <c r="U702" s="1"/>
      <c r="V702" s="1"/>
      <c r="W702" s="1"/>
      <c r="X702" s="1"/>
      <c r="Y702" s="1"/>
      <c r="Z702" s="1"/>
    </row>
    <row r="703" spans="1:26" ht="14" x14ac:dyDescent="0.15">
      <c r="A703" s="21"/>
      <c r="B703" s="21"/>
      <c r="C703" s="21"/>
      <c r="D703" s="21"/>
      <c r="E703" s="1"/>
      <c r="F703" s="1"/>
      <c r="G703" s="1"/>
      <c r="H703" s="1"/>
      <c r="I703" s="1"/>
      <c r="J703" s="1"/>
      <c r="K703" s="1"/>
      <c r="L703" s="1"/>
      <c r="M703" s="1"/>
      <c r="N703" s="1"/>
      <c r="O703" s="1"/>
      <c r="P703" s="1"/>
      <c r="Q703" s="1"/>
      <c r="R703" s="1"/>
      <c r="S703" s="1"/>
      <c r="T703" s="1"/>
      <c r="U703" s="1"/>
      <c r="V703" s="1"/>
      <c r="W703" s="1"/>
      <c r="X703" s="1"/>
      <c r="Y703" s="1"/>
      <c r="Z703" s="1"/>
    </row>
    <row r="704" spans="1:26" ht="14" x14ac:dyDescent="0.15">
      <c r="A704" s="21"/>
      <c r="B704" s="21"/>
      <c r="C704" s="21"/>
      <c r="D704" s="21"/>
      <c r="E704" s="1"/>
      <c r="F704" s="1"/>
      <c r="G704" s="1"/>
      <c r="H704" s="1"/>
      <c r="I704" s="1"/>
      <c r="J704" s="1"/>
      <c r="K704" s="1"/>
      <c r="L704" s="1"/>
      <c r="M704" s="1"/>
      <c r="N704" s="1"/>
      <c r="O704" s="1"/>
      <c r="P704" s="1"/>
      <c r="Q704" s="1"/>
      <c r="R704" s="1"/>
      <c r="S704" s="1"/>
      <c r="T704" s="1"/>
      <c r="U704" s="1"/>
      <c r="V704" s="1"/>
      <c r="W704" s="1"/>
      <c r="X704" s="1"/>
      <c r="Y704" s="1"/>
      <c r="Z704" s="1"/>
    </row>
    <row r="705" spans="1:26" ht="14" x14ac:dyDescent="0.15">
      <c r="A705" s="21"/>
      <c r="B705" s="21"/>
      <c r="C705" s="21"/>
      <c r="D705" s="21"/>
      <c r="E705" s="1"/>
      <c r="F705" s="1"/>
      <c r="G705" s="1"/>
      <c r="H705" s="1"/>
      <c r="I705" s="1"/>
      <c r="J705" s="1"/>
      <c r="K705" s="1"/>
      <c r="L705" s="1"/>
      <c r="M705" s="1"/>
      <c r="N705" s="1"/>
      <c r="O705" s="1"/>
      <c r="P705" s="1"/>
      <c r="Q705" s="1"/>
      <c r="R705" s="1"/>
      <c r="S705" s="1"/>
      <c r="T705" s="1"/>
      <c r="U705" s="1"/>
      <c r="V705" s="1"/>
      <c r="W705" s="1"/>
      <c r="X705" s="1"/>
      <c r="Y705" s="1"/>
      <c r="Z705" s="1"/>
    </row>
    <row r="706" spans="1:26" ht="14" x14ac:dyDescent="0.15">
      <c r="A706" s="21"/>
      <c r="B706" s="21"/>
      <c r="C706" s="21"/>
      <c r="D706" s="21"/>
      <c r="E706" s="1"/>
      <c r="F706" s="1"/>
      <c r="G706" s="1"/>
      <c r="H706" s="1"/>
      <c r="I706" s="1"/>
      <c r="J706" s="1"/>
      <c r="K706" s="1"/>
      <c r="L706" s="1"/>
      <c r="M706" s="1"/>
      <c r="N706" s="1"/>
      <c r="O706" s="1"/>
      <c r="P706" s="1"/>
      <c r="Q706" s="1"/>
      <c r="R706" s="1"/>
      <c r="S706" s="1"/>
      <c r="T706" s="1"/>
      <c r="U706" s="1"/>
      <c r="V706" s="1"/>
      <c r="W706" s="1"/>
      <c r="X706" s="1"/>
      <c r="Y706" s="1"/>
      <c r="Z706" s="1"/>
    </row>
    <row r="707" spans="1:26" ht="14" x14ac:dyDescent="0.15">
      <c r="A707" s="21"/>
      <c r="B707" s="21"/>
      <c r="C707" s="21"/>
      <c r="D707" s="21"/>
      <c r="E707" s="1"/>
      <c r="F707" s="1"/>
      <c r="G707" s="1"/>
      <c r="H707" s="1"/>
      <c r="I707" s="1"/>
      <c r="J707" s="1"/>
      <c r="K707" s="1"/>
      <c r="L707" s="1"/>
      <c r="M707" s="1"/>
      <c r="N707" s="1"/>
      <c r="O707" s="1"/>
      <c r="P707" s="1"/>
      <c r="Q707" s="1"/>
      <c r="R707" s="1"/>
      <c r="S707" s="1"/>
      <c r="T707" s="1"/>
      <c r="U707" s="1"/>
      <c r="V707" s="1"/>
      <c r="W707" s="1"/>
      <c r="X707" s="1"/>
      <c r="Y707" s="1"/>
      <c r="Z707" s="1"/>
    </row>
    <row r="708" spans="1:26" ht="14" x14ac:dyDescent="0.15">
      <c r="A708" s="21"/>
      <c r="B708" s="21"/>
      <c r="C708" s="21"/>
      <c r="D708" s="21"/>
      <c r="E708" s="1"/>
      <c r="F708" s="1"/>
      <c r="G708" s="1"/>
      <c r="H708" s="1"/>
      <c r="I708" s="1"/>
      <c r="J708" s="1"/>
      <c r="K708" s="1"/>
      <c r="L708" s="1"/>
      <c r="M708" s="1"/>
      <c r="N708" s="1"/>
      <c r="O708" s="1"/>
      <c r="P708" s="1"/>
      <c r="Q708" s="1"/>
      <c r="R708" s="1"/>
      <c r="S708" s="1"/>
      <c r="T708" s="1"/>
      <c r="U708" s="1"/>
      <c r="V708" s="1"/>
      <c r="W708" s="1"/>
      <c r="X708" s="1"/>
      <c r="Y708" s="1"/>
      <c r="Z708" s="1"/>
    </row>
    <row r="709" spans="1:26" ht="14" x14ac:dyDescent="0.15">
      <c r="A709" s="21"/>
      <c r="B709" s="21"/>
      <c r="C709" s="21"/>
      <c r="D709" s="21"/>
      <c r="E709" s="1"/>
      <c r="F709" s="1"/>
      <c r="G709" s="1"/>
      <c r="H709" s="1"/>
      <c r="I709" s="1"/>
      <c r="J709" s="1"/>
      <c r="K709" s="1"/>
      <c r="L709" s="1"/>
      <c r="M709" s="1"/>
      <c r="N709" s="1"/>
      <c r="O709" s="1"/>
      <c r="P709" s="1"/>
      <c r="Q709" s="1"/>
      <c r="R709" s="1"/>
      <c r="S709" s="1"/>
      <c r="T709" s="1"/>
      <c r="U709" s="1"/>
      <c r="V709" s="1"/>
      <c r="W709" s="1"/>
      <c r="X709" s="1"/>
      <c r="Y709" s="1"/>
      <c r="Z709" s="1"/>
    </row>
    <row r="710" spans="1:26" ht="14" x14ac:dyDescent="0.15">
      <c r="A710" s="21"/>
      <c r="B710" s="21"/>
      <c r="C710" s="21"/>
      <c r="D710" s="21"/>
      <c r="E710" s="1"/>
      <c r="F710" s="1"/>
      <c r="G710" s="1"/>
      <c r="H710" s="1"/>
      <c r="I710" s="1"/>
      <c r="J710" s="1"/>
      <c r="K710" s="1"/>
      <c r="L710" s="1"/>
      <c r="M710" s="1"/>
      <c r="N710" s="1"/>
      <c r="O710" s="1"/>
      <c r="P710" s="1"/>
      <c r="Q710" s="1"/>
      <c r="R710" s="1"/>
      <c r="S710" s="1"/>
      <c r="T710" s="1"/>
      <c r="U710" s="1"/>
      <c r="V710" s="1"/>
      <c r="W710" s="1"/>
      <c r="X710" s="1"/>
      <c r="Y710" s="1"/>
      <c r="Z710" s="1"/>
    </row>
    <row r="711" spans="1:26" ht="14" x14ac:dyDescent="0.15">
      <c r="A711" s="21"/>
      <c r="B711" s="21"/>
      <c r="C711" s="21"/>
      <c r="D711" s="21"/>
      <c r="E711" s="1"/>
      <c r="F711" s="1"/>
      <c r="G711" s="1"/>
      <c r="H711" s="1"/>
      <c r="I711" s="1"/>
      <c r="J711" s="1"/>
      <c r="K711" s="1"/>
      <c r="L711" s="1"/>
      <c r="M711" s="1"/>
      <c r="N711" s="1"/>
      <c r="O711" s="1"/>
      <c r="P711" s="1"/>
      <c r="Q711" s="1"/>
      <c r="R711" s="1"/>
      <c r="S711" s="1"/>
      <c r="T711" s="1"/>
      <c r="U711" s="1"/>
      <c r="V711" s="1"/>
      <c r="W711" s="1"/>
      <c r="X711" s="1"/>
      <c r="Y711" s="1"/>
      <c r="Z711" s="1"/>
    </row>
    <row r="712" spans="1:26" ht="14" x14ac:dyDescent="0.15">
      <c r="A712" s="21"/>
      <c r="B712" s="21"/>
      <c r="C712" s="21"/>
      <c r="D712" s="21"/>
      <c r="E712" s="1"/>
      <c r="F712" s="1"/>
      <c r="G712" s="1"/>
      <c r="H712" s="1"/>
      <c r="I712" s="1"/>
      <c r="J712" s="1"/>
      <c r="K712" s="1"/>
      <c r="L712" s="1"/>
      <c r="M712" s="1"/>
      <c r="N712" s="1"/>
      <c r="O712" s="1"/>
      <c r="P712" s="1"/>
      <c r="Q712" s="1"/>
      <c r="R712" s="1"/>
      <c r="S712" s="1"/>
      <c r="T712" s="1"/>
      <c r="U712" s="1"/>
      <c r="V712" s="1"/>
      <c r="W712" s="1"/>
      <c r="X712" s="1"/>
      <c r="Y712" s="1"/>
      <c r="Z712" s="1"/>
    </row>
    <row r="713" spans="1:26" ht="14" x14ac:dyDescent="0.15">
      <c r="A713" s="21"/>
      <c r="B713" s="21"/>
      <c r="C713" s="21"/>
      <c r="D713" s="21"/>
      <c r="E713" s="1"/>
      <c r="F713" s="1"/>
      <c r="G713" s="1"/>
      <c r="H713" s="1"/>
      <c r="I713" s="1"/>
      <c r="J713" s="1"/>
      <c r="K713" s="1"/>
      <c r="L713" s="1"/>
      <c r="M713" s="1"/>
      <c r="N713" s="1"/>
      <c r="O713" s="1"/>
      <c r="P713" s="1"/>
      <c r="Q713" s="1"/>
      <c r="R713" s="1"/>
      <c r="S713" s="1"/>
      <c r="T713" s="1"/>
      <c r="U713" s="1"/>
      <c r="V713" s="1"/>
      <c r="W713" s="1"/>
      <c r="X713" s="1"/>
      <c r="Y713" s="1"/>
      <c r="Z713" s="1"/>
    </row>
    <row r="714" spans="1:26" ht="14" x14ac:dyDescent="0.15">
      <c r="A714" s="21"/>
      <c r="B714" s="21"/>
      <c r="C714" s="21"/>
      <c r="D714" s="21"/>
      <c r="E714" s="1"/>
      <c r="F714" s="1"/>
      <c r="G714" s="1"/>
      <c r="H714" s="1"/>
      <c r="I714" s="1"/>
      <c r="J714" s="1"/>
      <c r="K714" s="1"/>
      <c r="L714" s="1"/>
      <c r="M714" s="1"/>
      <c r="N714" s="1"/>
      <c r="O714" s="1"/>
      <c r="P714" s="1"/>
      <c r="Q714" s="1"/>
      <c r="R714" s="1"/>
      <c r="S714" s="1"/>
      <c r="T714" s="1"/>
      <c r="U714" s="1"/>
      <c r="V714" s="1"/>
      <c r="W714" s="1"/>
      <c r="X714" s="1"/>
      <c r="Y714" s="1"/>
      <c r="Z714" s="1"/>
    </row>
    <row r="715" spans="1:26" ht="14" x14ac:dyDescent="0.15">
      <c r="A715" s="21"/>
      <c r="B715" s="21"/>
      <c r="C715" s="21"/>
      <c r="D715" s="21"/>
      <c r="E715" s="1"/>
      <c r="F715" s="1"/>
      <c r="G715" s="1"/>
      <c r="H715" s="1"/>
      <c r="I715" s="1"/>
      <c r="J715" s="1"/>
      <c r="K715" s="1"/>
      <c r="L715" s="1"/>
      <c r="M715" s="1"/>
      <c r="N715" s="1"/>
      <c r="O715" s="1"/>
      <c r="P715" s="1"/>
      <c r="Q715" s="1"/>
      <c r="R715" s="1"/>
      <c r="S715" s="1"/>
      <c r="T715" s="1"/>
      <c r="U715" s="1"/>
      <c r="V715" s="1"/>
      <c r="W715" s="1"/>
      <c r="X715" s="1"/>
      <c r="Y715" s="1"/>
      <c r="Z715" s="1"/>
    </row>
    <row r="716" spans="1:26" ht="14" x14ac:dyDescent="0.15">
      <c r="A716" s="21"/>
      <c r="B716" s="21"/>
      <c r="C716" s="21"/>
      <c r="D716" s="21"/>
      <c r="E716" s="1"/>
      <c r="F716" s="1"/>
      <c r="G716" s="1"/>
      <c r="H716" s="1"/>
      <c r="I716" s="1"/>
      <c r="J716" s="1"/>
      <c r="K716" s="1"/>
      <c r="L716" s="1"/>
      <c r="M716" s="1"/>
      <c r="N716" s="1"/>
      <c r="O716" s="1"/>
      <c r="P716" s="1"/>
      <c r="Q716" s="1"/>
      <c r="R716" s="1"/>
      <c r="S716" s="1"/>
      <c r="T716" s="1"/>
      <c r="U716" s="1"/>
      <c r="V716" s="1"/>
      <c r="W716" s="1"/>
      <c r="X716" s="1"/>
      <c r="Y716" s="1"/>
      <c r="Z716" s="1"/>
    </row>
    <row r="717" spans="1:26" ht="14" x14ac:dyDescent="0.15">
      <c r="A717" s="21"/>
      <c r="B717" s="21"/>
      <c r="C717" s="21"/>
      <c r="D717" s="21"/>
      <c r="E717" s="1"/>
      <c r="F717" s="1"/>
      <c r="G717" s="1"/>
      <c r="H717" s="1"/>
      <c r="I717" s="1"/>
      <c r="J717" s="1"/>
      <c r="K717" s="1"/>
      <c r="L717" s="1"/>
      <c r="M717" s="1"/>
      <c r="N717" s="1"/>
      <c r="O717" s="1"/>
      <c r="P717" s="1"/>
      <c r="Q717" s="1"/>
      <c r="R717" s="1"/>
      <c r="S717" s="1"/>
      <c r="T717" s="1"/>
      <c r="U717" s="1"/>
      <c r="V717" s="1"/>
      <c r="W717" s="1"/>
      <c r="X717" s="1"/>
      <c r="Y717" s="1"/>
      <c r="Z717" s="1"/>
    </row>
    <row r="718" spans="1:26" ht="14" x14ac:dyDescent="0.15">
      <c r="A718" s="21"/>
      <c r="B718" s="21"/>
      <c r="C718" s="21"/>
      <c r="D718" s="21"/>
      <c r="E718" s="1"/>
      <c r="F718" s="1"/>
      <c r="G718" s="1"/>
      <c r="H718" s="1"/>
      <c r="I718" s="1"/>
      <c r="J718" s="1"/>
      <c r="K718" s="1"/>
      <c r="L718" s="1"/>
      <c r="M718" s="1"/>
      <c r="N718" s="1"/>
      <c r="O718" s="1"/>
      <c r="P718" s="1"/>
      <c r="Q718" s="1"/>
      <c r="R718" s="1"/>
      <c r="S718" s="1"/>
      <c r="T718" s="1"/>
      <c r="U718" s="1"/>
      <c r="V718" s="1"/>
      <c r="W718" s="1"/>
      <c r="X718" s="1"/>
      <c r="Y718" s="1"/>
      <c r="Z718" s="1"/>
    </row>
    <row r="719" spans="1:26" ht="14" x14ac:dyDescent="0.15">
      <c r="A719" s="21"/>
      <c r="B719" s="21"/>
      <c r="C719" s="21"/>
      <c r="D719" s="21"/>
      <c r="E719" s="1"/>
      <c r="F719" s="1"/>
      <c r="G719" s="1"/>
      <c r="H719" s="1"/>
      <c r="I719" s="1"/>
      <c r="J719" s="1"/>
      <c r="K719" s="1"/>
      <c r="L719" s="1"/>
      <c r="M719" s="1"/>
      <c r="N719" s="1"/>
      <c r="O719" s="1"/>
      <c r="P719" s="1"/>
      <c r="Q719" s="1"/>
      <c r="R719" s="1"/>
      <c r="S719" s="1"/>
      <c r="T719" s="1"/>
      <c r="U719" s="1"/>
      <c r="V719" s="1"/>
      <c r="W719" s="1"/>
      <c r="X719" s="1"/>
      <c r="Y719" s="1"/>
      <c r="Z719" s="1"/>
    </row>
    <row r="720" spans="1:26" ht="14" x14ac:dyDescent="0.15">
      <c r="A720" s="21"/>
      <c r="B720" s="21"/>
      <c r="C720" s="21"/>
      <c r="D720" s="21"/>
      <c r="E720" s="1"/>
      <c r="F720" s="1"/>
      <c r="G720" s="1"/>
      <c r="H720" s="1"/>
      <c r="I720" s="1"/>
      <c r="J720" s="1"/>
      <c r="K720" s="1"/>
      <c r="L720" s="1"/>
      <c r="M720" s="1"/>
      <c r="N720" s="1"/>
      <c r="O720" s="1"/>
      <c r="P720" s="1"/>
      <c r="Q720" s="1"/>
      <c r="R720" s="1"/>
      <c r="S720" s="1"/>
      <c r="T720" s="1"/>
      <c r="U720" s="1"/>
      <c r="V720" s="1"/>
      <c r="W720" s="1"/>
      <c r="X720" s="1"/>
      <c r="Y720" s="1"/>
      <c r="Z720" s="1"/>
    </row>
    <row r="721" spans="1:26" ht="14" x14ac:dyDescent="0.15">
      <c r="A721" s="21"/>
      <c r="B721" s="21"/>
      <c r="C721" s="21"/>
      <c r="D721" s="21"/>
      <c r="E721" s="1"/>
      <c r="F721" s="1"/>
      <c r="G721" s="1"/>
      <c r="H721" s="1"/>
      <c r="I721" s="1"/>
      <c r="J721" s="1"/>
      <c r="K721" s="1"/>
      <c r="L721" s="1"/>
      <c r="M721" s="1"/>
      <c r="N721" s="1"/>
      <c r="O721" s="1"/>
      <c r="P721" s="1"/>
      <c r="Q721" s="1"/>
      <c r="R721" s="1"/>
      <c r="S721" s="1"/>
      <c r="T721" s="1"/>
      <c r="U721" s="1"/>
      <c r="V721" s="1"/>
      <c r="W721" s="1"/>
      <c r="X721" s="1"/>
      <c r="Y721" s="1"/>
      <c r="Z721" s="1"/>
    </row>
    <row r="722" spans="1:26" ht="14" x14ac:dyDescent="0.15">
      <c r="A722" s="21"/>
      <c r="B722" s="21"/>
      <c r="C722" s="21"/>
      <c r="D722" s="21"/>
      <c r="E722" s="1"/>
      <c r="F722" s="1"/>
      <c r="G722" s="1"/>
      <c r="H722" s="1"/>
      <c r="I722" s="1"/>
      <c r="J722" s="1"/>
      <c r="K722" s="1"/>
      <c r="L722" s="1"/>
      <c r="M722" s="1"/>
      <c r="N722" s="1"/>
      <c r="O722" s="1"/>
      <c r="P722" s="1"/>
      <c r="Q722" s="1"/>
      <c r="R722" s="1"/>
      <c r="S722" s="1"/>
      <c r="T722" s="1"/>
      <c r="U722" s="1"/>
      <c r="V722" s="1"/>
      <c r="W722" s="1"/>
      <c r="X722" s="1"/>
      <c r="Y722" s="1"/>
      <c r="Z722" s="1"/>
    </row>
    <row r="723" spans="1:26" ht="14" x14ac:dyDescent="0.15">
      <c r="A723" s="21"/>
      <c r="B723" s="21"/>
      <c r="C723" s="21"/>
      <c r="D723" s="21"/>
      <c r="E723" s="1"/>
      <c r="F723" s="1"/>
      <c r="G723" s="1"/>
      <c r="H723" s="1"/>
      <c r="I723" s="1"/>
      <c r="J723" s="1"/>
      <c r="K723" s="1"/>
      <c r="L723" s="1"/>
      <c r="M723" s="1"/>
      <c r="N723" s="1"/>
      <c r="O723" s="1"/>
      <c r="P723" s="1"/>
      <c r="Q723" s="1"/>
      <c r="R723" s="1"/>
      <c r="S723" s="1"/>
      <c r="T723" s="1"/>
      <c r="U723" s="1"/>
      <c r="V723" s="1"/>
      <c r="W723" s="1"/>
      <c r="X723" s="1"/>
      <c r="Y723" s="1"/>
      <c r="Z723" s="1"/>
    </row>
    <row r="724" spans="1:26" ht="14" x14ac:dyDescent="0.15">
      <c r="A724" s="21"/>
      <c r="B724" s="21"/>
      <c r="C724" s="21"/>
      <c r="D724" s="21"/>
      <c r="E724" s="1"/>
      <c r="F724" s="1"/>
      <c r="G724" s="1"/>
      <c r="H724" s="1"/>
      <c r="I724" s="1"/>
      <c r="J724" s="1"/>
      <c r="K724" s="1"/>
      <c r="L724" s="1"/>
      <c r="M724" s="1"/>
      <c r="N724" s="1"/>
      <c r="O724" s="1"/>
      <c r="P724" s="1"/>
      <c r="Q724" s="1"/>
      <c r="R724" s="1"/>
      <c r="S724" s="1"/>
      <c r="T724" s="1"/>
      <c r="U724" s="1"/>
      <c r="V724" s="1"/>
      <c r="W724" s="1"/>
      <c r="X724" s="1"/>
      <c r="Y724" s="1"/>
      <c r="Z724" s="1"/>
    </row>
    <row r="725" spans="1:26" ht="14" x14ac:dyDescent="0.15">
      <c r="A725" s="21"/>
      <c r="B725" s="21"/>
      <c r="C725" s="21"/>
      <c r="D725" s="21"/>
      <c r="E725" s="1"/>
      <c r="F725" s="1"/>
      <c r="G725" s="1"/>
      <c r="H725" s="1"/>
      <c r="I725" s="1"/>
      <c r="J725" s="1"/>
      <c r="K725" s="1"/>
      <c r="L725" s="1"/>
      <c r="M725" s="1"/>
      <c r="N725" s="1"/>
      <c r="O725" s="1"/>
      <c r="P725" s="1"/>
      <c r="Q725" s="1"/>
      <c r="R725" s="1"/>
      <c r="S725" s="1"/>
      <c r="T725" s="1"/>
      <c r="U725" s="1"/>
      <c r="V725" s="1"/>
      <c r="W725" s="1"/>
      <c r="X725" s="1"/>
      <c r="Y725" s="1"/>
      <c r="Z725" s="1"/>
    </row>
    <row r="726" spans="1:26" ht="14" x14ac:dyDescent="0.15">
      <c r="A726" s="21"/>
      <c r="B726" s="21"/>
      <c r="C726" s="21"/>
      <c r="D726" s="21"/>
      <c r="E726" s="1"/>
      <c r="F726" s="1"/>
      <c r="G726" s="1"/>
      <c r="H726" s="1"/>
      <c r="I726" s="1"/>
      <c r="J726" s="1"/>
      <c r="K726" s="1"/>
      <c r="L726" s="1"/>
      <c r="M726" s="1"/>
      <c r="N726" s="1"/>
      <c r="O726" s="1"/>
      <c r="P726" s="1"/>
      <c r="Q726" s="1"/>
      <c r="R726" s="1"/>
      <c r="S726" s="1"/>
      <c r="T726" s="1"/>
      <c r="U726" s="1"/>
      <c r="V726" s="1"/>
      <c r="W726" s="1"/>
      <c r="X726" s="1"/>
      <c r="Y726" s="1"/>
      <c r="Z726" s="1"/>
    </row>
    <row r="727" spans="1:26" ht="14" x14ac:dyDescent="0.15">
      <c r="A727" s="21"/>
      <c r="B727" s="21"/>
      <c r="C727" s="21"/>
      <c r="D727" s="21"/>
      <c r="E727" s="1"/>
      <c r="F727" s="1"/>
      <c r="G727" s="1"/>
      <c r="H727" s="1"/>
      <c r="I727" s="1"/>
      <c r="J727" s="1"/>
      <c r="K727" s="1"/>
      <c r="L727" s="1"/>
      <c r="M727" s="1"/>
      <c r="N727" s="1"/>
      <c r="O727" s="1"/>
      <c r="P727" s="1"/>
      <c r="Q727" s="1"/>
      <c r="R727" s="1"/>
      <c r="S727" s="1"/>
      <c r="T727" s="1"/>
      <c r="U727" s="1"/>
      <c r="V727" s="1"/>
      <c r="W727" s="1"/>
      <c r="X727" s="1"/>
      <c r="Y727" s="1"/>
      <c r="Z727" s="1"/>
    </row>
    <row r="728" spans="1:26" ht="14" x14ac:dyDescent="0.15">
      <c r="A728" s="21"/>
      <c r="B728" s="21"/>
      <c r="C728" s="21"/>
      <c r="D728" s="21"/>
      <c r="E728" s="1"/>
      <c r="F728" s="1"/>
      <c r="G728" s="1"/>
      <c r="H728" s="1"/>
      <c r="I728" s="1"/>
      <c r="J728" s="1"/>
      <c r="K728" s="1"/>
      <c r="L728" s="1"/>
      <c r="M728" s="1"/>
      <c r="N728" s="1"/>
      <c r="O728" s="1"/>
      <c r="P728" s="1"/>
      <c r="Q728" s="1"/>
      <c r="R728" s="1"/>
      <c r="S728" s="1"/>
      <c r="T728" s="1"/>
      <c r="U728" s="1"/>
      <c r="V728" s="1"/>
      <c r="W728" s="1"/>
      <c r="X728" s="1"/>
      <c r="Y728" s="1"/>
      <c r="Z728" s="1"/>
    </row>
    <row r="729" spans="1:26" ht="14" x14ac:dyDescent="0.15">
      <c r="A729" s="21"/>
      <c r="B729" s="21"/>
      <c r="C729" s="21"/>
      <c r="D729" s="21"/>
      <c r="E729" s="1"/>
      <c r="F729" s="1"/>
      <c r="G729" s="1"/>
      <c r="H729" s="1"/>
      <c r="I729" s="1"/>
      <c r="J729" s="1"/>
      <c r="K729" s="1"/>
      <c r="L729" s="1"/>
      <c r="M729" s="1"/>
      <c r="N729" s="1"/>
      <c r="O729" s="1"/>
      <c r="P729" s="1"/>
      <c r="Q729" s="1"/>
      <c r="R729" s="1"/>
      <c r="S729" s="1"/>
      <c r="T729" s="1"/>
      <c r="U729" s="1"/>
      <c r="V729" s="1"/>
      <c r="W729" s="1"/>
      <c r="X729" s="1"/>
      <c r="Y729" s="1"/>
      <c r="Z729" s="1"/>
    </row>
    <row r="730" spans="1:26" ht="14" x14ac:dyDescent="0.15">
      <c r="A730" s="21"/>
      <c r="B730" s="21"/>
      <c r="C730" s="21"/>
      <c r="D730" s="21"/>
      <c r="E730" s="1"/>
      <c r="F730" s="1"/>
      <c r="G730" s="1"/>
      <c r="H730" s="1"/>
      <c r="I730" s="1"/>
      <c r="J730" s="1"/>
      <c r="K730" s="1"/>
      <c r="L730" s="1"/>
      <c r="M730" s="1"/>
      <c r="N730" s="1"/>
      <c r="O730" s="1"/>
      <c r="P730" s="1"/>
      <c r="Q730" s="1"/>
      <c r="R730" s="1"/>
      <c r="S730" s="1"/>
      <c r="T730" s="1"/>
      <c r="U730" s="1"/>
      <c r="V730" s="1"/>
      <c r="W730" s="1"/>
      <c r="X730" s="1"/>
      <c r="Y730" s="1"/>
      <c r="Z730" s="1"/>
    </row>
    <row r="731" spans="1:26" ht="14" x14ac:dyDescent="0.15">
      <c r="A731" s="21"/>
      <c r="B731" s="21"/>
      <c r="C731" s="21"/>
      <c r="D731" s="21"/>
      <c r="E731" s="1"/>
      <c r="F731" s="1"/>
      <c r="G731" s="1"/>
      <c r="H731" s="1"/>
      <c r="I731" s="1"/>
      <c r="J731" s="1"/>
      <c r="K731" s="1"/>
      <c r="L731" s="1"/>
      <c r="M731" s="1"/>
      <c r="N731" s="1"/>
      <c r="O731" s="1"/>
      <c r="P731" s="1"/>
      <c r="Q731" s="1"/>
      <c r="R731" s="1"/>
      <c r="S731" s="1"/>
      <c r="T731" s="1"/>
      <c r="U731" s="1"/>
      <c r="V731" s="1"/>
      <c r="W731" s="1"/>
      <c r="X731" s="1"/>
      <c r="Y731" s="1"/>
      <c r="Z731" s="1"/>
    </row>
    <row r="732" spans="1:26" ht="14" x14ac:dyDescent="0.15">
      <c r="A732" s="21"/>
      <c r="B732" s="21"/>
      <c r="C732" s="21"/>
      <c r="D732" s="21"/>
      <c r="E732" s="1"/>
      <c r="F732" s="1"/>
      <c r="G732" s="1"/>
      <c r="H732" s="1"/>
      <c r="I732" s="1"/>
      <c r="J732" s="1"/>
      <c r="K732" s="1"/>
      <c r="L732" s="1"/>
      <c r="M732" s="1"/>
      <c r="N732" s="1"/>
      <c r="O732" s="1"/>
      <c r="P732" s="1"/>
      <c r="Q732" s="1"/>
      <c r="R732" s="1"/>
      <c r="S732" s="1"/>
      <c r="T732" s="1"/>
      <c r="U732" s="1"/>
      <c r="V732" s="1"/>
      <c r="W732" s="1"/>
      <c r="X732" s="1"/>
      <c r="Y732" s="1"/>
      <c r="Z732" s="1"/>
    </row>
    <row r="733" spans="1:26" ht="14" x14ac:dyDescent="0.15">
      <c r="A733" s="21"/>
      <c r="B733" s="21"/>
      <c r="C733" s="21"/>
      <c r="D733" s="21"/>
      <c r="E733" s="1"/>
      <c r="F733" s="1"/>
      <c r="G733" s="1"/>
      <c r="H733" s="1"/>
      <c r="I733" s="1"/>
      <c r="J733" s="1"/>
      <c r="K733" s="1"/>
      <c r="L733" s="1"/>
      <c r="M733" s="1"/>
      <c r="N733" s="1"/>
      <c r="O733" s="1"/>
      <c r="P733" s="1"/>
      <c r="Q733" s="1"/>
      <c r="R733" s="1"/>
      <c r="S733" s="1"/>
      <c r="T733" s="1"/>
      <c r="U733" s="1"/>
      <c r="V733" s="1"/>
      <c r="W733" s="1"/>
      <c r="X733" s="1"/>
      <c r="Y733" s="1"/>
      <c r="Z733" s="1"/>
    </row>
    <row r="734" spans="1:26" ht="14" x14ac:dyDescent="0.15">
      <c r="A734" s="21"/>
      <c r="B734" s="21"/>
      <c r="C734" s="21"/>
      <c r="D734" s="21"/>
      <c r="E734" s="1"/>
      <c r="F734" s="1"/>
      <c r="G734" s="1"/>
      <c r="H734" s="1"/>
      <c r="I734" s="1"/>
      <c r="J734" s="1"/>
      <c r="K734" s="1"/>
      <c r="L734" s="1"/>
      <c r="M734" s="1"/>
      <c r="N734" s="1"/>
      <c r="O734" s="1"/>
      <c r="P734" s="1"/>
      <c r="Q734" s="1"/>
      <c r="R734" s="1"/>
      <c r="S734" s="1"/>
      <c r="T734" s="1"/>
      <c r="U734" s="1"/>
      <c r="V734" s="1"/>
      <c r="W734" s="1"/>
      <c r="X734" s="1"/>
      <c r="Y734" s="1"/>
      <c r="Z734" s="1"/>
    </row>
    <row r="735" spans="1:26" ht="14" x14ac:dyDescent="0.15">
      <c r="A735" s="21"/>
      <c r="B735" s="21"/>
      <c r="C735" s="21"/>
      <c r="D735" s="21"/>
      <c r="E735" s="1"/>
      <c r="F735" s="1"/>
      <c r="G735" s="1"/>
      <c r="H735" s="1"/>
      <c r="I735" s="1"/>
      <c r="J735" s="1"/>
      <c r="K735" s="1"/>
      <c r="L735" s="1"/>
      <c r="M735" s="1"/>
      <c r="N735" s="1"/>
      <c r="O735" s="1"/>
      <c r="P735" s="1"/>
      <c r="Q735" s="1"/>
      <c r="R735" s="1"/>
      <c r="S735" s="1"/>
      <c r="T735" s="1"/>
      <c r="U735" s="1"/>
      <c r="V735" s="1"/>
      <c r="W735" s="1"/>
      <c r="X735" s="1"/>
      <c r="Y735" s="1"/>
      <c r="Z735" s="1"/>
    </row>
    <row r="736" spans="1:26" ht="14" x14ac:dyDescent="0.15">
      <c r="A736" s="21"/>
      <c r="B736" s="21"/>
      <c r="C736" s="21"/>
      <c r="D736" s="21"/>
      <c r="E736" s="1"/>
      <c r="F736" s="1"/>
      <c r="G736" s="1"/>
      <c r="H736" s="1"/>
      <c r="I736" s="1"/>
      <c r="J736" s="1"/>
      <c r="K736" s="1"/>
      <c r="L736" s="1"/>
      <c r="M736" s="1"/>
      <c r="N736" s="1"/>
      <c r="O736" s="1"/>
      <c r="P736" s="1"/>
      <c r="Q736" s="1"/>
      <c r="R736" s="1"/>
      <c r="S736" s="1"/>
      <c r="T736" s="1"/>
      <c r="U736" s="1"/>
      <c r="V736" s="1"/>
      <c r="W736" s="1"/>
      <c r="X736" s="1"/>
      <c r="Y736" s="1"/>
      <c r="Z736" s="1"/>
    </row>
    <row r="737" spans="1:26" ht="14" x14ac:dyDescent="0.15">
      <c r="A737" s="21"/>
      <c r="B737" s="21"/>
      <c r="C737" s="21"/>
      <c r="D737" s="21"/>
      <c r="E737" s="1"/>
      <c r="F737" s="1"/>
      <c r="G737" s="1"/>
      <c r="H737" s="1"/>
      <c r="I737" s="1"/>
      <c r="J737" s="1"/>
      <c r="K737" s="1"/>
      <c r="L737" s="1"/>
      <c r="M737" s="1"/>
      <c r="N737" s="1"/>
      <c r="O737" s="1"/>
      <c r="P737" s="1"/>
      <c r="Q737" s="1"/>
      <c r="R737" s="1"/>
      <c r="S737" s="1"/>
      <c r="T737" s="1"/>
      <c r="U737" s="1"/>
      <c r="V737" s="1"/>
      <c r="W737" s="1"/>
      <c r="X737" s="1"/>
      <c r="Y737" s="1"/>
      <c r="Z737" s="1"/>
    </row>
    <row r="738" spans="1:26" ht="14" x14ac:dyDescent="0.15">
      <c r="A738" s="21"/>
      <c r="B738" s="21"/>
      <c r="C738" s="21"/>
      <c r="D738" s="21"/>
      <c r="E738" s="1"/>
      <c r="F738" s="1"/>
      <c r="G738" s="1"/>
      <c r="H738" s="1"/>
      <c r="I738" s="1"/>
      <c r="J738" s="1"/>
      <c r="K738" s="1"/>
      <c r="L738" s="1"/>
      <c r="M738" s="1"/>
      <c r="N738" s="1"/>
      <c r="O738" s="1"/>
      <c r="P738" s="1"/>
      <c r="Q738" s="1"/>
      <c r="R738" s="1"/>
      <c r="S738" s="1"/>
      <c r="T738" s="1"/>
      <c r="U738" s="1"/>
      <c r="V738" s="1"/>
      <c r="W738" s="1"/>
      <c r="X738" s="1"/>
      <c r="Y738" s="1"/>
      <c r="Z738" s="1"/>
    </row>
    <row r="739" spans="1:26" ht="14" x14ac:dyDescent="0.15">
      <c r="A739" s="21"/>
      <c r="B739" s="21"/>
      <c r="C739" s="21"/>
      <c r="D739" s="21"/>
      <c r="E739" s="1"/>
      <c r="F739" s="1"/>
      <c r="G739" s="1"/>
      <c r="H739" s="1"/>
      <c r="I739" s="1"/>
      <c r="J739" s="1"/>
      <c r="K739" s="1"/>
      <c r="L739" s="1"/>
      <c r="M739" s="1"/>
      <c r="N739" s="1"/>
      <c r="O739" s="1"/>
      <c r="P739" s="1"/>
      <c r="Q739" s="1"/>
      <c r="R739" s="1"/>
      <c r="S739" s="1"/>
      <c r="T739" s="1"/>
      <c r="U739" s="1"/>
      <c r="V739" s="1"/>
      <c r="W739" s="1"/>
      <c r="X739" s="1"/>
      <c r="Y739" s="1"/>
      <c r="Z739" s="1"/>
    </row>
    <row r="740" spans="1:26" ht="14" x14ac:dyDescent="0.15">
      <c r="A740" s="21"/>
      <c r="B740" s="21"/>
      <c r="C740" s="21"/>
      <c r="D740" s="21"/>
      <c r="E740" s="1"/>
      <c r="F740" s="1"/>
      <c r="G740" s="1"/>
      <c r="H740" s="1"/>
      <c r="I740" s="1"/>
      <c r="J740" s="1"/>
      <c r="K740" s="1"/>
      <c r="L740" s="1"/>
      <c r="M740" s="1"/>
      <c r="N740" s="1"/>
      <c r="O740" s="1"/>
      <c r="P740" s="1"/>
      <c r="Q740" s="1"/>
      <c r="R740" s="1"/>
      <c r="S740" s="1"/>
      <c r="T740" s="1"/>
      <c r="U740" s="1"/>
      <c r="V740" s="1"/>
      <c r="W740" s="1"/>
      <c r="X740" s="1"/>
      <c r="Y740" s="1"/>
      <c r="Z740" s="1"/>
    </row>
    <row r="741" spans="1:26" ht="14" x14ac:dyDescent="0.15">
      <c r="A741" s="21"/>
      <c r="B741" s="21"/>
      <c r="C741" s="21"/>
      <c r="D741" s="21"/>
      <c r="E741" s="1"/>
      <c r="F741" s="1"/>
      <c r="G741" s="1"/>
      <c r="H741" s="1"/>
      <c r="I741" s="1"/>
      <c r="J741" s="1"/>
      <c r="K741" s="1"/>
      <c r="L741" s="1"/>
      <c r="M741" s="1"/>
      <c r="N741" s="1"/>
      <c r="O741" s="1"/>
      <c r="P741" s="1"/>
      <c r="Q741" s="1"/>
      <c r="R741" s="1"/>
      <c r="S741" s="1"/>
      <c r="T741" s="1"/>
      <c r="U741" s="1"/>
      <c r="V741" s="1"/>
      <c r="W741" s="1"/>
      <c r="X741" s="1"/>
      <c r="Y741" s="1"/>
      <c r="Z741" s="1"/>
    </row>
    <row r="742" spans="1:26" ht="14" x14ac:dyDescent="0.15">
      <c r="A742" s="21"/>
      <c r="B742" s="21"/>
      <c r="C742" s="21"/>
      <c r="D742" s="21"/>
      <c r="E742" s="1"/>
      <c r="F742" s="1"/>
      <c r="G742" s="1"/>
      <c r="H742" s="1"/>
      <c r="I742" s="1"/>
      <c r="J742" s="1"/>
      <c r="K742" s="1"/>
      <c r="L742" s="1"/>
      <c r="M742" s="1"/>
      <c r="N742" s="1"/>
      <c r="O742" s="1"/>
      <c r="P742" s="1"/>
      <c r="Q742" s="1"/>
      <c r="R742" s="1"/>
      <c r="S742" s="1"/>
      <c r="T742" s="1"/>
      <c r="U742" s="1"/>
      <c r="V742" s="1"/>
      <c r="W742" s="1"/>
      <c r="X742" s="1"/>
      <c r="Y742" s="1"/>
      <c r="Z742" s="1"/>
    </row>
    <row r="743" spans="1:26" ht="14" x14ac:dyDescent="0.15">
      <c r="A743" s="21"/>
      <c r="B743" s="21"/>
      <c r="C743" s="21"/>
      <c r="D743" s="21"/>
      <c r="E743" s="1"/>
      <c r="F743" s="1"/>
      <c r="G743" s="1"/>
      <c r="H743" s="1"/>
      <c r="I743" s="1"/>
      <c r="J743" s="1"/>
      <c r="K743" s="1"/>
      <c r="L743" s="1"/>
      <c r="M743" s="1"/>
      <c r="N743" s="1"/>
      <c r="O743" s="1"/>
      <c r="P743" s="1"/>
      <c r="Q743" s="1"/>
      <c r="R743" s="1"/>
      <c r="S743" s="1"/>
      <c r="T743" s="1"/>
      <c r="U743" s="1"/>
      <c r="V743" s="1"/>
      <c r="W743" s="1"/>
      <c r="X743" s="1"/>
      <c r="Y743" s="1"/>
      <c r="Z743" s="1"/>
    </row>
    <row r="744" spans="1:26" ht="14" x14ac:dyDescent="0.15">
      <c r="A744" s="21"/>
      <c r="B744" s="21"/>
      <c r="C744" s="21"/>
      <c r="D744" s="21"/>
      <c r="E744" s="1"/>
      <c r="F744" s="1"/>
      <c r="G744" s="1"/>
      <c r="H744" s="1"/>
      <c r="I744" s="1"/>
      <c r="J744" s="1"/>
      <c r="K744" s="1"/>
      <c r="L744" s="1"/>
      <c r="M744" s="1"/>
      <c r="N744" s="1"/>
      <c r="O744" s="1"/>
      <c r="P744" s="1"/>
      <c r="Q744" s="1"/>
      <c r="R744" s="1"/>
      <c r="S744" s="1"/>
      <c r="T744" s="1"/>
      <c r="U744" s="1"/>
      <c r="V744" s="1"/>
      <c r="W744" s="1"/>
      <c r="X744" s="1"/>
      <c r="Y744" s="1"/>
      <c r="Z744" s="1"/>
    </row>
    <row r="745" spans="1:26" ht="14" x14ac:dyDescent="0.15">
      <c r="A745" s="21"/>
      <c r="B745" s="21"/>
      <c r="C745" s="21"/>
      <c r="D745" s="21"/>
      <c r="E745" s="1"/>
      <c r="F745" s="1"/>
      <c r="G745" s="1"/>
      <c r="H745" s="1"/>
      <c r="I745" s="1"/>
      <c r="J745" s="1"/>
      <c r="K745" s="1"/>
      <c r="L745" s="1"/>
      <c r="M745" s="1"/>
      <c r="N745" s="1"/>
      <c r="O745" s="1"/>
      <c r="P745" s="1"/>
      <c r="Q745" s="1"/>
      <c r="R745" s="1"/>
      <c r="S745" s="1"/>
      <c r="T745" s="1"/>
      <c r="U745" s="1"/>
      <c r="V745" s="1"/>
      <c r="W745" s="1"/>
      <c r="X745" s="1"/>
      <c r="Y745" s="1"/>
      <c r="Z745" s="1"/>
    </row>
    <row r="746" spans="1:26" ht="14" x14ac:dyDescent="0.15">
      <c r="A746" s="21"/>
      <c r="B746" s="21"/>
      <c r="C746" s="21"/>
      <c r="D746" s="21"/>
      <c r="E746" s="1"/>
      <c r="F746" s="1"/>
      <c r="G746" s="1"/>
      <c r="H746" s="1"/>
      <c r="I746" s="1"/>
      <c r="J746" s="1"/>
      <c r="K746" s="1"/>
      <c r="L746" s="1"/>
      <c r="M746" s="1"/>
      <c r="N746" s="1"/>
      <c r="O746" s="1"/>
      <c r="P746" s="1"/>
      <c r="Q746" s="1"/>
      <c r="R746" s="1"/>
      <c r="S746" s="1"/>
      <c r="T746" s="1"/>
      <c r="U746" s="1"/>
      <c r="V746" s="1"/>
      <c r="W746" s="1"/>
      <c r="X746" s="1"/>
      <c r="Y746" s="1"/>
      <c r="Z746" s="1"/>
    </row>
    <row r="747" spans="1:26" ht="14" x14ac:dyDescent="0.15">
      <c r="A747" s="21"/>
      <c r="B747" s="21"/>
      <c r="C747" s="21"/>
      <c r="D747" s="21"/>
      <c r="E747" s="1"/>
      <c r="F747" s="1"/>
      <c r="G747" s="1"/>
      <c r="H747" s="1"/>
      <c r="I747" s="1"/>
      <c r="J747" s="1"/>
      <c r="K747" s="1"/>
      <c r="L747" s="1"/>
      <c r="M747" s="1"/>
      <c r="N747" s="1"/>
      <c r="O747" s="1"/>
      <c r="P747" s="1"/>
      <c r="Q747" s="1"/>
      <c r="R747" s="1"/>
      <c r="S747" s="1"/>
      <c r="T747" s="1"/>
      <c r="U747" s="1"/>
      <c r="V747" s="1"/>
      <c r="W747" s="1"/>
      <c r="X747" s="1"/>
      <c r="Y747" s="1"/>
      <c r="Z747" s="1"/>
    </row>
    <row r="748" spans="1:26" ht="14" x14ac:dyDescent="0.15">
      <c r="A748" s="21"/>
      <c r="B748" s="21"/>
      <c r="C748" s="21"/>
      <c r="D748" s="21"/>
      <c r="E748" s="1"/>
      <c r="F748" s="1"/>
      <c r="G748" s="1"/>
      <c r="H748" s="1"/>
      <c r="I748" s="1"/>
      <c r="J748" s="1"/>
      <c r="K748" s="1"/>
      <c r="L748" s="1"/>
      <c r="M748" s="1"/>
      <c r="N748" s="1"/>
      <c r="O748" s="1"/>
      <c r="P748" s="1"/>
      <c r="Q748" s="1"/>
      <c r="R748" s="1"/>
      <c r="S748" s="1"/>
      <c r="T748" s="1"/>
      <c r="U748" s="1"/>
      <c r="V748" s="1"/>
      <c r="W748" s="1"/>
      <c r="X748" s="1"/>
      <c r="Y748" s="1"/>
      <c r="Z748" s="1"/>
    </row>
    <row r="749" spans="1:26" ht="14" x14ac:dyDescent="0.15">
      <c r="A749" s="21"/>
      <c r="B749" s="21"/>
      <c r="C749" s="21"/>
      <c r="D749" s="21"/>
      <c r="E749" s="1"/>
      <c r="F749" s="1"/>
      <c r="G749" s="1"/>
      <c r="H749" s="1"/>
      <c r="I749" s="1"/>
      <c r="J749" s="1"/>
      <c r="K749" s="1"/>
      <c r="L749" s="1"/>
      <c r="M749" s="1"/>
      <c r="N749" s="1"/>
      <c r="O749" s="1"/>
      <c r="P749" s="1"/>
      <c r="Q749" s="1"/>
      <c r="R749" s="1"/>
      <c r="S749" s="1"/>
      <c r="T749" s="1"/>
      <c r="U749" s="1"/>
      <c r="V749" s="1"/>
      <c r="W749" s="1"/>
      <c r="X749" s="1"/>
      <c r="Y749" s="1"/>
      <c r="Z749" s="1"/>
    </row>
    <row r="750" spans="1:26" ht="14" x14ac:dyDescent="0.15">
      <c r="A750" s="21"/>
      <c r="B750" s="21"/>
      <c r="C750" s="21"/>
      <c r="D750" s="21"/>
      <c r="E750" s="1"/>
      <c r="F750" s="1"/>
      <c r="G750" s="1"/>
      <c r="H750" s="1"/>
      <c r="I750" s="1"/>
      <c r="J750" s="1"/>
      <c r="K750" s="1"/>
      <c r="L750" s="1"/>
      <c r="M750" s="1"/>
      <c r="N750" s="1"/>
      <c r="O750" s="1"/>
      <c r="P750" s="1"/>
      <c r="Q750" s="1"/>
      <c r="R750" s="1"/>
      <c r="S750" s="1"/>
      <c r="T750" s="1"/>
      <c r="U750" s="1"/>
      <c r="V750" s="1"/>
      <c r="W750" s="1"/>
      <c r="X750" s="1"/>
      <c r="Y750" s="1"/>
      <c r="Z750" s="1"/>
    </row>
    <row r="751" spans="1:26" ht="14" x14ac:dyDescent="0.15">
      <c r="A751" s="21"/>
      <c r="B751" s="21"/>
      <c r="C751" s="21"/>
      <c r="D751" s="21"/>
      <c r="E751" s="1"/>
      <c r="F751" s="1"/>
      <c r="G751" s="1"/>
      <c r="H751" s="1"/>
      <c r="I751" s="1"/>
      <c r="J751" s="1"/>
      <c r="K751" s="1"/>
      <c r="L751" s="1"/>
      <c r="M751" s="1"/>
      <c r="N751" s="1"/>
      <c r="O751" s="1"/>
      <c r="P751" s="1"/>
      <c r="Q751" s="1"/>
      <c r="R751" s="1"/>
      <c r="S751" s="1"/>
      <c r="T751" s="1"/>
      <c r="U751" s="1"/>
      <c r="V751" s="1"/>
      <c r="W751" s="1"/>
      <c r="X751" s="1"/>
      <c r="Y751" s="1"/>
      <c r="Z751" s="1"/>
    </row>
    <row r="752" spans="1:26" ht="14" x14ac:dyDescent="0.15">
      <c r="A752" s="21"/>
      <c r="B752" s="21"/>
      <c r="C752" s="21"/>
      <c r="D752" s="21"/>
      <c r="E752" s="1"/>
      <c r="F752" s="1"/>
      <c r="G752" s="1"/>
      <c r="H752" s="1"/>
      <c r="I752" s="1"/>
      <c r="J752" s="1"/>
      <c r="K752" s="1"/>
      <c r="L752" s="1"/>
      <c r="M752" s="1"/>
      <c r="N752" s="1"/>
      <c r="O752" s="1"/>
      <c r="P752" s="1"/>
      <c r="Q752" s="1"/>
      <c r="R752" s="1"/>
      <c r="S752" s="1"/>
      <c r="T752" s="1"/>
      <c r="U752" s="1"/>
      <c r="V752" s="1"/>
      <c r="W752" s="1"/>
      <c r="X752" s="1"/>
      <c r="Y752" s="1"/>
      <c r="Z752" s="1"/>
    </row>
    <row r="753" spans="1:26" ht="14" x14ac:dyDescent="0.15">
      <c r="A753" s="21"/>
      <c r="B753" s="21"/>
      <c r="C753" s="21"/>
      <c r="D753" s="21"/>
      <c r="E753" s="1"/>
      <c r="F753" s="1"/>
      <c r="G753" s="1"/>
      <c r="H753" s="1"/>
      <c r="I753" s="1"/>
      <c r="J753" s="1"/>
      <c r="K753" s="1"/>
      <c r="L753" s="1"/>
      <c r="M753" s="1"/>
      <c r="N753" s="1"/>
      <c r="O753" s="1"/>
      <c r="P753" s="1"/>
      <c r="Q753" s="1"/>
      <c r="R753" s="1"/>
      <c r="S753" s="1"/>
      <c r="T753" s="1"/>
      <c r="U753" s="1"/>
      <c r="V753" s="1"/>
      <c r="W753" s="1"/>
      <c r="X753" s="1"/>
      <c r="Y753" s="1"/>
      <c r="Z753" s="1"/>
    </row>
    <row r="754" spans="1:26" ht="14" x14ac:dyDescent="0.15">
      <c r="A754" s="21"/>
      <c r="B754" s="21"/>
      <c r="C754" s="21"/>
      <c r="D754" s="21"/>
      <c r="E754" s="1"/>
      <c r="F754" s="1"/>
      <c r="G754" s="1"/>
      <c r="H754" s="1"/>
      <c r="I754" s="1"/>
      <c r="J754" s="1"/>
      <c r="K754" s="1"/>
      <c r="L754" s="1"/>
      <c r="M754" s="1"/>
      <c r="N754" s="1"/>
      <c r="O754" s="1"/>
      <c r="P754" s="1"/>
      <c r="Q754" s="1"/>
      <c r="R754" s="1"/>
      <c r="S754" s="1"/>
      <c r="T754" s="1"/>
      <c r="U754" s="1"/>
      <c r="V754" s="1"/>
      <c r="W754" s="1"/>
      <c r="X754" s="1"/>
      <c r="Y754" s="1"/>
      <c r="Z754" s="1"/>
    </row>
    <row r="755" spans="1:26" ht="14" x14ac:dyDescent="0.15">
      <c r="A755" s="21"/>
      <c r="B755" s="21"/>
      <c r="C755" s="21"/>
      <c r="D755" s="21"/>
      <c r="E755" s="1"/>
      <c r="F755" s="1"/>
      <c r="G755" s="1"/>
      <c r="H755" s="1"/>
      <c r="I755" s="1"/>
      <c r="J755" s="1"/>
      <c r="K755" s="1"/>
      <c r="L755" s="1"/>
      <c r="M755" s="1"/>
      <c r="N755" s="1"/>
      <c r="O755" s="1"/>
      <c r="P755" s="1"/>
      <c r="Q755" s="1"/>
      <c r="R755" s="1"/>
      <c r="S755" s="1"/>
      <c r="T755" s="1"/>
      <c r="U755" s="1"/>
      <c r="V755" s="1"/>
      <c r="W755" s="1"/>
      <c r="X755" s="1"/>
      <c r="Y755" s="1"/>
      <c r="Z755" s="1"/>
    </row>
    <row r="756" spans="1:26" ht="14" x14ac:dyDescent="0.15">
      <c r="A756" s="21"/>
      <c r="B756" s="21"/>
      <c r="C756" s="21"/>
      <c r="D756" s="21"/>
      <c r="E756" s="1"/>
      <c r="F756" s="1"/>
      <c r="G756" s="1"/>
      <c r="H756" s="1"/>
      <c r="I756" s="1"/>
      <c r="J756" s="1"/>
      <c r="K756" s="1"/>
      <c r="L756" s="1"/>
      <c r="M756" s="1"/>
      <c r="N756" s="1"/>
      <c r="O756" s="1"/>
      <c r="P756" s="1"/>
      <c r="Q756" s="1"/>
      <c r="R756" s="1"/>
      <c r="S756" s="1"/>
      <c r="T756" s="1"/>
      <c r="U756" s="1"/>
      <c r="V756" s="1"/>
      <c r="W756" s="1"/>
      <c r="X756" s="1"/>
      <c r="Y756" s="1"/>
      <c r="Z756" s="1"/>
    </row>
    <row r="757" spans="1:26" ht="14" x14ac:dyDescent="0.15">
      <c r="A757" s="21"/>
      <c r="B757" s="21"/>
      <c r="C757" s="21"/>
      <c r="D757" s="21"/>
      <c r="E757" s="1"/>
      <c r="F757" s="1"/>
      <c r="G757" s="1"/>
      <c r="H757" s="1"/>
      <c r="I757" s="1"/>
      <c r="J757" s="1"/>
      <c r="K757" s="1"/>
      <c r="L757" s="1"/>
      <c r="M757" s="1"/>
      <c r="N757" s="1"/>
      <c r="O757" s="1"/>
      <c r="P757" s="1"/>
      <c r="Q757" s="1"/>
      <c r="R757" s="1"/>
      <c r="S757" s="1"/>
      <c r="T757" s="1"/>
      <c r="U757" s="1"/>
      <c r="V757" s="1"/>
      <c r="W757" s="1"/>
      <c r="X757" s="1"/>
      <c r="Y757" s="1"/>
      <c r="Z757" s="1"/>
    </row>
    <row r="758" spans="1:26" ht="14" x14ac:dyDescent="0.15">
      <c r="A758" s="21"/>
      <c r="B758" s="21"/>
      <c r="C758" s="21"/>
      <c r="D758" s="21"/>
      <c r="E758" s="1"/>
      <c r="F758" s="1"/>
      <c r="G758" s="1"/>
      <c r="H758" s="1"/>
      <c r="I758" s="1"/>
      <c r="J758" s="1"/>
      <c r="K758" s="1"/>
      <c r="L758" s="1"/>
      <c r="M758" s="1"/>
      <c r="N758" s="1"/>
      <c r="O758" s="1"/>
      <c r="P758" s="1"/>
      <c r="Q758" s="1"/>
      <c r="R758" s="1"/>
      <c r="S758" s="1"/>
      <c r="T758" s="1"/>
      <c r="U758" s="1"/>
      <c r="V758" s="1"/>
      <c r="W758" s="1"/>
      <c r="X758" s="1"/>
      <c r="Y758" s="1"/>
      <c r="Z758" s="1"/>
    </row>
    <row r="759" spans="1:26" ht="14" x14ac:dyDescent="0.15">
      <c r="A759" s="21"/>
      <c r="B759" s="21"/>
      <c r="C759" s="21"/>
      <c r="D759" s="21"/>
      <c r="E759" s="1"/>
      <c r="F759" s="1"/>
      <c r="G759" s="1"/>
      <c r="H759" s="1"/>
      <c r="I759" s="1"/>
      <c r="J759" s="1"/>
      <c r="K759" s="1"/>
      <c r="L759" s="1"/>
      <c r="M759" s="1"/>
      <c r="N759" s="1"/>
      <c r="O759" s="1"/>
      <c r="P759" s="1"/>
      <c r="Q759" s="1"/>
      <c r="R759" s="1"/>
      <c r="S759" s="1"/>
      <c r="T759" s="1"/>
      <c r="U759" s="1"/>
      <c r="V759" s="1"/>
      <c r="W759" s="1"/>
      <c r="X759" s="1"/>
      <c r="Y759" s="1"/>
      <c r="Z759" s="1"/>
    </row>
    <row r="760" spans="1:26" ht="14" x14ac:dyDescent="0.15">
      <c r="A760" s="21"/>
      <c r="B760" s="21"/>
      <c r="C760" s="21"/>
      <c r="D760" s="21"/>
      <c r="E760" s="1"/>
      <c r="F760" s="1"/>
      <c r="G760" s="1"/>
      <c r="H760" s="1"/>
      <c r="I760" s="1"/>
      <c r="J760" s="1"/>
      <c r="K760" s="1"/>
      <c r="L760" s="1"/>
      <c r="M760" s="1"/>
      <c r="N760" s="1"/>
      <c r="O760" s="1"/>
      <c r="P760" s="1"/>
      <c r="Q760" s="1"/>
      <c r="R760" s="1"/>
      <c r="S760" s="1"/>
      <c r="T760" s="1"/>
      <c r="U760" s="1"/>
      <c r="V760" s="1"/>
      <c r="W760" s="1"/>
      <c r="X760" s="1"/>
      <c r="Y760" s="1"/>
      <c r="Z760" s="1"/>
    </row>
    <row r="761" spans="1:26" ht="14" x14ac:dyDescent="0.15">
      <c r="A761" s="21"/>
      <c r="B761" s="21"/>
      <c r="C761" s="21"/>
      <c r="D761" s="21"/>
      <c r="E761" s="1"/>
      <c r="F761" s="1"/>
      <c r="G761" s="1"/>
      <c r="H761" s="1"/>
      <c r="I761" s="1"/>
      <c r="J761" s="1"/>
      <c r="K761" s="1"/>
      <c r="L761" s="1"/>
      <c r="M761" s="1"/>
      <c r="N761" s="1"/>
      <c r="O761" s="1"/>
      <c r="P761" s="1"/>
      <c r="Q761" s="1"/>
      <c r="R761" s="1"/>
      <c r="S761" s="1"/>
      <c r="T761" s="1"/>
      <c r="U761" s="1"/>
      <c r="V761" s="1"/>
      <c r="W761" s="1"/>
      <c r="X761" s="1"/>
      <c r="Y761" s="1"/>
      <c r="Z761" s="1"/>
    </row>
    <row r="762" spans="1:26" ht="14" x14ac:dyDescent="0.15">
      <c r="A762" s="21"/>
      <c r="B762" s="21"/>
      <c r="C762" s="21"/>
      <c r="D762" s="21"/>
      <c r="E762" s="1"/>
      <c r="F762" s="1"/>
      <c r="G762" s="1"/>
      <c r="H762" s="1"/>
      <c r="I762" s="1"/>
      <c r="J762" s="1"/>
      <c r="K762" s="1"/>
      <c r="L762" s="1"/>
      <c r="M762" s="1"/>
      <c r="N762" s="1"/>
      <c r="O762" s="1"/>
      <c r="P762" s="1"/>
      <c r="Q762" s="1"/>
      <c r="R762" s="1"/>
      <c r="S762" s="1"/>
      <c r="T762" s="1"/>
      <c r="U762" s="1"/>
      <c r="V762" s="1"/>
      <c r="W762" s="1"/>
      <c r="X762" s="1"/>
      <c r="Y762" s="1"/>
      <c r="Z762" s="1"/>
    </row>
    <row r="763" spans="1:26" ht="14" x14ac:dyDescent="0.15">
      <c r="A763" s="21"/>
      <c r="B763" s="21"/>
      <c r="C763" s="21"/>
      <c r="D763" s="21"/>
      <c r="E763" s="1"/>
      <c r="F763" s="1"/>
      <c r="G763" s="1"/>
      <c r="H763" s="1"/>
      <c r="I763" s="1"/>
      <c r="J763" s="1"/>
      <c r="K763" s="1"/>
      <c r="L763" s="1"/>
      <c r="M763" s="1"/>
      <c r="N763" s="1"/>
      <c r="O763" s="1"/>
      <c r="P763" s="1"/>
      <c r="Q763" s="1"/>
      <c r="R763" s="1"/>
      <c r="S763" s="1"/>
      <c r="T763" s="1"/>
      <c r="U763" s="1"/>
      <c r="V763" s="1"/>
      <c r="W763" s="1"/>
      <c r="X763" s="1"/>
      <c r="Y763" s="1"/>
      <c r="Z763" s="1"/>
    </row>
    <row r="764" spans="1:26" ht="14" x14ac:dyDescent="0.15">
      <c r="A764" s="21"/>
      <c r="B764" s="21"/>
      <c r="C764" s="21"/>
      <c r="D764" s="21"/>
      <c r="E764" s="1"/>
      <c r="F764" s="1"/>
      <c r="G764" s="1"/>
      <c r="H764" s="1"/>
      <c r="I764" s="1"/>
      <c r="J764" s="1"/>
      <c r="K764" s="1"/>
      <c r="L764" s="1"/>
      <c r="M764" s="1"/>
      <c r="N764" s="1"/>
      <c r="O764" s="1"/>
      <c r="P764" s="1"/>
      <c r="Q764" s="1"/>
      <c r="R764" s="1"/>
      <c r="S764" s="1"/>
      <c r="T764" s="1"/>
      <c r="U764" s="1"/>
      <c r="V764" s="1"/>
      <c r="W764" s="1"/>
      <c r="X764" s="1"/>
      <c r="Y764" s="1"/>
      <c r="Z764" s="1"/>
    </row>
    <row r="765" spans="1:26" ht="14" x14ac:dyDescent="0.15">
      <c r="A765" s="21"/>
      <c r="B765" s="21"/>
      <c r="C765" s="21"/>
      <c r="D765" s="21"/>
      <c r="E765" s="1"/>
      <c r="F765" s="1"/>
      <c r="G765" s="1"/>
      <c r="H765" s="1"/>
      <c r="I765" s="1"/>
      <c r="J765" s="1"/>
      <c r="K765" s="1"/>
      <c r="L765" s="1"/>
      <c r="M765" s="1"/>
      <c r="N765" s="1"/>
      <c r="O765" s="1"/>
      <c r="P765" s="1"/>
      <c r="Q765" s="1"/>
      <c r="R765" s="1"/>
      <c r="S765" s="1"/>
      <c r="T765" s="1"/>
      <c r="U765" s="1"/>
      <c r="V765" s="1"/>
      <c r="W765" s="1"/>
      <c r="X765" s="1"/>
      <c r="Y765" s="1"/>
      <c r="Z765" s="1"/>
    </row>
    <row r="766" spans="1:26" ht="14" x14ac:dyDescent="0.15">
      <c r="A766" s="21"/>
      <c r="B766" s="21"/>
      <c r="C766" s="21"/>
      <c r="D766" s="21"/>
      <c r="E766" s="1"/>
      <c r="F766" s="1"/>
      <c r="G766" s="1"/>
      <c r="H766" s="1"/>
      <c r="I766" s="1"/>
      <c r="J766" s="1"/>
      <c r="K766" s="1"/>
      <c r="L766" s="1"/>
      <c r="M766" s="1"/>
      <c r="N766" s="1"/>
      <c r="O766" s="1"/>
      <c r="P766" s="1"/>
      <c r="Q766" s="1"/>
      <c r="R766" s="1"/>
      <c r="S766" s="1"/>
      <c r="T766" s="1"/>
      <c r="U766" s="1"/>
      <c r="V766" s="1"/>
      <c r="W766" s="1"/>
      <c r="X766" s="1"/>
      <c r="Y766" s="1"/>
      <c r="Z766" s="1"/>
    </row>
    <row r="767" spans="1:26" ht="14" x14ac:dyDescent="0.15">
      <c r="A767" s="21"/>
      <c r="B767" s="21"/>
      <c r="C767" s="21"/>
      <c r="D767" s="21"/>
      <c r="E767" s="1"/>
      <c r="F767" s="1"/>
      <c r="G767" s="1"/>
      <c r="H767" s="1"/>
      <c r="I767" s="1"/>
      <c r="J767" s="1"/>
      <c r="K767" s="1"/>
      <c r="L767" s="1"/>
      <c r="M767" s="1"/>
      <c r="N767" s="1"/>
      <c r="O767" s="1"/>
      <c r="P767" s="1"/>
      <c r="Q767" s="1"/>
      <c r="R767" s="1"/>
      <c r="S767" s="1"/>
      <c r="T767" s="1"/>
      <c r="U767" s="1"/>
      <c r="V767" s="1"/>
      <c r="W767" s="1"/>
      <c r="X767" s="1"/>
      <c r="Y767" s="1"/>
      <c r="Z767" s="1"/>
    </row>
    <row r="768" spans="1:26" ht="14" x14ac:dyDescent="0.15">
      <c r="A768" s="21"/>
      <c r="B768" s="21"/>
      <c r="C768" s="21"/>
      <c r="D768" s="21"/>
      <c r="E768" s="1"/>
      <c r="F768" s="1"/>
      <c r="G768" s="1"/>
      <c r="H768" s="1"/>
      <c r="I768" s="1"/>
      <c r="J768" s="1"/>
      <c r="K768" s="1"/>
      <c r="L768" s="1"/>
      <c r="M768" s="1"/>
      <c r="N768" s="1"/>
      <c r="O768" s="1"/>
      <c r="P768" s="1"/>
      <c r="Q768" s="1"/>
      <c r="R768" s="1"/>
      <c r="S768" s="1"/>
      <c r="T768" s="1"/>
      <c r="U768" s="1"/>
      <c r="V768" s="1"/>
      <c r="W768" s="1"/>
      <c r="X768" s="1"/>
      <c r="Y768" s="1"/>
      <c r="Z768" s="1"/>
    </row>
    <row r="769" spans="1:26" ht="14" x14ac:dyDescent="0.15">
      <c r="A769" s="21"/>
      <c r="B769" s="21"/>
      <c r="C769" s="21"/>
      <c r="D769" s="21"/>
      <c r="E769" s="1"/>
      <c r="F769" s="1"/>
      <c r="G769" s="1"/>
      <c r="H769" s="1"/>
      <c r="I769" s="1"/>
      <c r="J769" s="1"/>
      <c r="K769" s="1"/>
      <c r="L769" s="1"/>
      <c r="M769" s="1"/>
      <c r="N769" s="1"/>
      <c r="O769" s="1"/>
      <c r="P769" s="1"/>
      <c r="Q769" s="1"/>
      <c r="R769" s="1"/>
      <c r="S769" s="1"/>
      <c r="T769" s="1"/>
      <c r="U769" s="1"/>
      <c r="V769" s="1"/>
      <c r="W769" s="1"/>
      <c r="X769" s="1"/>
      <c r="Y769" s="1"/>
      <c r="Z769" s="1"/>
    </row>
    <row r="770" spans="1:26" ht="14" x14ac:dyDescent="0.15">
      <c r="A770" s="21"/>
      <c r="B770" s="21"/>
      <c r="C770" s="21"/>
      <c r="D770" s="21"/>
      <c r="E770" s="1"/>
      <c r="F770" s="1"/>
      <c r="G770" s="1"/>
      <c r="H770" s="1"/>
      <c r="I770" s="1"/>
      <c r="J770" s="1"/>
      <c r="K770" s="1"/>
      <c r="L770" s="1"/>
      <c r="M770" s="1"/>
      <c r="N770" s="1"/>
      <c r="O770" s="1"/>
      <c r="P770" s="1"/>
      <c r="Q770" s="1"/>
      <c r="R770" s="1"/>
      <c r="S770" s="1"/>
      <c r="T770" s="1"/>
      <c r="U770" s="1"/>
      <c r="V770" s="1"/>
      <c r="W770" s="1"/>
      <c r="X770" s="1"/>
      <c r="Y770" s="1"/>
      <c r="Z770" s="1"/>
    </row>
    <row r="771" spans="1:26" ht="14" x14ac:dyDescent="0.15">
      <c r="A771" s="21"/>
      <c r="B771" s="21"/>
      <c r="C771" s="21"/>
      <c r="D771" s="21"/>
      <c r="E771" s="1"/>
      <c r="F771" s="1"/>
      <c r="G771" s="1"/>
      <c r="H771" s="1"/>
      <c r="I771" s="1"/>
      <c r="J771" s="1"/>
      <c r="K771" s="1"/>
      <c r="L771" s="1"/>
      <c r="M771" s="1"/>
      <c r="N771" s="1"/>
      <c r="O771" s="1"/>
      <c r="P771" s="1"/>
      <c r="Q771" s="1"/>
      <c r="R771" s="1"/>
      <c r="S771" s="1"/>
      <c r="T771" s="1"/>
      <c r="U771" s="1"/>
      <c r="V771" s="1"/>
      <c r="W771" s="1"/>
      <c r="X771" s="1"/>
      <c r="Y771" s="1"/>
      <c r="Z771" s="1"/>
    </row>
    <row r="772" spans="1:26" ht="14" x14ac:dyDescent="0.15">
      <c r="A772" s="21"/>
      <c r="B772" s="21"/>
      <c r="C772" s="21"/>
      <c r="D772" s="21"/>
      <c r="E772" s="1"/>
      <c r="F772" s="1"/>
      <c r="G772" s="1"/>
      <c r="H772" s="1"/>
      <c r="I772" s="1"/>
      <c r="J772" s="1"/>
      <c r="K772" s="1"/>
      <c r="L772" s="1"/>
      <c r="M772" s="1"/>
      <c r="N772" s="1"/>
      <c r="O772" s="1"/>
      <c r="P772" s="1"/>
      <c r="Q772" s="1"/>
      <c r="R772" s="1"/>
      <c r="S772" s="1"/>
      <c r="T772" s="1"/>
      <c r="U772" s="1"/>
      <c r="V772" s="1"/>
      <c r="W772" s="1"/>
      <c r="X772" s="1"/>
      <c r="Y772" s="1"/>
      <c r="Z772" s="1"/>
    </row>
    <row r="773" spans="1:26" ht="14" x14ac:dyDescent="0.15">
      <c r="A773" s="21"/>
      <c r="B773" s="21"/>
      <c r="C773" s="21"/>
      <c r="D773" s="21"/>
      <c r="E773" s="1"/>
      <c r="F773" s="1"/>
      <c r="G773" s="1"/>
      <c r="H773" s="1"/>
      <c r="I773" s="1"/>
      <c r="J773" s="1"/>
      <c r="K773" s="1"/>
      <c r="L773" s="1"/>
      <c r="M773" s="1"/>
      <c r="N773" s="1"/>
      <c r="O773" s="1"/>
      <c r="P773" s="1"/>
      <c r="Q773" s="1"/>
      <c r="R773" s="1"/>
      <c r="S773" s="1"/>
      <c r="T773" s="1"/>
      <c r="U773" s="1"/>
      <c r="V773" s="1"/>
      <c r="W773" s="1"/>
      <c r="X773" s="1"/>
      <c r="Y773" s="1"/>
      <c r="Z773" s="1"/>
    </row>
    <row r="774" spans="1:26" ht="14" x14ac:dyDescent="0.15">
      <c r="A774" s="21"/>
      <c r="B774" s="21"/>
      <c r="C774" s="21"/>
      <c r="D774" s="21"/>
      <c r="E774" s="1"/>
      <c r="F774" s="1"/>
      <c r="G774" s="1"/>
      <c r="H774" s="1"/>
      <c r="I774" s="1"/>
      <c r="J774" s="1"/>
      <c r="K774" s="1"/>
      <c r="L774" s="1"/>
      <c r="M774" s="1"/>
      <c r="N774" s="1"/>
      <c r="O774" s="1"/>
      <c r="P774" s="1"/>
      <c r="Q774" s="1"/>
      <c r="R774" s="1"/>
      <c r="S774" s="1"/>
      <c r="T774" s="1"/>
      <c r="U774" s="1"/>
      <c r="V774" s="1"/>
      <c r="W774" s="1"/>
      <c r="X774" s="1"/>
      <c r="Y774" s="1"/>
      <c r="Z774" s="1"/>
    </row>
    <row r="775" spans="1:26" ht="14" x14ac:dyDescent="0.15">
      <c r="A775" s="21"/>
      <c r="B775" s="21"/>
      <c r="C775" s="21"/>
      <c r="D775" s="21"/>
      <c r="E775" s="1"/>
      <c r="F775" s="1"/>
      <c r="G775" s="1"/>
      <c r="H775" s="1"/>
      <c r="I775" s="1"/>
      <c r="J775" s="1"/>
      <c r="K775" s="1"/>
      <c r="L775" s="1"/>
      <c r="M775" s="1"/>
      <c r="N775" s="1"/>
      <c r="O775" s="1"/>
      <c r="P775" s="1"/>
      <c r="Q775" s="1"/>
      <c r="R775" s="1"/>
      <c r="S775" s="1"/>
      <c r="T775" s="1"/>
      <c r="U775" s="1"/>
      <c r="V775" s="1"/>
      <c r="W775" s="1"/>
      <c r="X775" s="1"/>
      <c r="Y775" s="1"/>
      <c r="Z775" s="1"/>
    </row>
    <row r="776" spans="1:26" ht="14" x14ac:dyDescent="0.15">
      <c r="A776" s="21"/>
      <c r="B776" s="21"/>
      <c r="C776" s="21"/>
      <c r="D776" s="21"/>
      <c r="E776" s="1"/>
      <c r="F776" s="1"/>
      <c r="G776" s="1"/>
      <c r="H776" s="1"/>
      <c r="I776" s="1"/>
      <c r="J776" s="1"/>
      <c r="K776" s="1"/>
      <c r="L776" s="1"/>
      <c r="M776" s="1"/>
      <c r="N776" s="1"/>
      <c r="O776" s="1"/>
      <c r="P776" s="1"/>
      <c r="Q776" s="1"/>
      <c r="R776" s="1"/>
      <c r="S776" s="1"/>
      <c r="T776" s="1"/>
      <c r="U776" s="1"/>
      <c r="V776" s="1"/>
      <c r="W776" s="1"/>
      <c r="X776" s="1"/>
      <c r="Y776" s="1"/>
      <c r="Z776" s="1"/>
    </row>
    <row r="777" spans="1:26" ht="14" x14ac:dyDescent="0.15">
      <c r="A777" s="21"/>
      <c r="B777" s="21"/>
      <c r="C777" s="21"/>
      <c r="D777" s="21"/>
      <c r="E777" s="1"/>
      <c r="F777" s="1"/>
      <c r="G777" s="1"/>
      <c r="H777" s="1"/>
      <c r="I777" s="1"/>
      <c r="J777" s="1"/>
      <c r="K777" s="1"/>
      <c r="L777" s="1"/>
      <c r="M777" s="1"/>
      <c r="N777" s="1"/>
      <c r="O777" s="1"/>
      <c r="P777" s="1"/>
      <c r="Q777" s="1"/>
      <c r="R777" s="1"/>
      <c r="S777" s="1"/>
      <c r="T777" s="1"/>
      <c r="U777" s="1"/>
      <c r="V777" s="1"/>
      <c r="W777" s="1"/>
      <c r="X777" s="1"/>
      <c r="Y777" s="1"/>
      <c r="Z777" s="1"/>
    </row>
    <row r="778" spans="1:26" ht="14" x14ac:dyDescent="0.15">
      <c r="A778" s="21"/>
      <c r="B778" s="21"/>
      <c r="C778" s="21"/>
      <c r="D778" s="21"/>
      <c r="E778" s="1"/>
      <c r="F778" s="1"/>
      <c r="G778" s="1"/>
      <c r="H778" s="1"/>
      <c r="I778" s="1"/>
      <c r="J778" s="1"/>
      <c r="K778" s="1"/>
      <c r="L778" s="1"/>
      <c r="M778" s="1"/>
      <c r="N778" s="1"/>
      <c r="O778" s="1"/>
      <c r="P778" s="1"/>
      <c r="Q778" s="1"/>
      <c r="R778" s="1"/>
      <c r="S778" s="1"/>
      <c r="T778" s="1"/>
      <c r="U778" s="1"/>
      <c r="V778" s="1"/>
      <c r="W778" s="1"/>
      <c r="X778" s="1"/>
      <c r="Y778" s="1"/>
      <c r="Z778" s="1"/>
    </row>
    <row r="779" spans="1:26" ht="14" x14ac:dyDescent="0.15">
      <c r="A779" s="21"/>
      <c r="B779" s="21"/>
      <c r="C779" s="21"/>
      <c r="D779" s="21"/>
      <c r="E779" s="1"/>
      <c r="F779" s="1"/>
      <c r="G779" s="1"/>
      <c r="H779" s="1"/>
      <c r="I779" s="1"/>
      <c r="J779" s="1"/>
      <c r="K779" s="1"/>
      <c r="L779" s="1"/>
      <c r="M779" s="1"/>
      <c r="N779" s="1"/>
      <c r="O779" s="1"/>
      <c r="P779" s="1"/>
      <c r="Q779" s="1"/>
      <c r="R779" s="1"/>
      <c r="S779" s="1"/>
      <c r="T779" s="1"/>
      <c r="U779" s="1"/>
      <c r="V779" s="1"/>
      <c r="W779" s="1"/>
      <c r="X779" s="1"/>
      <c r="Y779" s="1"/>
      <c r="Z779" s="1"/>
    </row>
    <row r="780" spans="1:26" ht="14" x14ac:dyDescent="0.15">
      <c r="A780" s="21"/>
      <c r="B780" s="21"/>
      <c r="C780" s="21"/>
      <c r="D780" s="21"/>
      <c r="E780" s="1"/>
      <c r="F780" s="1"/>
      <c r="G780" s="1"/>
      <c r="H780" s="1"/>
      <c r="I780" s="1"/>
      <c r="J780" s="1"/>
      <c r="K780" s="1"/>
      <c r="L780" s="1"/>
      <c r="M780" s="1"/>
      <c r="N780" s="1"/>
      <c r="O780" s="1"/>
      <c r="P780" s="1"/>
      <c r="Q780" s="1"/>
      <c r="R780" s="1"/>
      <c r="S780" s="1"/>
      <c r="T780" s="1"/>
      <c r="U780" s="1"/>
      <c r="V780" s="1"/>
      <c r="W780" s="1"/>
      <c r="X780" s="1"/>
      <c r="Y780" s="1"/>
      <c r="Z780" s="1"/>
    </row>
    <row r="781" spans="1:26" ht="14" x14ac:dyDescent="0.15">
      <c r="A781" s="21"/>
      <c r="B781" s="21"/>
      <c r="C781" s="21"/>
      <c r="D781" s="21"/>
      <c r="E781" s="1"/>
      <c r="F781" s="1"/>
      <c r="G781" s="1"/>
      <c r="H781" s="1"/>
      <c r="I781" s="1"/>
      <c r="J781" s="1"/>
      <c r="K781" s="1"/>
      <c r="L781" s="1"/>
      <c r="M781" s="1"/>
      <c r="N781" s="1"/>
      <c r="O781" s="1"/>
      <c r="P781" s="1"/>
      <c r="Q781" s="1"/>
      <c r="R781" s="1"/>
      <c r="S781" s="1"/>
      <c r="T781" s="1"/>
      <c r="U781" s="1"/>
      <c r="V781" s="1"/>
      <c r="W781" s="1"/>
      <c r="X781" s="1"/>
      <c r="Y781" s="1"/>
      <c r="Z781" s="1"/>
    </row>
    <row r="782" spans="1:26" ht="14" x14ac:dyDescent="0.15">
      <c r="A782" s="21"/>
      <c r="B782" s="21"/>
      <c r="C782" s="21"/>
      <c r="D782" s="21"/>
      <c r="E782" s="1"/>
      <c r="F782" s="1"/>
      <c r="G782" s="1"/>
      <c r="H782" s="1"/>
      <c r="I782" s="1"/>
      <c r="J782" s="1"/>
      <c r="K782" s="1"/>
      <c r="L782" s="1"/>
      <c r="M782" s="1"/>
      <c r="N782" s="1"/>
      <c r="O782" s="1"/>
      <c r="P782" s="1"/>
      <c r="Q782" s="1"/>
      <c r="R782" s="1"/>
      <c r="S782" s="1"/>
      <c r="T782" s="1"/>
      <c r="U782" s="1"/>
      <c r="V782" s="1"/>
      <c r="W782" s="1"/>
      <c r="X782" s="1"/>
      <c r="Y782" s="1"/>
      <c r="Z782" s="1"/>
    </row>
    <row r="783" spans="1:26" ht="14" x14ac:dyDescent="0.15">
      <c r="A783" s="21"/>
      <c r="B783" s="21"/>
      <c r="C783" s="21"/>
      <c r="D783" s="21"/>
      <c r="E783" s="1"/>
      <c r="F783" s="1"/>
      <c r="G783" s="1"/>
      <c r="H783" s="1"/>
      <c r="I783" s="1"/>
      <c r="J783" s="1"/>
      <c r="K783" s="1"/>
      <c r="L783" s="1"/>
      <c r="M783" s="1"/>
      <c r="N783" s="1"/>
      <c r="O783" s="1"/>
      <c r="P783" s="1"/>
      <c r="Q783" s="1"/>
      <c r="R783" s="1"/>
      <c r="S783" s="1"/>
      <c r="T783" s="1"/>
      <c r="U783" s="1"/>
      <c r="V783" s="1"/>
      <c r="W783" s="1"/>
      <c r="X783" s="1"/>
      <c r="Y783" s="1"/>
      <c r="Z783" s="1"/>
    </row>
    <row r="784" spans="1:26" ht="14" x14ac:dyDescent="0.15">
      <c r="A784" s="21"/>
      <c r="B784" s="21"/>
      <c r="C784" s="21"/>
      <c r="D784" s="21"/>
      <c r="E784" s="1"/>
      <c r="F784" s="1"/>
      <c r="G784" s="1"/>
      <c r="H784" s="1"/>
      <c r="I784" s="1"/>
      <c r="J784" s="1"/>
      <c r="K784" s="1"/>
      <c r="L784" s="1"/>
      <c r="M784" s="1"/>
      <c r="N784" s="1"/>
      <c r="O784" s="1"/>
      <c r="P784" s="1"/>
      <c r="Q784" s="1"/>
      <c r="R784" s="1"/>
      <c r="S784" s="1"/>
      <c r="T784" s="1"/>
      <c r="U784" s="1"/>
      <c r="V784" s="1"/>
      <c r="W784" s="1"/>
      <c r="X784" s="1"/>
      <c r="Y784" s="1"/>
      <c r="Z784" s="1"/>
    </row>
    <row r="785" spans="1:26" ht="14" x14ac:dyDescent="0.15">
      <c r="A785" s="21"/>
      <c r="B785" s="21"/>
      <c r="C785" s="21"/>
      <c r="D785" s="21"/>
      <c r="E785" s="1"/>
      <c r="F785" s="1"/>
      <c r="G785" s="1"/>
      <c r="H785" s="1"/>
      <c r="I785" s="1"/>
      <c r="J785" s="1"/>
      <c r="K785" s="1"/>
      <c r="L785" s="1"/>
      <c r="M785" s="1"/>
      <c r="N785" s="1"/>
      <c r="O785" s="1"/>
      <c r="P785" s="1"/>
      <c r="Q785" s="1"/>
      <c r="R785" s="1"/>
      <c r="S785" s="1"/>
      <c r="T785" s="1"/>
      <c r="U785" s="1"/>
      <c r="V785" s="1"/>
      <c r="W785" s="1"/>
      <c r="X785" s="1"/>
      <c r="Y785" s="1"/>
      <c r="Z785" s="1"/>
    </row>
    <row r="786" spans="1:26" ht="14" x14ac:dyDescent="0.15">
      <c r="A786" s="21"/>
      <c r="B786" s="21"/>
      <c r="C786" s="21"/>
      <c r="D786" s="21"/>
      <c r="E786" s="1"/>
      <c r="F786" s="1"/>
      <c r="G786" s="1"/>
      <c r="H786" s="1"/>
      <c r="I786" s="1"/>
      <c r="J786" s="1"/>
      <c r="K786" s="1"/>
      <c r="L786" s="1"/>
      <c r="M786" s="1"/>
      <c r="N786" s="1"/>
      <c r="O786" s="1"/>
      <c r="P786" s="1"/>
      <c r="Q786" s="1"/>
      <c r="R786" s="1"/>
      <c r="S786" s="1"/>
      <c r="T786" s="1"/>
      <c r="U786" s="1"/>
      <c r="V786" s="1"/>
      <c r="W786" s="1"/>
      <c r="X786" s="1"/>
      <c r="Y786" s="1"/>
      <c r="Z786" s="1"/>
    </row>
    <row r="787" spans="1:26" ht="14" x14ac:dyDescent="0.15">
      <c r="A787" s="21"/>
      <c r="B787" s="21"/>
      <c r="C787" s="21"/>
      <c r="D787" s="21"/>
      <c r="E787" s="1"/>
      <c r="F787" s="1"/>
      <c r="G787" s="1"/>
      <c r="H787" s="1"/>
      <c r="I787" s="1"/>
      <c r="J787" s="1"/>
      <c r="K787" s="1"/>
      <c r="L787" s="1"/>
      <c r="M787" s="1"/>
      <c r="N787" s="1"/>
      <c r="O787" s="1"/>
      <c r="P787" s="1"/>
      <c r="Q787" s="1"/>
      <c r="R787" s="1"/>
      <c r="S787" s="1"/>
      <c r="T787" s="1"/>
      <c r="U787" s="1"/>
      <c r="V787" s="1"/>
      <c r="W787" s="1"/>
      <c r="X787" s="1"/>
      <c r="Y787" s="1"/>
      <c r="Z787" s="1"/>
    </row>
    <row r="788" spans="1:26" ht="14" x14ac:dyDescent="0.15">
      <c r="A788" s="21"/>
      <c r="B788" s="21"/>
      <c r="C788" s="21"/>
      <c r="D788" s="21"/>
      <c r="E788" s="1"/>
      <c r="F788" s="1"/>
      <c r="G788" s="1"/>
      <c r="H788" s="1"/>
      <c r="I788" s="1"/>
      <c r="J788" s="1"/>
      <c r="K788" s="1"/>
      <c r="L788" s="1"/>
      <c r="M788" s="1"/>
      <c r="N788" s="1"/>
      <c r="O788" s="1"/>
      <c r="P788" s="1"/>
      <c r="Q788" s="1"/>
      <c r="R788" s="1"/>
      <c r="S788" s="1"/>
      <c r="T788" s="1"/>
      <c r="U788" s="1"/>
      <c r="V788" s="1"/>
      <c r="W788" s="1"/>
      <c r="X788" s="1"/>
      <c r="Y788" s="1"/>
      <c r="Z788" s="1"/>
    </row>
    <row r="789" spans="1:26" ht="14" x14ac:dyDescent="0.15">
      <c r="A789" s="21"/>
      <c r="B789" s="21"/>
      <c r="C789" s="21"/>
      <c r="D789" s="21"/>
      <c r="E789" s="1"/>
      <c r="F789" s="1"/>
      <c r="G789" s="1"/>
      <c r="H789" s="1"/>
      <c r="I789" s="1"/>
      <c r="J789" s="1"/>
      <c r="K789" s="1"/>
      <c r="L789" s="1"/>
      <c r="M789" s="1"/>
      <c r="N789" s="1"/>
      <c r="O789" s="1"/>
      <c r="P789" s="1"/>
      <c r="Q789" s="1"/>
      <c r="R789" s="1"/>
      <c r="S789" s="1"/>
      <c r="T789" s="1"/>
      <c r="U789" s="1"/>
      <c r="V789" s="1"/>
      <c r="W789" s="1"/>
      <c r="X789" s="1"/>
      <c r="Y789" s="1"/>
      <c r="Z789" s="1"/>
    </row>
    <row r="790" spans="1:26" ht="14" x14ac:dyDescent="0.15">
      <c r="A790" s="21"/>
      <c r="B790" s="21"/>
      <c r="C790" s="21"/>
      <c r="D790" s="21"/>
      <c r="E790" s="1"/>
      <c r="F790" s="1"/>
      <c r="G790" s="1"/>
      <c r="H790" s="1"/>
      <c r="I790" s="1"/>
      <c r="J790" s="1"/>
      <c r="K790" s="1"/>
      <c r="L790" s="1"/>
      <c r="M790" s="1"/>
      <c r="N790" s="1"/>
      <c r="O790" s="1"/>
      <c r="P790" s="1"/>
      <c r="Q790" s="1"/>
      <c r="R790" s="1"/>
      <c r="S790" s="1"/>
      <c r="T790" s="1"/>
      <c r="U790" s="1"/>
      <c r="V790" s="1"/>
      <c r="W790" s="1"/>
      <c r="X790" s="1"/>
      <c r="Y790" s="1"/>
      <c r="Z790" s="1"/>
    </row>
    <row r="791" spans="1:26" ht="14" x14ac:dyDescent="0.15">
      <c r="A791" s="21"/>
      <c r="B791" s="21"/>
      <c r="C791" s="21"/>
      <c r="D791" s="21"/>
      <c r="E791" s="1"/>
      <c r="F791" s="1"/>
      <c r="G791" s="1"/>
      <c r="H791" s="1"/>
      <c r="I791" s="1"/>
      <c r="J791" s="1"/>
      <c r="K791" s="1"/>
      <c r="L791" s="1"/>
      <c r="M791" s="1"/>
      <c r="N791" s="1"/>
      <c r="O791" s="1"/>
      <c r="P791" s="1"/>
      <c r="Q791" s="1"/>
      <c r="R791" s="1"/>
      <c r="S791" s="1"/>
      <c r="T791" s="1"/>
      <c r="U791" s="1"/>
      <c r="V791" s="1"/>
      <c r="W791" s="1"/>
      <c r="X791" s="1"/>
      <c r="Y791" s="1"/>
      <c r="Z791" s="1"/>
    </row>
    <row r="792" spans="1:26" ht="14" x14ac:dyDescent="0.15">
      <c r="A792" s="21"/>
      <c r="B792" s="21"/>
      <c r="C792" s="21"/>
      <c r="D792" s="21"/>
      <c r="E792" s="1"/>
      <c r="F792" s="1"/>
      <c r="G792" s="1"/>
      <c r="H792" s="1"/>
      <c r="I792" s="1"/>
      <c r="J792" s="1"/>
      <c r="K792" s="1"/>
      <c r="L792" s="1"/>
      <c r="M792" s="1"/>
      <c r="N792" s="1"/>
      <c r="O792" s="1"/>
      <c r="P792" s="1"/>
      <c r="Q792" s="1"/>
      <c r="R792" s="1"/>
      <c r="S792" s="1"/>
      <c r="T792" s="1"/>
      <c r="U792" s="1"/>
      <c r="V792" s="1"/>
      <c r="W792" s="1"/>
      <c r="X792" s="1"/>
      <c r="Y792" s="1"/>
      <c r="Z792" s="1"/>
    </row>
    <row r="793" spans="1:26" ht="14" x14ac:dyDescent="0.15">
      <c r="A793" s="21"/>
      <c r="B793" s="21"/>
      <c r="C793" s="21"/>
      <c r="D793" s="21"/>
      <c r="E793" s="1"/>
      <c r="F793" s="1"/>
      <c r="G793" s="1"/>
      <c r="H793" s="1"/>
      <c r="I793" s="1"/>
      <c r="J793" s="1"/>
      <c r="K793" s="1"/>
      <c r="L793" s="1"/>
      <c r="M793" s="1"/>
      <c r="N793" s="1"/>
      <c r="O793" s="1"/>
      <c r="P793" s="1"/>
      <c r="Q793" s="1"/>
      <c r="R793" s="1"/>
      <c r="S793" s="1"/>
      <c r="T793" s="1"/>
      <c r="U793" s="1"/>
      <c r="V793" s="1"/>
      <c r="W793" s="1"/>
      <c r="X793" s="1"/>
      <c r="Y793" s="1"/>
      <c r="Z793" s="1"/>
    </row>
    <row r="794" spans="1:26" ht="14" x14ac:dyDescent="0.15">
      <c r="A794" s="21"/>
      <c r="B794" s="21"/>
      <c r="C794" s="21"/>
      <c r="D794" s="21"/>
      <c r="E794" s="1"/>
      <c r="F794" s="1"/>
      <c r="G794" s="1"/>
      <c r="H794" s="1"/>
      <c r="I794" s="1"/>
      <c r="J794" s="1"/>
      <c r="K794" s="1"/>
      <c r="L794" s="1"/>
      <c r="M794" s="1"/>
      <c r="N794" s="1"/>
      <c r="O794" s="1"/>
      <c r="P794" s="1"/>
      <c r="Q794" s="1"/>
      <c r="R794" s="1"/>
      <c r="S794" s="1"/>
      <c r="T794" s="1"/>
      <c r="U794" s="1"/>
      <c r="V794" s="1"/>
      <c r="W794" s="1"/>
      <c r="X794" s="1"/>
      <c r="Y794" s="1"/>
      <c r="Z794" s="1"/>
    </row>
    <row r="795" spans="1:26" ht="14" x14ac:dyDescent="0.15">
      <c r="A795" s="21"/>
      <c r="B795" s="21"/>
      <c r="C795" s="21"/>
      <c r="D795" s="21"/>
      <c r="E795" s="1"/>
      <c r="F795" s="1"/>
      <c r="G795" s="1"/>
      <c r="H795" s="1"/>
      <c r="I795" s="1"/>
      <c r="J795" s="1"/>
      <c r="K795" s="1"/>
      <c r="L795" s="1"/>
      <c r="M795" s="1"/>
      <c r="N795" s="1"/>
      <c r="O795" s="1"/>
      <c r="P795" s="1"/>
      <c r="Q795" s="1"/>
      <c r="R795" s="1"/>
      <c r="S795" s="1"/>
      <c r="T795" s="1"/>
      <c r="U795" s="1"/>
      <c r="V795" s="1"/>
      <c r="W795" s="1"/>
      <c r="X795" s="1"/>
      <c r="Y795" s="1"/>
      <c r="Z795" s="1"/>
    </row>
    <row r="796" spans="1:26" ht="14" x14ac:dyDescent="0.15">
      <c r="A796" s="21"/>
      <c r="B796" s="21"/>
      <c r="C796" s="21"/>
      <c r="D796" s="21"/>
      <c r="E796" s="1"/>
      <c r="F796" s="1"/>
      <c r="G796" s="1"/>
      <c r="H796" s="1"/>
      <c r="I796" s="1"/>
      <c r="J796" s="1"/>
      <c r="K796" s="1"/>
      <c r="L796" s="1"/>
      <c r="M796" s="1"/>
      <c r="N796" s="1"/>
      <c r="O796" s="1"/>
      <c r="P796" s="1"/>
      <c r="Q796" s="1"/>
      <c r="R796" s="1"/>
      <c r="S796" s="1"/>
      <c r="T796" s="1"/>
      <c r="U796" s="1"/>
      <c r="V796" s="1"/>
      <c r="W796" s="1"/>
      <c r="X796" s="1"/>
      <c r="Y796" s="1"/>
      <c r="Z796" s="1"/>
    </row>
    <row r="797" spans="1:26" ht="14" x14ac:dyDescent="0.15">
      <c r="A797" s="21"/>
      <c r="B797" s="21"/>
      <c r="C797" s="21"/>
      <c r="D797" s="21"/>
      <c r="E797" s="1"/>
      <c r="F797" s="1"/>
      <c r="G797" s="1"/>
      <c r="H797" s="1"/>
      <c r="I797" s="1"/>
      <c r="J797" s="1"/>
      <c r="K797" s="1"/>
      <c r="L797" s="1"/>
      <c r="M797" s="1"/>
      <c r="N797" s="1"/>
      <c r="O797" s="1"/>
      <c r="P797" s="1"/>
      <c r="Q797" s="1"/>
      <c r="R797" s="1"/>
      <c r="S797" s="1"/>
      <c r="T797" s="1"/>
      <c r="U797" s="1"/>
      <c r="V797" s="1"/>
      <c r="W797" s="1"/>
      <c r="X797" s="1"/>
      <c r="Y797" s="1"/>
      <c r="Z797" s="1"/>
    </row>
    <row r="798" spans="1:26" ht="14" x14ac:dyDescent="0.15">
      <c r="A798" s="21"/>
      <c r="B798" s="21"/>
      <c r="C798" s="21"/>
      <c r="D798" s="21"/>
      <c r="E798" s="1"/>
      <c r="F798" s="1"/>
      <c r="G798" s="1"/>
      <c r="H798" s="1"/>
      <c r="I798" s="1"/>
      <c r="J798" s="1"/>
      <c r="K798" s="1"/>
      <c r="L798" s="1"/>
      <c r="M798" s="1"/>
      <c r="N798" s="1"/>
      <c r="O798" s="1"/>
      <c r="P798" s="1"/>
      <c r="Q798" s="1"/>
      <c r="R798" s="1"/>
      <c r="S798" s="1"/>
      <c r="T798" s="1"/>
      <c r="U798" s="1"/>
      <c r="V798" s="1"/>
      <c r="W798" s="1"/>
      <c r="X798" s="1"/>
      <c r="Y798" s="1"/>
      <c r="Z798" s="1"/>
    </row>
    <row r="799" spans="1:26" ht="14" x14ac:dyDescent="0.15">
      <c r="A799" s="21"/>
      <c r="B799" s="21"/>
      <c r="C799" s="21"/>
      <c r="D799" s="21"/>
      <c r="E799" s="1"/>
      <c r="F799" s="1"/>
      <c r="G799" s="1"/>
      <c r="H799" s="1"/>
      <c r="I799" s="1"/>
      <c r="J799" s="1"/>
      <c r="K799" s="1"/>
      <c r="L799" s="1"/>
      <c r="M799" s="1"/>
      <c r="N799" s="1"/>
      <c r="O799" s="1"/>
      <c r="P799" s="1"/>
      <c r="Q799" s="1"/>
      <c r="R799" s="1"/>
      <c r="S799" s="1"/>
      <c r="T799" s="1"/>
      <c r="U799" s="1"/>
      <c r="V799" s="1"/>
      <c r="W799" s="1"/>
      <c r="X799" s="1"/>
      <c r="Y799" s="1"/>
      <c r="Z799" s="1"/>
    </row>
    <row r="800" spans="1:26" ht="14" x14ac:dyDescent="0.15">
      <c r="A800" s="21"/>
      <c r="B800" s="21"/>
      <c r="C800" s="21"/>
      <c r="D800" s="21"/>
      <c r="E800" s="1"/>
      <c r="F800" s="1"/>
      <c r="G800" s="1"/>
      <c r="H800" s="1"/>
      <c r="I800" s="1"/>
      <c r="J800" s="1"/>
      <c r="K800" s="1"/>
      <c r="L800" s="1"/>
      <c r="M800" s="1"/>
      <c r="N800" s="1"/>
      <c r="O800" s="1"/>
      <c r="P800" s="1"/>
      <c r="Q800" s="1"/>
      <c r="R800" s="1"/>
      <c r="S800" s="1"/>
      <c r="T800" s="1"/>
      <c r="U800" s="1"/>
      <c r="V800" s="1"/>
      <c r="W800" s="1"/>
      <c r="X800" s="1"/>
      <c r="Y800" s="1"/>
      <c r="Z800" s="1"/>
    </row>
    <row r="801" spans="1:26" ht="14" x14ac:dyDescent="0.15">
      <c r="A801" s="21"/>
      <c r="B801" s="21"/>
      <c r="C801" s="21"/>
      <c r="D801" s="21"/>
      <c r="E801" s="1"/>
      <c r="F801" s="1"/>
      <c r="G801" s="1"/>
      <c r="H801" s="1"/>
      <c r="I801" s="1"/>
      <c r="J801" s="1"/>
      <c r="K801" s="1"/>
      <c r="L801" s="1"/>
      <c r="M801" s="1"/>
      <c r="N801" s="1"/>
      <c r="O801" s="1"/>
      <c r="P801" s="1"/>
      <c r="Q801" s="1"/>
      <c r="R801" s="1"/>
      <c r="S801" s="1"/>
      <c r="T801" s="1"/>
      <c r="U801" s="1"/>
      <c r="V801" s="1"/>
      <c r="W801" s="1"/>
      <c r="X801" s="1"/>
      <c r="Y801" s="1"/>
      <c r="Z801" s="1"/>
    </row>
    <row r="802" spans="1:26" ht="14" x14ac:dyDescent="0.15">
      <c r="A802" s="21"/>
      <c r="B802" s="21"/>
      <c r="C802" s="21"/>
      <c r="D802" s="21"/>
      <c r="E802" s="1"/>
      <c r="F802" s="1"/>
      <c r="G802" s="1"/>
      <c r="H802" s="1"/>
      <c r="I802" s="1"/>
      <c r="J802" s="1"/>
      <c r="K802" s="1"/>
      <c r="L802" s="1"/>
      <c r="M802" s="1"/>
      <c r="N802" s="1"/>
      <c r="O802" s="1"/>
      <c r="P802" s="1"/>
      <c r="Q802" s="1"/>
      <c r="R802" s="1"/>
      <c r="S802" s="1"/>
      <c r="T802" s="1"/>
      <c r="U802" s="1"/>
      <c r="V802" s="1"/>
      <c r="W802" s="1"/>
      <c r="X802" s="1"/>
      <c r="Y802" s="1"/>
      <c r="Z802" s="1"/>
    </row>
    <row r="803" spans="1:26" ht="14" x14ac:dyDescent="0.15">
      <c r="A803" s="21"/>
      <c r="B803" s="21"/>
      <c r="C803" s="21"/>
      <c r="D803" s="21"/>
      <c r="E803" s="1"/>
      <c r="F803" s="1"/>
      <c r="G803" s="1"/>
      <c r="H803" s="1"/>
      <c r="I803" s="1"/>
      <c r="J803" s="1"/>
      <c r="K803" s="1"/>
      <c r="L803" s="1"/>
      <c r="M803" s="1"/>
      <c r="N803" s="1"/>
      <c r="O803" s="1"/>
      <c r="P803" s="1"/>
      <c r="Q803" s="1"/>
      <c r="R803" s="1"/>
      <c r="S803" s="1"/>
      <c r="T803" s="1"/>
      <c r="U803" s="1"/>
      <c r="V803" s="1"/>
      <c r="W803" s="1"/>
      <c r="X803" s="1"/>
      <c r="Y803" s="1"/>
      <c r="Z803" s="1"/>
    </row>
    <row r="804" spans="1:26" ht="14" x14ac:dyDescent="0.15">
      <c r="A804" s="21"/>
      <c r="B804" s="21"/>
      <c r="C804" s="21"/>
      <c r="D804" s="21"/>
      <c r="E804" s="1"/>
      <c r="F804" s="1"/>
      <c r="G804" s="1"/>
      <c r="H804" s="1"/>
      <c r="I804" s="1"/>
      <c r="J804" s="1"/>
      <c r="K804" s="1"/>
      <c r="L804" s="1"/>
      <c r="M804" s="1"/>
      <c r="N804" s="1"/>
      <c r="O804" s="1"/>
      <c r="P804" s="1"/>
      <c r="Q804" s="1"/>
      <c r="R804" s="1"/>
      <c r="S804" s="1"/>
      <c r="T804" s="1"/>
      <c r="U804" s="1"/>
      <c r="V804" s="1"/>
      <c r="W804" s="1"/>
      <c r="X804" s="1"/>
      <c r="Y804" s="1"/>
      <c r="Z804" s="1"/>
    </row>
    <row r="805" spans="1:26" ht="14" x14ac:dyDescent="0.15">
      <c r="A805" s="21"/>
      <c r="B805" s="21"/>
      <c r="C805" s="21"/>
      <c r="D805" s="21"/>
      <c r="E805" s="1"/>
      <c r="F805" s="1"/>
      <c r="G805" s="1"/>
      <c r="H805" s="1"/>
      <c r="I805" s="1"/>
      <c r="J805" s="1"/>
      <c r="K805" s="1"/>
      <c r="L805" s="1"/>
      <c r="M805" s="1"/>
      <c r="N805" s="1"/>
      <c r="O805" s="1"/>
      <c r="P805" s="1"/>
      <c r="Q805" s="1"/>
      <c r="R805" s="1"/>
      <c r="S805" s="1"/>
      <c r="T805" s="1"/>
      <c r="U805" s="1"/>
      <c r="V805" s="1"/>
      <c r="W805" s="1"/>
      <c r="X805" s="1"/>
      <c r="Y805" s="1"/>
      <c r="Z805" s="1"/>
    </row>
    <row r="806" spans="1:26" ht="14" x14ac:dyDescent="0.15">
      <c r="A806" s="21"/>
      <c r="B806" s="21"/>
      <c r="C806" s="21"/>
      <c r="D806" s="21"/>
      <c r="E806" s="1"/>
      <c r="F806" s="1"/>
      <c r="G806" s="1"/>
      <c r="H806" s="1"/>
      <c r="I806" s="1"/>
      <c r="J806" s="1"/>
      <c r="K806" s="1"/>
      <c r="L806" s="1"/>
      <c r="M806" s="1"/>
      <c r="N806" s="1"/>
      <c r="O806" s="1"/>
      <c r="P806" s="1"/>
      <c r="Q806" s="1"/>
      <c r="R806" s="1"/>
      <c r="S806" s="1"/>
      <c r="T806" s="1"/>
      <c r="U806" s="1"/>
      <c r="V806" s="1"/>
      <c r="W806" s="1"/>
      <c r="X806" s="1"/>
      <c r="Y806" s="1"/>
      <c r="Z806" s="1"/>
    </row>
    <row r="807" spans="1:26" ht="14" x14ac:dyDescent="0.15">
      <c r="A807" s="21"/>
      <c r="B807" s="21"/>
      <c r="C807" s="21"/>
      <c r="D807" s="21"/>
      <c r="E807" s="1"/>
      <c r="F807" s="1"/>
      <c r="G807" s="1"/>
      <c r="H807" s="1"/>
      <c r="I807" s="1"/>
      <c r="J807" s="1"/>
      <c r="K807" s="1"/>
      <c r="L807" s="1"/>
      <c r="M807" s="1"/>
      <c r="N807" s="1"/>
      <c r="O807" s="1"/>
      <c r="P807" s="1"/>
      <c r="Q807" s="1"/>
      <c r="R807" s="1"/>
      <c r="S807" s="1"/>
      <c r="T807" s="1"/>
      <c r="U807" s="1"/>
      <c r="V807" s="1"/>
      <c r="W807" s="1"/>
      <c r="X807" s="1"/>
      <c r="Y807" s="1"/>
      <c r="Z807" s="1"/>
    </row>
    <row r="808" spans="1:26" ht="14" x14ac:dyDescent="0.15">
      <c r="A808" s="21"/>
      <c r="B808" s="21"/>
      <c r="C808" s="21"/>
      <c r="D808" s="21"/>
      <c r="E808" s="1"/>
      <c r="F808" s="1"/>
      <c r="G808" s="1"/>
      <c r="H808" s="1"/>
      <c r="I808" s="1"/>
      <c r="J808" s="1"/>
      <c r="K808" s="1"/>
      <c r="L808" s="1"/>
      <c r="M808" s="1"/>
      <c r="N808" s="1"/>
      <c r="O808" s="1"/>
      <c r="P808" s="1"/>
      <c r="Q808" s="1"/>
      <c r="R808" s="1"/>
      <c r="S808" s="1"/>
      <c r="T808" s="1"/>
      <c r="U808" s="1"/>
      <c r="V808" s="1"/>
      <c r="W808" s="1"/>
      <c r="X808" s="1"/>
      <c r="Y808" s="1"/>
      <c r="Z808" s="1"/>
    </row>
    <row r="809" spans="1:26" ht="14" x14ac:dyDescent="0.15">
      <c r="A809" s="21"/>
      <c r="B809" s="21"/>
      <c r="C809" s="21"/>
      <c r="D809" s="21"/>
      <c r="E809" s="1"/>
      <c r="F809" s="1"/>
      <c r="G809" s="1"/>
      <c r="H809" s="1"/>
      <c r="I809" s="1"/>
      <c r="J809" s="1"/>
      <c r="K809" s="1"/>
      <c r="L809" s="1"/>
      <c r="M809" s="1"/>
      <c r="N809" s="1"/>
      <c r="O809" s="1"/>
      <c r="P809" s="1"/>
      <c r="Q809" s="1"/>
      <c r="R809" s="1"/>
      <c r="S809" s="1"/>
      <c r="T809" s="1"/>
      <c r="U809" s="1"/>
      <c r="V809" s="1"/>
      <c r="W809" s="1"/>
      <c r="X809" s="1"/>
      <c r="Y809" s="1"/>
      <c r="Z809" s="1"/>
    </row>
    <row r="810" spans="1:26" ht="14" x14ac:dyDescent="0.15">
      <c r="A810" s="21"/>
      <c r="B810" s="21"/>
      <c r="C810" s="21"/>
      <c r="D810" s="21"/>
      <c r="E810" s="1"/>
      <c r="F810" s="1"/>
      <c r="G810" s="1"/>
      <c r="H810" s="1"/>
      <c r="I810" s="1"/>
      <c r="J810" s="1"/>
      <c r="K810" s="1"/>
      <c r="L810" s="1"/>
      <c r="M810" s="1"/>
      <c r="N810" s="1"/>
      <c r="O810" s="1"/>
      <c r="P810" s="1"/>
      <c r="Q810" s="1"/>
      <c r="R810" s="1"/>
      <c r="S810" s="1"/>
      <c r="T810" s="1"/>
      <c r="U810" s="1"/>
      <c r="V810" s="1"/>
      <c r="W810" s="1"/>
      <c r="X810" s="1"/>
      <c r="Y810" s="1"/>
      <c r="Z810" s="1"/>
    </row>
    <row r="811" spans="1:26" ht="14" x14ac:dyDescent="0.15">
      <c r="A811" s="21"/>
      <c r="B811" s="21"/>
      <c r="C811" s="21"/>
      <c r="D811" s="21"/>
      <c r="E811" s="1"/>
      <c r="F811" s="1"/>
      <c r="G811" s="1"/>
      <c r="H811" s="1"/>
      <c r="I811" s="1"/>
      <c r="J811" s="1"/>
      <c r="K811" s="1"/>
      <c r="L811" s="1"/>
      <c r="M811" s="1"/>
      <c r="N811" s="1"/>
      <c r="O811" s="1"/>
      <c r="P811" s="1"/>
      <c r="Q811" s="1"/>
      <c r="R811" s="1"/>
      <c r="S811" s="1"/>
      <c r="T811" s="1"/>
      <c r="U811" s="1"/>
      <c r="V811" s="1"/>
      <c r="W811" s="1"/>
      <c r="X811" s="1"/>
      <c r="Y811" s="1"/>
      <c r="Z811" s="1"/>
    </row>
    <row r="812" spans="1:26" ht="14" x14ac:dyDescent="0.15">
      <c r="A812" s="21"/>
      <c r="B812" s="21"/>
      <c r="C812" s="21"/>
      <c r="D812" s="21"/>
      <c r="E812" s="1"/>
      <c r="F812" s="1"/>
      <c r="G812" s="1"/>
      <c r="H812" s="1"/>
      <c r="I812" s="1"/>
      <c r="J812" s="1"/>
      <c r="K812" s="1"/>
      <c r="L812" s="1"/>
      <c r="M812" s="1"/>
      <c r="N812" s="1"/>
      <c r="O812" s="1"/>
      <c r="P812" s="1"/>
      <c r="Q812" s="1"/>
      <c r="R812" s="1"/>
      <c r="S812" s="1"/>
      <c r="T812" s="1"/>
      <c r="U812" s="1"/>
      <c r="V812" s="1"/>
      <c r="W812" s="1"/>
      <c r="X812" s="1"/>
      <c r="Y812" s="1"/>
      <c r="Z812" s="1"/>
    </row>
    <row r="813" spans="1:26" ht="14" x14ac:dyDescent="0.15">
      <c r="A813" s="21"/>
      <c r="B813" s="21"/>
      <c r="C813" s="21"/>
      <c r="D813" s="21"/>
      <c r="E813" s="1"/>
      <c r="F813" s="1"/>
      <c r="G813" s="1"/>
      <c r="H813" s="1"/>
      <c r="I813" s="1"/>
      <c r="J813" s="1"/>
      <c r="K813" s="1"/>
      <c r="L813" s="1"/>
      <c r="M813" s="1"/>
      <c r="N813" s="1"/>
      <c r="O813" s="1"/>
      <c r="P813" s="1"/>
      <c r="Q813" s="1"/>
      <c r="R813" s="1"/>
      <c r="S813" s="1"/>
      <c r="T813" s="1"/>
      <c r="U813" s="1"/>
      <c r="V813" s="1"/>
      <c r="W813" s="1"/>
      <c r="X813" s="1"/>
      <c r="Y813" s="1"/>
      <c r="Z813" s="1"/>
    </row>
    <row r="814" spans="1:26" ht="14" x14ac:dyDescent="0.15">
      <c r="A814" s="21"/>
      <c r="B814" s="21"/>
      <c r="C814" s="21"/>
      <c r="D814" s="21"/>
      <c r="E814" s="1"/>
      <c r="F814" s="1"/>
      <c r="G814" s="1"/>
      <c r="H814" s="1"/>
      <c r="I814" s="1"/>
      <c r="J814" s="1"/>
      <c r="K814" s="1"/>
      <c r="L814" s="1"/>
      <c r="M814" s="1"/>
      <c r="N814" s="1"/>
      <c r="O814" s="1"/>
      <c r="P814" s="1"/>
      <c r="Q814" s="1"/>
      <c r="R814" s="1"/>
      <c r="S814" s="1"/>
      <c r="T814" s="1"/>
      <c r="U814" s="1"/>
      <c r="V814" s="1"/>
      <c r="W814" s="1"/>
      <c r="X814" s="1"/>
      <c r="Y814" s="1"/>
      <c r="Z814" s="1"/>
    </row>
    <row r="815" spans="1:26" ht="14" x14ac:dyDescent="0.15">
      <c r="A815" s="21"/>
      <c r="B815" s="21"/>
      <c r="C815" s="21"/>
      <c r="D815" s="21"/>
      <c r="E815" s="1"/>
      <c r="F815" s="1"/>
      <c r="G815" s="1"/>
      <c r="H815" s="1"/>
      <c r="I815" s="1"/>
      <c r="J815" s="1"/>
      <c r="K815" s="1"/>
      <c r="L815" s="1"/>
      <c r="M815" s="1"/>
      <c r="N815" s="1"/>
      <c r="O815" s="1"/>
      <c r="P815" s="1"/>
      <c r="Q815" s="1"/>
      <c r="R815" s="1"/>
      <c r="S815" s="1"/>
      <c r="T815" s="1"/>
      <c r="U815" s="1"/>
      <c r="V815" s="1"/>
      <c r="W815" s="1"/>
      <c r="X815" s="1"/>
      <c r="Y815" s="1"/>
      <c r="Z815" s="1"/>
    </row>
    <row r="816" spans="1:26" ht="14" x14ac:dyDescent="0.15">
      <c r="A816" s="21"/>
      <c r="B816" s="21"/>
      <c r="C816" s="21"/>
      <c r="D816" s="21"/>
      <c r="E816" s="1"/>
      <c r="F816" s="1"/>
      <c r="G816" s="1"/>
      <c r="H816" s="1"/>
      <c r="I816" s="1"/>
      <c r="J816" s="1"/>
      <c r="K816" s="1"/>
      <c r="L816" s="1"/>
      <c r="M816" s="1"/>
      <c r="N816" s="1"/>
      <c r="O816" s="1"/>
      <c r="P816" s="1"/>
      <c r="Q816" s="1"/>
      <c r="R816" s="1"/>
      <c r="S816" s="1"/>
      <c r="T816" s="1"/>
      <c r="U816" s="1"/>
      <c r="V816" s="1"/>
      <c r="W816" s="1"/>
      <c r="X816" s="1"/>
      <c r="Y816" s="1"/>
      <c r="Z816" s="1"/>
    </row>
    <row r="817" spans="1:26" ht="14" x14ac:dyDescent="0.15">
      <c r="A817" s="21"/>
      <c r="B817" s="21"/>
      <c r="C817" s="21"/>
      <c r="D817" s="21"/>
      <c r="E817" s="1"/>
      <c r="F817" s="1"/>
      <c r="G817" s="1"/>
      <c r="H817" s="1"/>
      <c r="I817" s="1"/>
      <c r="J817" s="1"/>
      <c r="K817" s="1"/>
      <c r="L817" s="1"/>
      <c r="M817" s="1"/>
      <c r="N817" s="1"/>
      <c r="O817" s="1"/>
      <c r="P817" s="1"/>
      <c r="Q817" s="1"/>
      <c r="R817" s="1"/>
      <c r="S817" s="1"/>
      <c r="T817" s="1"/>
      <c r="U817" s="1"/>
      <c r="V817" s="1"/>
      <c r="W817" s="1"/>
      <c r="X817" s="1"/>
      <c r="Y817" s="1"/>
      <c r="Z817" s="1"/>
    </row>
    <row r="818" spans="1:26" ht="14" x14ac:dyDescent="0.15">
      <c r="A818" s="21"/>
      <c r="B818" s="21"/>
      <c r="C818" s="21"/>
      <c r="D818" s="21"/>
      <c r="E818" s="1"/>
      <c r="F818" s="1"/>
      <c r="G818" s="1"/>
      <c r="H818" s="1"/>
      <c r="I818" s="1"/>
      <c r="J818" s="1"/>
      <c r="K818" s="1"/>
      <c r="L818" s="1"/>
      <c r="M818" s="1"/>
      <c r="N818" s="1"/>
      <c r="O818" s="1"/>
      <c r="P818" s="1"/>
      <c r="Q818" s="1"/>
      <c r="R818" s="1"/>
      <c r="S818" s="1"/>
      <c r="T818" s="1"/>
      <c r="U818" s="1"/>
      <c r="V818" s="1"/>
      <c r="W818" s="1"/>
      <c r="X818" s="1"/>
      <c r="Y818" s="1"/>
      <c r="Z818" s="1"/>
    </row>
    <row r="819" spans="1:26" ht="14" x14ac:dyDescent="0.15">
      <c r="A819" s="21"/>
      <c r="B819" s="21"/>
      <c r="C819" s="21"/>
      <c r="D819" s="21"/>
      <c r="E819" s="1"/>
      <c r="F819" s="1"/>
      <c r="G819" s="1"/>
      <c r="H819" s="1"/>
      <c r="I819" s="1"/>
      <c r="J819" s="1"/>
      <c r="K819" s="1"/>
      <c r="L819" s="1"/>
      <c r="M819" s="1"/>
      <c r="N819" s="1"/>
      <c r="O819" s="1"/>
      <c r="P819" s="1"/>
      <c r="Q819" s="1"/>
      <c r="R819" s="1"/>
      <c r="S819" s="1"/>
      <c r="T819" s="1"/>
      <c r="U819" s="1"/>
      <c r="V819" s="1"/>
      <c r="W819" s="1"/>
      <c r="X819" s="1"/>
      <c r="Y819" s="1"/>
      <c r="Z819" s="1"/>
    </row>
    <row r="820" spans="1:26" ht="14" x14ac:dyDescent="0.15">
      <c r="A820" s="21"/>
      <c r="B820" s="21"/>
      <c r="C820" s="21"/>
      <c r="D820" s="21"/>
      <c r="E820" s="1"/>
      <c r="F820" s="1"/>
      <c r="G820" s="1"/>
      <c r="H820" s="1"/>
      <c r="I820" s="1"/>
      <c r="J820" s="1"/>
      <c r="K820" s="1"/>
      <c r="L820" s="1"/>
      <c r="M820" s="1"/>
      <c r="N820" s="1"/>
      <c r="O820" s="1"/>
      <c r="P820" s="1"/>
      <c r="Q820" s="1"/>
      <c r="R820" s="1"/>
      <c r="S820" s="1"/>
      <c r="T820" s="1"/>
      <c r="U820" s="1"/>
      <c r="V820" s="1"/>
      <c r="W820" s="1"/>
      <c r="X820" s="1"/>
      <c r="Y820" s="1"/>
      <c r="Z820" s="1"/>
    </row>
    <row r="821" spans="1:26" ht="14" x14ac:dyDescent="0.15">
      <c r="A821" s="21"/>
      <c r="B821" s="21"/>
      <c r="C821" s="21"/>
      <c r="D821" s="21"/>
      <c r="E821" s="1"/>
      <c r="F821" s="1"/>
      <c r="G821" s="1"/>
      <c r="H821" s="1"/>
      <c r="I821" s="1"/>
      <c r="J821" s="1"/>
      <c r="K821" s="1"/>
      <c r="L821" s="1"/>
      <c r="M821" s="1"/>
      <c r="N821" s="1"/>
      <c r="O821" s="1"/>
      <c r="P821" s="1"/>
      <c r="Q821" s="1"/>
      <c r="R821" s="1"/>
      <c r="S821" s="1"/>
      <c r="T821" s="1"/>
      <c r="U821" s="1"/>
      <c r="V821" s="1"/>
      <c r="W821" s="1"/>
      <c r="X821" s="1"/>
      <c r="Y821" s="1"/>
      <c r="Z821" s="1"/>
    </row>
    <row r="822" spans="1:26" ht="14" x14ac:dyDescent="0.15">
      <c r="A822" s="21"/>
      <c r="B822" s="21"/>
      <c r="C822" s="21"/>
      <c r="D822" s="21"/>
      <c r="E822" s="1"/>
      <c r="F822" s="1"/>
      <c r="G822" s="1"/>
      <c r="H822" s="1"/>
      <c r="I822" s="1"/>
      <c r="J822" s="1"/>
      <c r="K822" s="1"/>
      <c r="L822" s="1"/>
      <c r="M822" s="1"/>
      <c r="N822" s="1"/>
      <c r="O822" s="1"/>
      <c r="P822" s="1"/>
      <c r="Q822" s="1"/>
      <c r="R822" s="1"/>
      <c r="S822" s="1"/>
      <c r="T822" s="1"/>
      <c r="U822" s="1"/>
      <c r="V822" s="1"/>
      <c r="W822" s="1"/>
      <c r="X822" s="1"/>
      <c r="Y822" s="1"/>
      <c r="Z822" s="1"/>
    </row>
    <row r="823" spans="1:26" ht="14" x14ac:dyDescent="0.15">
      <c r="A823" s="21"/>
      <c r="B823" s="21"/>
      <c r="C823" s="21"/>
      <c r="D823" s="21"/>
      <c r="E823" s="1"/>
      <c r="F823" s="1"/>
      <c r="G823" s="1"/>
      <c r="H823" s="1"/>
      <c r="I823" s="1"/>
      <c r="J823" s="1"/>
      <c r="K823" s="1"/>
      <c r="L823" s="1"/>
      <c r="M823" s="1"/>
      <c r="N823" s="1"/>
      <c r="O823" s="1"/>
      <c r="P823" s="1"/>
      <c r="Q823" s="1"/>
      <c r="R823" s="1"/>
      <c r="S823" s="1"/>
      <c r="T823" s="1"/>
      <c r="U823" s="1"/>
      <c r="V823" s="1"/>
      <c r="W823" s="1"/>
      <c r="X823" s="1"/>
      <c r="Y823" s="1"/>
      <c r="Z823" s="1"/>
    </row>
    <row r="824" spans="1:26" ht="14" x14ac:dyDescent="0.15">
      <c r="A824" s="21"/>
      <c r="B824" s="21"/>
      <c r="C824" s="21"/>
      <c r="D824" s="21"/>
      <c r="E824" s="1"/>
      <c r="F824" s="1"/>
      <c r="G824" s="1"/>
      <c r="H824" s="1"/>
      <c r="I824" s="1"/>
      <c r="J824" s="1"/>
      <c r="K824" s="1"/>
      <c r="L824" s="1"/>
      <c r="M824" s="1"/>
      <c r="N824" s="1"/>
      <c r="O824" s="1"/>
      <c r="P824" s="1"/>
      <c r="Q824" s="1"/>
      <c r="R824" s="1"/>
      <c r="S824" s="1"/>
      <c r="T824" s="1"/>
      <c r="U824" s="1"/>
      <c r="V824" s="1"/>
      <c r="W824" s="1"/>
      <c r="X824" s="1"/>
      <c r="Y824" s="1"/>
      <c r="Z824" s="1"/>
    </row>
    <row r="825" spans="1:26" ht="14" x14ac:dyDescent="0.15">
      <c r="A825" s="21"/>
      <c r="B825" s="21"/>
      <c r="C825" s="21"/>
      <c r="D825" s="21"/>
      <c r="E825" s="1"/>
      <c r="F825" s="1"/>
      <c r="G825" s="1"/>
      <c r="H825" s="1"/>
      <c r="I825" s="1"/>
      <c r="J825" s="1"/>
      <c r="K825" s="1"/>
      <c r="L825" s="1"/>
      <c r="M825" s="1"/>
      <c r="N825" s="1"/>
      <c r="O825" s="1"/>
      <c r="P825" s="1"/>
      <c r="Q825" s="1"/>
      <c r="R825" s="1"/>
      <c r="S825" s="1"/>
      <c r="T825" s="1"/>
      <c r="U825" s="1"/>
      <c r="V825" s="1"/>
      <c r="W825" s="1"/>
      <c r="X825" s="1"/>
      <c r="Y825" s="1"/>
      <c r="Z825" s="1"/>
    </row>
    <row r="826" spans="1:26" ht="14" x14ac:dyDescent="0.15">
      <c r="A826" s="21"/>
      <c r="B826" s="21"/>
      <c r="C826" s="21"/>
      <c r="D826" s="21"/>
      <c r="E826" s="1"/>
      <c r="F826" s="1"/>
      <c r="G826" s="1"/>
      <c r="H826" s="1"/>
      <c r="I826" s="1"/>
      <c r="J826" s="1"/>
      <c r="K826" s="1"/>
      <c r="L826" s="1"/>
      <c r="M826" s="1"/>
      <c r="N826" s="1"/>
      <c r="O826" s="1"/>
      <c r="P826" s="1"/>
      <c r="Q826" s="1"/>
      <c r="R826" s="1"/>
      <c r="S826" s="1"/>
      <c r="T826" s="1"/>
      <c r="U826" s="1"/>
      <c r="V826" s="1"/>
      <c r="W826" s="1"/>
      <c r="X826" s="1"/>
      <c r="Y826" s="1"/>
      <c r="Z826" s="1"/>
    </row>
    <row r="827" spans="1:26" ht="14" x14ac:dyDescent="0.15">
      <c r="A827" s="21"/>
      <c r="B827" s="21"/>
      <c r="C827" s="21"/>
      <c r="D827" s="21"/>
      <c r="E827" s="1"/>
      <c r="F827" s="1"/>
      <c r="G827" s="1"/>
      <c r="H827" s="1"/>
      <c r="I827" s="1"/>
      <c r="J827" s="1"/>
      <c r="K827" s="1"/>
      <c r="L827" s="1"/>
      <c r="M827" s="1"/>
      <c r="N827" s="1"/>
      <c r="O827" s="1"/>
      <c r="P827" s="1"/>
      <c r="Q827" s="1"/>
      <c r="R827" s="1"/>
      <c r="S827" s="1"/>
      <c r="T827" s="1"/>
      <c r="U827" s="1"/>
      <c r="V827" s="1"/>
      <c r="W827" s="1"/>
      <c r="X827" s="1"/>
      <c r="Y827" s="1"/>
      <c r="Z827" s="1"/>
    </row>
    <row r="828" spans="1:26" ht="14" x14ac:dyDescent="0.15">
      <c r="A828" s="21"/>
      <c r="B828" s="21"/>
      <c r="C828" s="21"/>
      <c r="D828" s="21"/>
      <c r="E828" s="1"/>
      <c r="F828" s="1"/>
      <c r="G828" s="1"/>
      <c r="H828" s="1"/>
      <c r="I828" s="1"/>
      <c r="J828" s="1"/>
      <c r="K828" s="1"/>
      <c r="L828" s="1"/>
      <c r="M828" s="1"/>
      <c r="N828" s="1"/>
      <c r="O828" s="1"/>
      <c r="P828" s="1"/>
      <c r="Q828" s="1"/>
      <c r="R828" s="1"/>
      <c r="S828" s="1"/>
      <c r="T828" s="1"/>
      <c r="U828" s="1"/>
      <c r="V828" s="1"/>
      <c r="W828" s="1"/>
      <c r="X828" s="1"/>
      <c r="Y828" s="1"/>
      <c r="Z828" s="1"/>
    </row>
    <row r="829" spans="1:26" ht="14" x14ac:dyDescent="0.15">
      <c r="A829" s="21"/>
      <c r="B829" s="21"/>
      <c r="C829" s="21"/>
      <c r="D829" s="21"/>
      <c r="E829" s="1"/>
      <c r="F829" s="1"/>
      <c r="G829" s="1"/>
      <c r="H829" s="1"/>
      <c r="I829" s="1"/>
      <c r="J829" s="1"/>
      <c r="K829" s="1"/>
      <c r="L829" s="1"/>
      <c r="M829" s="1"/>
      <c r="N829" s="1"/>
      <c r="O829" s="1"/>
      <c r="P829" s="1"/>
      <c r="Q829" s="1"/>
      <c r="R829" s="1"/>
      <c r="S829" s="1"/>
      <c r="T829" s="1"/>
      <c r="U829" s="1"/>
      <c r="V829" s="1"/>
      <c r="W829" s="1"/>
      <c r="X829" s="1"/>
      <c r="Y829" s="1"/>
      <c r="Z829" s="1"/>
    </row>
    <row r="830" spans="1:26" ht="14" x14ac:dyDescent="0.15">
      <c r="A830" s="21"/>
      <c r="B830" s="21"/>
      <c r="C830" s="21"/>
      <c r="D830" s="21"/>
      <c r="E830" s="1"/>
      <c r="F830" s="1"/>
      <c r="G830" s="1"/>
      <c r="H830" s="1"/>
      <c r="I830" s="1"/>
      <c r="J830" s="1"/>
      <c r="K830" s="1"/>
      <c r="L830" s="1"/>
      <c r="M830" s="1"/>
      <c r="N830" s="1"/>
      <c r="O830" s="1"/>
      <c r="P830" s="1"/>
      <c r="Q830" s="1"/>
      <c r="R830" s="1"/>
      <c r="S830" s="1"/>
      <c r="T830" s="1"/>
      <c r="U830" s="1"/>
      <c r="V830" s="1"/>
      <c r="W830" s="1"/>
      <c r="X830" s="1"/>
      <c r="Y830" s="1"/>
      <c r="Z830" s="1"/>
    </row>
    <row r="831" spans="1:26" ht="14" x14ac:dyDescent="0.15">
      <c r="A831" s="21"/>
      <c r="B831" s="21"/>
      <c r="C831" s="21"/>
      <c r="D831" s="21"/>
      <c r="E831" s="1"/>
      <c r="F831" s="1"/>
      <c r="G831" s="1"/>
      <c r="H831" s="1"/>
      <c r="I831" s="1"/>
      <c r="J831" s="1"/>
      <c r="K831" s="1"/>
      <c r="L831" s="1"/>
      <c r="M831" s="1"/>
      <c r="N831" s="1"/>
      <c r="O831" s="1"/>
      <c r="P831" s="1"/>
      <c r="Q831" s="1"/>
      <c r="R831" s="1"/>
      <c r="S831" s="1"/>
      <c r="T831" s="1"/>
      <c r="U831" s="1"/>
      <c r="V831" s="1"/>
      <c r="W831" s="1"/>
      <c r="X831" s="1"/>
      <c r="Y831" s="1"/>
      <c r="Z831" s="1"/>
    </row>
    <row r="832" spans="1:26" ht="14" x14ac:dyDescent="0.15">
      <c r="A832" s="21"/>
      <c r="B832" s="21"/>
      <c r="C832" s="21"/>
      <c r="D832" s="21"/>
      <c r="E832" s="1"/>
      <c r="F832" s="1"/>
      <c r="G832" s="1"/>
      <c r="H832" s="1"/>
      <c r="I832" s="1"/>
      <c r="J832" s="1"/>
      <c r="K832" s="1"/>
      <c r="L832" s="1"/>
      <c r="M832" s="1"/>
      <c r="N832" s="1"/>
      <c r="O832" s="1"/>
      <c r="P832" s="1"/>
      <c r="Q832" s="1"/>
      <c r="R832" s="1"/>
      <c r="S832" s="1"/>
      <c r="T832" s="1"/>
      <c r="U832" s="1"/>
      <c r="V832" s="1"/>
      <c r="W832" s="1"/>
      <c r="X832" s="1"/>
      <c r="Y832" s="1"/>
      <c r="Z832" s="1"/>
    </row>
    <row r="833" spans="1:26" ht="14" x14ac:dyDescent="0.15">
      <c r="A833" s="21"/>
      <c r="B833" s="21"/>
      <c r="C833" s="21"/>
      <c r="D833" s="21"/>
      <c r="E833" s="1"/>
      <c r="F833" s="1"/>
      <c r="G833" s="1"/>
      <c r="H833" s="1"/>
      <c r="I833" s="1"/>
      <c r="J833" s="1"/>
      <c r="K833" s="1"/>
      <c r="L833" s="1"/>
      <c r="M833" s="1"/>
      <c r="N833" s="1"/>
      <c r="O833" s="1"/>
      <c r="P833" s="1"/>
      <c r="Q833" s="1"/>
      <c r="R833" s="1"/>
      <c r="S833" s="1"/>
      <c r="T833" s="1"/>
      <c r="U833" s="1"/>
      <c r="V833" s="1"/>
      <c r="W833" s="1"/>
      <c r="X833" s="1"/>
      <c r="Y833" s="1"/>
      <c r="Z833" s="1"/>
    </row>
    <row r="834" spans="1:26" ht="14" x14ac:dyDescent="0.15">
      <c r="A834" s="21"/>
      <c r="B834" s="21"/>
      <c r="C834" s="21"/>
      <c r="D834" s="21"/>
      <c r="E834" s="1"/>
      <c r="F834" s="1"/>
      <c r="G834" s="1"/>
      <c r="H834" s="1"/>
      <c r="I834" s="1"/>
      <c r="J834" s="1"/>
      <c r="K834" s="1"/>
      <c r="L834" s="1"/>
      <c r="M834" s="1"/>
      <c r="N834" s="1"/>
      <c r="O834" s="1"/>
      <c r="P834" s="1"/>
      <c r="Q834" s="1"/>
      <c r="R834" s="1"/>
      <c r="S834" s="1"/>
      <c r="T834" s="1"/>
      <c r="U834" s="1"/>
      <c r="V834" s="1"/>
      <c r="W834" s="1"/>
      <c r="X834" s="1"/>
      <c r="Y834" s="1"/>
      <c r="Z834" s="1"/>
    </row>
    <row r="835" spans="1:26" ht="14" x14ac:dyDescent="0.15">
      <c r="A835" s="21"/>
      <c r="B835" s="21"/>
      <c r="C835" s="21"/>
      <c r="D835" s="21"/>
      <c r="E835" s="1"/>
      <c r="F835" s="1"/>
      <c r="G835" s="1"/>
      <c r="H835" s="1"/>
      <c r="I835" s="1"/>
      <c r="J835" s="1"/>
      <c r="K835" s="1"/>
      <c r="L835" s="1"/>
      <c r="M835" s="1"/>
      <c r="N835" s="1"/>
      <c r="O835" s="1"/>
      <c r="P835" s="1"/>
      <c r="Q835" s="1"/>
      <c r="R835" s="1"/>
      <c r="S835" s="1"/>
      <c r="T835" s="1"/>
      <c r="U835" s="1"/>
      <c r="V835" s="1"/>
      <c r="W835" s="1"/>
      <c r="X835" s="1"/>
      <c r="Y835" s="1"/>
      <c r="Z835" s="1"/>
    </row>
    <row r="836" spans="1:26" ht="14" x14ac:dyDescent="0.15">
      <c r="A836" s="21"/>
      <c r="B836" s="21"/>
      <c r="C836" s="21"/>
      <c r="D836" s="21"/>
      <c r="E836" s="1"/>
      <c r="F836" s="1"/>
      <c r="G836" s="1"/>
      <c r="H836" s="1"/>
      <c r="I836" s="1"/>
      <c r="J836" s="1"/>
      <c r="K836" s="1"/>
      <c r="L836" s="1"/>
      <c r="M836" s="1"/>
      <c r="N836" s="1"/>
      <c r="O836" s="1"/>
      <c r="P836" s="1"/>
      <c r="Q836" s="1"/>
      <c r="R836" s="1"/>
      <c r="S836" s="1"/>
      <c r="T836" s="1"/>
      <c r="U836" s="1"/>
      <c r="V836" s="1"/>
      <c r="W836" s="1"/>
      <c r="X836" s="1"/>
      <c r="Y836" s="1"/>
      <c r="Z836" s="1"/>
    </row>
    <row r="837" spans="1:26" ht="14" x14ac:dyDescent="0.15">
      <c r="A837" s="21"/>
      <c r="B837" s="21"/>
      <c r="C837" s="21"/>
      <c r="D837" s="21"/>
      <c r="E837" s="1"/>
      <c r="F837" s="1"/>
      <c r="G837" s="1"/>
      <c r="H837" s="1"/>
      <c r="I837" s="1"/>
      <c r="J837" s="1"/>
      <c r="K837" s="1"/>
      <c r="L837" s="1"/>
      <c r="M837" s="1"/>
      <c r="N837" s="1"/>
      <c r="O837" s="1"/>
      <c r="P837" s="1"/>
      <c r="Q837" s="1"/>
      <c r="R837" s="1"/>
      <c r="S837" s="1"/>
      <c r="T837" s="1"/>
      <c r="U837" s="1"/>
      <c r="V837" s="1"/>
      <c r="W837" s="1"/>
      <c r="X837" s="1"/>
      <c r="Y837" s="1"/>
      <c r="Z837" s="1"/>
    </row>
    <row r="838" spans="1:26" ht="14" x14ac:dyDescent="0.15">
      <c r="A838" s="21"/>
      <c r="B838" s="21"/>
      <c r="C838" s="21"/>
      <c r="D838" s="21"/>
      <c r="E838" s="1"/>
      <c r="F838" s="1"/>
      <c r="G838" s="1"/>
      <c r="H838" s="1"/>
      <c r="I838" s="1"/>
      <c r="J838" s="1"/>
      <c r="K838" s="1"/>
      <c r="L838" s="1"/>
      <c r="M838" s="1"/>
      <c r="N838" s="1"/>
      <c r="O838" s="1"/>
      <c r="P838" s="1"/>
      <c r="Q838" s="1"/>
      <c r="R838" s="1"/>
      <c r="S838" s="1"/>
      <c r="T838" s="1"/>
      <c r="U838" s="1"/>
      <c r="V838" s="1"/>
      <c r="W838" s="1"/>
      <c r="X838" s="1"/>
      <c r="Y838" s="1"/>
      <c r="Z838" s="1"/>
    </row>
    <row r="839" spans="1:26" ht="14" x14ac:dyDescent="0.15">
      <c r="A839" s="21"/>
      <c r="B839" s="21"/>
      <c r="C839" s="21"/>
      <c r="D839" s="21"/>
      <c r="E839" s="1"/>
      <c r="F839" s="1"/>
      <c r="G839" s="1"/>
      <c r="H839" s="1"/>
      <c r="I839" s="1"/>
      <c r="J839" s="1"/>
      <c r="K839" s="1"/>
      <c r="L839" s="1"/>
      <c r="M839" s="1"/>
      <c r="N839" s="1"/>
      <c r="O839" s="1"/>
      <c r="P839" s="1"/>
      <c r="Q839" s="1"/>
      <c r="R839" s="1"/>
      <c r="S839" s="1"/>
      <c r="T839" s="1"/>
      <c r="U839" s="1"/>
      <c r="V839" s="1"/>
      <c r="W839" s="1"/>
      <c r="X839" s="1"/>
      <c r="Y839" s="1"/>
      <c r="Z839" s="1"/>
    </row>
    <row r="840" spans="1:26" ht="14" x14ac:dyDescent="0.15">
      <c r="A840" s="21"/>
      <c r="B840" s="21"/>
      <c r="C840" s="21"/>
      <c r="D840" s="21"/>
      <c r="E840" s="1"/>
      <c r="F840" s="1"/>
      <c r="G840" s="1"/>
      <c r="H840" s="1"/>
      <c r="I840" s="1"/>
      <c r="J840" s="1"/>
      <c r="K840" s="1"/>
      <c r="L840" s="1"/>
      <c r="M840" s="1"/>
      <c r="N840" s="1"/>
      <c r="O840" s="1"/>
      <c r="P840" s="1"/>
      <c r="Q840" s="1"/>
      <c r="R840" s="1"/>
      <c r="S840" s="1"/>
      <c r="T840" s="1"/>
      <c r="U840" s="1"/>
      <c r="V840" s="1"/>
      <c r="W840" s="1"/>
      <c r="X840" s="1"/>
      <c r="Y840" s="1"/>
      <c r="Z840" s="1"/>
    </row>
    <row r="841" spans="1:26" ht="14" x14ac:dyDescent="0.15">
      <c r="A841" s="21"/>
      <c r="B841" s="21"/>
      <c r="C841" s="21"/>
      <c r="D841" s="21"/>
      <c r="E841" s="1"/>
      <c r="F841" s="1"/>
      <c r="G841" s="1"/>
      <c r="H841" s="1"/>
      <c r="I841" s="1"/>
      <c r="J841" s="1"/>
      <c r="K841" s="1"/>
      <c r="L841" s="1"/>
      <c r="M841" s="1"/>
      <c r="N841" s="1"/>
      <c r="O841" s="1"/>
      <c r="P841" s="1"/>
      <c r="Q841" s="1"/>
      <c r="R841" s="1"/>
      <c r="S841" s="1"/>
      <c r="T841" s="1"/>
      <c r="U841" s="1"/>
      <c r="V841" s="1"/>
      <c r="W841" s="1"/>
      <c r="X841" s="1"/>
      <c r="Y841" s="1"/>
      <c r="Z841" s="1"/>
    </row>
    <row r="842" spans="1:26" ht="14" x14ac:dyDescent="0.15">
      <c r="A842" s="21"/>
      <c r="B842" s="21"/>
      <c r="C842" s="21"/>
      <c r="D842" s="21"/>
      <c r="E842" s="1"/>
      <c r="F842" s="1"/>
      <c r="G842" s="1"/>
      <c r="H842" s="1"/>
      <c r="I842" s="1"/>
      <c r="J842" s="1"/>
      <c r="K842" s="1"/>
      <c r="L842" s="1"/>
      <c r="M842" s="1"/>
      <c r="N842" s="1"/>
      <c r="O842" s="1"/>
      <c r="P842" s="1"/>
      <c r="Q842" s="1"/>
      <c r="R842" s="1"/>
      <c r="S842" s="1"/>
      <c r="T842" s="1"/>
      <c r="U842" s="1"/>
      <c r="V842" s="1"/>
      <c r="W842" s="1"/>
      <c r="X842" s="1"/>
      <c r="Y842" s="1"/>
      <c r="Z842" s="1"/>
    </row>
    <row r="843" spans="1:26" ht="14" x14ac:dyDescent="0.15">
      <c r="A843" s="21"/>
      <c r="B843" s="21"/>
      <c r="C843" s="21"/>
      <c r="D843" s="21"/>
      <c r="E843" s="1"/>
      <c r="F843" s="1"/>
      <c r="G843" s="1"/>
      <c r="H843" s="1"/>
      <c r="I843" s="1"/>
      <c r="J843" s="1"/>
      <c r="K843" s="1"/>
      <c r="L843" s="1"/>
      <c r="M843" s="1"/>
      <c r="N843" s="1"/>
      <c r="O843" s="1"/>
      <c r="P843" s="1"/>
      <c r="Q843" s="1"/>
      <c r="R843" s="1"/>
      <c r="S843" s="1"/>
      <c r="T843" s="1"/>
      <c r="U843" s="1"/>
      <c r="V843" s="1"/>
      <c r="W843" s="1"/>
      <c r="X843" s="1"/>
      <c r="Y843" s="1"/>
      <c r="Z843" s="1"/>
    </row>
    <row r="844" spans="1:26" ht="14" x14ac:dyDescent="0.15">
      <c r="A844" s="21"/>
      <c r="B844" s="21"/>
      <c r="C844" s="21"/>
      <c r="D844" s="21"/>
      <c r="E844" s="1"/>
      <c r="F844" s="1"/>
      <c r="G844" s="1"/>
      <c r="H844" s="1"/>
      <c r="I844" s="1"/>
      <c r="J844" s="1"/>
      <c r="K844" s="1"/>
      <c r="L844" s="1"/>
      <c r="M844" s="1"/>
      <c r="N844" s="1"/>
      <c r="O844" s="1"/>
      <c r="P844" s="1"/>
      <c r="Q844" s="1"/>
      <c r="R844" s="1"/>
      <c r="S844" s="1"/>
      <c r="T844" s="1"/>
      <c r="U844" s="1"/>
      <c r="V844" s="1"/>
      <c r="W844" s="1"/>
      <c r="X844" s="1"/>
      <c r="Y844" s="1"/>
      <c r="Z844" s="1"/>
    </row>
    <row r="845" spans="1:26" ht="14" x14ac:dyDescent="0.15">
      <c r="A845" s="21"/>
      <c r="B845" s="21"/>
      <c r="C845" s="21"/>
      <c r="D845" s="21"/>
      <c r="E845" s="1"/>
      <c r="F845" s="1"/>
      <c r="G845" s="1"/>
      <c r="H845" s="1"/>
      <c r="I845" s="1"/>
      <c r="J845" s="1"/>
      <c r="K845" s="1"/>
      <c r="L845" s="1"/>
      <c r="M845" s="1"/>
      <c r="N845" s="1"/>
      <c r="O845" s="1"/>
      <c r="P845" s="1"/>
      <c r="Q845" s="1"/>
      <c r="R845" s="1"/>
      <c r="S845" s="1"/>
      <c r="T845" s="1"/>
      <c r="U845" s="1"/>
      <c r="V845" s="1"/>
      <c r="W845" s="1"/>
      <c r="X845" s="1"/>
      <c r="Y845" s="1"/>
      <c r="Z845" s="1"/>
    </row>
    <row r="846" spans="1:26" ht="14" x14ac:dyDescent="0.15">
      <c r="A846" s="21"/>
      <c r="B846" s="21"/>
      <c r="C846" s="21"/>
      <c r="D846" s="21"/>
      <c r="E846" s="1"/>
      <c r="F846" s="1"/>
      <c r="G846" s="1"/>
      <c r="H846" s="1"/>
      <c r="I846" s="1"/>
      <c r="J846" s="1"/>
      <c r="K846" s="1"/>
      <c r="L846" s="1"/>
      <c r="M846" s="1"/>
      <c r="N846" s="1"/>
      <c r="O846" s="1"/>
      <c r="P846" s="1"/>
      <c r="Q846" s="1"/>
      <c r="R846" s="1"/>
      <c r="S846" s="1"/>
      <c r="T846" s="1"/>
      <c r="U846" s="1"/>
      <c r="V846" s="1"/>
      <c r="W846" s="1"/>
      <c r="X846" s="1"/>
      <c r="Y846" s="1"/>
      <c r="Z846" s="1"/>
    </row>
    <row r="847" spans="1:26" ht="14" x14ac:dyDescent="0.15">
      <c r="A847" s="21"/>
      <c r="B847" s="21"/>
      <c r="C847" s="21"/>
      <c r="D847" s="21"/>
      <c r="E847" s="1"/>
      <c r="F847" s="1"/>
      <c r="G847" s="1"/>
      <c r="H847" s="1"/>
      <c r="I847" s="1"/>
      <c r="J847" s="1"/>
      <c r="K847" s="1"/>
      <c r="L847" s="1"/>
      <c r="M847" s="1"/>
      <c r="N847" s="1"/>
      <c r="O847" s="1"/>
      <c r="P847" s="1"/>
      <c r="Q847" s="1"/>
      <c r="R847" s="1"/>
      <c r="S847" s="1"/>
      <c r="T847" s="1"/>
      <c r="U847" s="1"/>
      <c r="V847" s="1"/>
      <c r="W847" s="1"/>
      <c r="X847" s="1"/>
      <c r="Y847" s="1"/>
      <c r="Z847" s="1"/>
    </row>
    <row r="848" spans="1:26" ht="14" x14ac:dyDescent="0.15">
      <c r="A848" s="21"/>
      <c r="B848" s="21"/>
      <c r="C848" s="21"/>
      <c r="D848" s="21"/>
      <c r="E848" s="1"/>
      <c r="F848" s="1"/>
      <c r="G848" s="1"/>
      <c r="H848" s="1"/>
      <c r="I848" s="1"/>
      <c r="J848" s="1"/>
      <c r="K848" s="1"/>
      <c r="L848" s="1"/>
      <c r="M848" s="1"/>
      <c r="N848" s="1"/>
      <c r="O848" s="1"/>
      <c r="P848" s="1"/>
      <c r="Q848" s="1"/>
      <c r="R848" s="1"/>
      <c r="S848" s="1"/>
      <c r="T848" s="1"/>
      <c r="U848" s="1"/>
      <c r="V848" s="1"/>
      <c r="W848" s="1"/>
      <c r="X848" s="1"/>
      <c r="Y848" s="1"/>
      <c r="Z848" s="1"/>
    </row>
    <row r="849" spans="1:26" ht="14" x14ac:dyDescent="0.15">
      <c r="A849" s="21"/>
      <c r="B849" s="21"/>
      <c r="C849" s="21"/>
      <c r="D849" s="21"/>
      <c r="E849" s="1"/>
      <c r="F849" s="1"/>
      <c r="G849" s="1"/>
      <c r="H849" s="1"/>
      <c r="I849" s="1"/>
      <c r="J849" s="1"/>
      <c r="K849" s="1"/>
      <c r="L849" s="1"/>
      <c r="M849" s="1"/>
      <c r="N849" s="1"/>
      <c r="O849" s="1"/>
      <c r="P849" s="1"/>
      <c r="Q849" s="1"/>
      <c r="R849" s="1"/>
      <c r="S849" s="1"/>
      <c r="T849" s="1"/>
      <c r="U849" s="1"/>
      <c r="V849" s="1"/>
      <c r="W849" s="1"/>
      <c r="X849" s="1"/>
      <c r="Y849" s="1"/>
      <c r="Z849" s="1"/>
    </row>
    <row r="850" spans="1:26" ht="14" x14ac:dyDescent="0.15">
      <c r="A850" s="21"/>
      <c r="B850" s="21"/>
      <c r="C850" s="21"/>
      <c r="D850" s="21"/>
      <c r="E850" s="1"/>
      <c r="F850" s="1"/>
      <c r="G850" s="1"/>
      <c r="H850" s="1"/>
      <c r="I850" s="1"/>
      <c r="J850" s="1"/>
      <c r="K850" s="1"/>
      <c r="L850" s="1"/>
      <c r="M850" s="1"/>
      <c r="N850" s="1"/>
      <c r="O850" s="1"/>
      <c r="P850" s="1"/>
      <c r="Q850" s="1"/>
      <c r="R850" s="1"/>
      <c r="S850" s="1"/>
      <c r="T850" s="1"/>
      <c r="U850" s="1"/>
      <c r="V850" s="1"/>
      <c r="W850" s="1"/>
      <c r="X850" s="1"/>
      <c r="Y850" s="1"/>
      <c r="Z850" s="1"/>
    </row>
    <row r="851" spans="1:26" ht="14" x14ac:dyDescent="0.15">
      <c r="A851" s="21"/>
      <c r="B851" s="21"/>
      <c r="C851" s="21"/>
      <c r="D851" s="21"/>
      <c r="E851" s="1"/>
      <c r="F851" s="1"/>
      <c r="G851" s="1"/>
      <c r="H851" s="1"/>
      <c r="I851" s="1"/>
      <c r="J851" s="1"/>
      <c r="K851" s="1"/>
      <c r="L851" s="1"/>
      <c r="M851" s="1"/>
      <c r="N851" s="1"/>
      <c r="O851" s="1"/>
      <c r="P851" s="1"/>
      <c r="Q851" s="1"/>
      <c r="R851" s="1"/>
      <c r="S851" s="1"/>
      <c r="T851" s="1"/>
      <c r="U851" s="1"/>
      <c r="V851" s="1"/>
      <c r="W851" s="1"/>
      <c r="X851" s="1"/>
      <c r="Y851" s="1"/>
      <c r="Z851" s="1"/>
    </row>
    <row r="852" spans="1:26" ht="14" x14ac:dyDescent="0.15">
      <c r="A852" s="21"/>
      <c r="B852" s="21"/>
      <c r="C852" s="21"/>
      <c r="D852" s="21"/>
      <c r="E852" s="1"/>
      <c r="F852" s="1"/>
      <c r="G852" s="1"/>
      <c r="H852" s="1"/>
      <c r="I852" s="1"/>
      <c r="J852" s="1"/>
      <c r="K852" s="1"/>
      <c r="L852" s="1"/>
      <c r="M852" s="1"/>
      <c r="N852" s="1"/>
      <c r="O852" s="1"/>
      <c r="P852" s="1"/>
      <c r="Q852" s="1"/>
      <c r="R852" s="1"/>
      <c r="S852" s="1"/>
      <c r="T852" s="1"/>
      <c r="U852" s="1"/>
      <c r="V852" s="1"/>
      <c r="W852" s="1"/>
      <c r="X852" s="1"/>
      <c r="Y852" s="1"/>
      <c r="Z852" s="1"/>
    </row>
    <row r="853" spans="1:26" ht="14" x14ac:dyDescent="0.15">
      <c r="A853" s="21"/>
      <c r="B853" s="21"/>
      <c r="C853" s="21"/>
      <c r="D853" s="21"/>
      <c r="E853" s="1"/>
      <c r="F853" s="1"/>
      <c r="G853" s="1"/>
      <c r="H853" s="1"/>
      <c r="I853" s="1"/>
      <c r="J853" s="1"/>
      <c r="K853" s="1"/>
      <c r="L853" s="1"/>
      <c r="M853" s="1"/>
      <c r="N853" s="1"/>
      <c r="O853" s="1"/>
      <c r="P853" s="1"/>
      <c r="Q853" s="1"/>
      <c r="R853" s="1"/>
      <c r="S853" s="1"/>
      <c r="T853" s="1"/>
      <c r="U853" s="1"/>
      <c r="V853" s="1"/>
      <c r="W853" s="1"/>
      <c r="X853" s="1"/>
      <c r="Y853" s="1"/>
      <c r="Z853" s="1"/>
    </row>
    <row r="854" spans="1:26" ht="14" x14ac:dyDescent="0.15">
      <c r="A854" s="21"/>
      <c r="B854" s="21"/>
      <c r="C854" s="21"/>
      <c r="D854" s="21"/>
      <c r="E854" s="1"/>
      <c r="F854" s="1"/>
      <c r="G854" s="1"/>
      <c r="H854" s="1"/>
      <c r="I854" s="1"/>
      <c r="J854" s="1"/>
      <c r="K854" s="1"/>
      <c r="L854" s="1"/>
      <c r="M854" s="1"/>
      <c r="N854" s="1"/>
      <c r="O854" s="1"/>
      <c r="P854" s="1"/>
      <c r="Q854" s="1"/>
      <c r="R854" s="1"/>
      <c r="S854" s="1"/>
      <c r="T854" s="1"/>
      <c r="U854" s="1"/>
      <c r="V854" s="1"/>
      <c r="W854" s="1"/>
      <c r="X854" s="1"/>
      <c r="Y854" s="1"/>
      <c r="Z854" s="1"/>
    </row>
    <row r="855" spans="1:26" ht="14" x14ac:dyDescent="0.15">
      <c r="A855" s="21"/>
      <c r="B855" s="21"/>
      <c r="C855" s="21"/>
      <c r="D855" s="21"/>
      <c r="E855" s="1"/>
      <c r="F855" s="1"/>
      <c r="G855" s="1"/>
      <c r="H855" s="1"/>
      <c r="I855" s="1"/>
      <c r="J855" s="1"/>
      <c r="K855" s="1"/>
      <c r="L855" s="1"/>
      <c r="M855" s="1"/>
      <c r="N855" s="1"/>
      <c r="O855" s="1"/>
      <c r="P855" s="1"/>
      <c r="Q855" s="1"/>
      <c r="R855" s="1"/>
      <c r="S855" s="1"/>
      <c r="T855" s="1"/>
      <c r="U855" s="1"/>
      <c r="V855" s="1"/>
      <c r="W855" s="1"/>
      <c r="X855" s="1"/>
      <c r="Y855" s="1"/>
      <c r="Z855" s="1"/>
    </row>
    <row r="856" spans="1:26" ht="14" x14ac:dyDescent="0.15">
      <c r="A856" s="21"/>
      <c r="B856" s="21"/>
      <c r="C856" s="21"/>
      <c r="D856" s="21"/>
      <c r="E856" s="1"/>
      <c r="F856" s="1"/>
      <c r="G856" s="1"/>
      <c r="H856" s="1"/>
      <c r="I856" s="1"/>
      <c r="J856" s="1"/>
      <c r="K856" s="1"/>
      <c r="L856" s="1"/>
      <c r="M856" s="1"/>
      <c r="N856" s="1"/>
      <c r="O856" s="1"/>
      <c r="P856" s="1"/>
      <c r="Q856" s="1"/>
      <c r="R856" s="1"/>
      <c r="S856" s="1"/>
      <c r="T856" s="1"/>
      <c r="U856" s="1"/>
      <c r="V856" s="1"/>
      <c r="W856" s="1"/>
      <c r="X856" s="1"/>
      <c r="Y856" s="1"/>
      <c r="Z856" s="1"/>
    </row>
    <row r="857" spans="1:26" ht="14" x14ac:dyDescent="0.15">
      <c r="A857" s="21"/>
      <c r="B857" s="21"/>
      <c r="C857" s="21"/>
      <c r="D857" s="21"/>
      <c r="E857" s="1"/>
      <c r="F857" s="1"/>
      <c r="G857" s="1"/>
      <c r="H857" s="1"/>
      <c r="I857" s="1"/>
      <c r="J857" s="1"/>
      <c r="K857" s="1"/>
      <c r="L857" s="1"/>
      <c r="M857" s="1"/>
      <c r="N857" s="1"/>
      <c r="O857" s="1"/>
      <c r="P857" s="1"/>
      <c r="Q857" s="1"/>
      <c r="R857" s="1"/>
      <c r="S857" s="1"/>
      <c r="T857" s="1"/>
      <c r="U857" s="1"/>
      <c r="V857" s="1"/>
      <c r="W857" s="1"/>
      <c r="X857" s="1"/>
      <c r="Y857" s="1"/>
      <c r="Z857" s="1"/>
    </row>
    <row r="858" spans="1:26" ht="14" x14ac:dyDescent="0.15">
      <c r="A858" s="21"/>
      <c r="B858" s="21"/>
      <c r="C858" s="21"/>
      <c r="D858" s="21"/>
      <c r="E858" s="1"/>
      <c r="F858" s="1"/>
      <c r="G858" s="1"/>
      <c r="H858" s="1"/>
      <c r="I858" s="1"/>
      <c r="J858" s="1"/>
      <c r="K858" s="1"/>
      <c r="L858" s="1"/>
      <c r="M858" s="1"/>
      <c r="N858" s="1"/>
      <c r="O858" s="1"/>
      <c r="P858" s="1"/>
      <c r="Q858" s="1"/>
      <c r="R858" s="1"/>
      <c r="S858" s="1"/>
      <c r="T858" s="1"/>
      <c r="U858" s="1"/>
      <c r="V858" s="1"/>
      <c r="W858" s="1"/>
      <c r="X858" s="1"/>
      <c r="Y858" s="1"/>
      <c r="Z858" s="1"/>
    </row>
    <row r="859" spans="1:26" ht="14" x14ac:dyDescent="0.15">
      <c r="A859" s="21"/>
      <c r="B859" s="21"/>
      <c r="C859" s="21"/>
      <c r="D859" s="21"/>
      <c r="E859" s="1"/>
      <c r="F859" s="1"/>
      <c r="G859" s="1"/>
      <c r="H859" s="1"/>
      <c r="I859" s="1"/>
      <c r="J859" s="1"/>
      <c r="K859" s="1"/>
      <c r="L859" s="1"/>
      <c r="M859" s="1"/>
      <c r="N859" s="1"/>
      <c r="O859" s="1"/>
      <c r="P859" s="1"/>
      <c r="Q859" s="1"/>
      <c r="R859" s="1"/>
      <c r="S859" s="1"/>
      <c r="T859" s="1"/>
      <c r="U859" s="1"/>
      <c r="V859" s="1"/>
      <c r="W859" s="1"/>
      <c r="X859" s="1"/>
      <c r="Y859" s="1"/>
      <c r="Z859" s="1"/>
    </row>
    <row r="860" spans="1:26" ht="14" x14ac:dyDescent="0.15">
      <c r="A860" s="21"/>
      <c r="B860" s="21"/>
      <c r="C860" s="21"/>
      <c r="D860" s="21"/>
      <c r="E860" s="1"/>
      <c r="F860" s="1"/>
      <c r="G860" s="1"/>
      <c r="H860" s="1"/>
      <c r="I860" s="1"/>
      <c r="J860" s="1"/>
      <c r="K860" s="1"/>
      <c r="L860" s="1"/>
      <c r="M860" s="1"/>
      <c r="N860" s="1"/>
      <c r="O860" s="1"/>
      <c r="P860" s="1"/>
      <c r="Q860" s="1"/>
      <c r="R860" s="1"/>
      <c r="S860" s="1"/>
      <c r="T860" s="1"/>
      <c r="U860" s="1"/>
      <c r="V860" s="1"/>
      <c r="W860" s="1"/>
      <c r="X860" s="1"/>
      <c r="Y860" s="1"/>
      <c r="Z860" s="1"/>
    </row>
    <row r="861" spans="1:26" ht="14" x14ac:dyDescent="0.15">
      <c r="A861" s="21"/>
      <c r="B861" s="21"/>
      <c r="C861" s="21"/>
      <c r="D861" s="21"/>
      <c r="E861" s="1"/>
      <c r="F861" s="1"/>
      <c r="G861" s="1"/>
      <c r="H861" s="1"/>
      <c r="I861" s="1"/>
      <c r="J861" s="1"/>
      <c r="K861" s="1"/>
      <c r="L861" s="1"/>
      <c r="M861" s="1"/>
      <c r="N861" s="1"/>
      <c r="O861" s="1"/>
      <c r="P861" s="1"/>
      <c r="Q861" s="1"/>
      <c r="R861" s="1"/>
      <c r="S861" s="1"/>
      <c r="T861" s="1"/>
      <c r="U861" s="1"/>
      <c r="V861" s="1"/>
      <c r="W861" s="1"/>
      <c r="X861" s="1"/>
      <c r="Y861" s="1"/>
      <c r="Z861" s="1"/>
    </row>
    <row r="862" spans="1:26" ht="14" x14ac:dyDescent="0.15">
      <c r="A862" s="21"/>
      <c r="B862" s="21"/>
      <c r="C862" s="21"/>
      <c r="D862" s="21"/>
      <c r="E862" s="1"/>
      <c r="F862" s="1"/>
      <c r="G862" s="1"/>
      <c r="H862" s="1"/>
      <c r="I862" s="1"/>
      <c r="J862" s="1"/>
      <c r="K862" s="1"/>
      <c r="L862" s="1"/>
      <c r="M862" s="1"/>
      <c r="N862" s="1"/>
      <c r="O862" s="1"/>
      <c r="P862" s="1"/>
      <c r="Q862" s="1"/>
      <c r="R862" s="1"/>
      <c r="S862" s="1"/>
      <c r="T862" s="1"/>
      <c r="U862" s="1"/>
      <c r="V862" s="1"/>
      <c r="W862" s="1"/>
      <c r="X862" s="1"/>
      <c r="Y862" s="1"/>
      <c r="Z862" s="1"/>
    </row>
    <row r="863" spans="1:26" ht="14" x14ac:dyDescent="0.15">
      <c r="A863" s="21"/>
      <c r="B863" s="21"/>
      <c r="C863" s="21"/>
      <c r="D863" s="21"/>
      <c r="E863" s="1"/>
      <c r="F863" s="1"/>
      <c r="G863" s="1"/>
      <c r="H863" s="1"/>
      <c r="I863" s="1"/>
      <c r="J863" s="1"/>
      <c r="K863" s="1"/>
      <c r="L863" s="1"/>
      <c r="M863" s="1"/>
      <c r="N863" s="1"/>
      <c r="O863" s="1"/>
      <c r="P863" s="1"/>
      <c r="Q863" s="1"/>
      <c r="R863" s="1"/>
      <c r="S863" s="1"/>
      <c r="T863" s="1"/>
      <c r="U863" s="1"/>
      <c r="V863" s="1"/>
      <c r="W863" s="1"/>
      <c r="X863" s="1"/>
      <c r="Y863" s="1"/>
      <c r="Z863" s="1"/>
    </row>
    <row r="864" spans="1:26" ht="14" x14ac:dyDescent="0.15">
      <c r="A864" s="21"/>
      <c r="B864" s="21"/>
      <c r="C864" s="21"/>
      <c r="D864" s="21"/>
      <c r="E864" s="1"/>
      <c r="F864" s="1"/>
      <c r="G864" s="1"/>
      <c r="H864" s="1"/>
      <c r="I864" s="1"/>
      <c r="J864" s="1"/>
      <c r="K864" s="1"/>
      <c r="L864" s="1"/>
      <c r="M864" s="1"/>
      <c r="N864" s="1"/>
      <c r="O864" s="1"/>
      <c r="P864" s="1"/>
      <c r="Q864" s="1"/>
      <c r="R864" s="1"/>
      <c r="S864" s="1"/>
      <c r="T864" s="1"/>
      <c r="U864" s="1"/>
      <c r="V864" s="1"/>
      <c r="W864" s="1"/>
      <c r="X864" s="1"/>
      <c r="Y864" s="1"/>
      <c r="Z864" s="1"/>
    </row>
    <row r="865" spans="1:26" ht="14" x14ac:dyDescent="0.15">
      <c r="A865" s="21"/>
      <c r="B865" s="21"/>
      <c r="C865" s="21"/>
      <c r="D865" s="21"/>
      <c r="E865" s="1"/>
      <c r="F865" s="1"/>
      <c r="G865" s="1"/>
      <c r="H865" s="1"/>
      <c r="I865" s="1"/>
      <c r="J865" s="1"/>
      <c r="K865" s="1"/>
      <c r="L865" s="1"/>
      <c r="M865" s="1"/>
      <c r="N865" s="1"/>
      <c r="O865" s="1"/>
      <c r="P865" s="1"/>
      <c r="Q865" s="1"/>
      <c r="R865" s="1"/>
      <c r="S865" s="1"/>
      <c r="T865" s="1"/>
      <c r="U865" s="1"/>
      <c r="V865" s="1"/>
      <c r="W865" s="1"/>
      <c r="X865" s="1"/>
      <c r="Y865" s="1"/>
      <c r="Z865" s="1"/>
    </row>
    <row r="866" spans="1:26" ht="14" x14ac:dyDescent="0.15">
      <c r="A866" s="21"/>
      <c r="B866" s="21"/>
      <c r="C866" s="21"/>
      <c r="D866" s="21"/>
      <c r="E866" s="1"/>
      <c r="F866" s="1"/>
      <c r="G866" s="1"/>
      <c r="H866" s="1"/>
      <c r="I866" s="1"/>
      <c r="J866" s="1"/>
      <c r="K866" s="1"/>
      <c r="L866" s="1"/>
      <c r="M866" s="1"/>
      <c r="N866" s="1"/>
      <c r="O866" s="1"/>
      <c r="P866" s="1"/>
      <c r="Q866" s="1"/>
      <c r="R866" s="1"/>
      <c r="S866" s="1"/>
      <c r="T866" s="1"/>
      <c r="U866" s="1"/>
      <c r="V866" s="1"/>
      <c r="W866" s="1"/>
      <c r="X866" s="1"/>
      <c r="Y866" s="1"/>
      <c r="Z866" s="1"/>
    </row>
    <row r="867" spans="1:26" ht="14" x14ac:dyDescent="0.15">
      <c r="A867" s="21"/>
      <c r="B867" s="21"/>
      <c r="C867" s="21"/>
      <c r="D867" s="21"/>
      <c r="E867" s="1"/>
      <c r="F867" s="1"/>
      <c r="G867" s="1"/>
      <c r="H867" s="1"/>
      <c r="I867" s="1"/>
      <c r="J867" s="1"/>
      <c r="K867" s="1"/>
      <c r="L867" s="1"/>
      <c r="M867" s="1"/>
      <c r="N867" s="1"/>
      <c r="O867" s="1"/>
      <c r="P867" s="1"/>
      <c r="Q867" s="1"/>
      <c r="R867" s="1"/>
      <c r="S867" s="1"/>
      <c r="T867" s="1"/>
      <c r="U867" s="1"/>
      <c r="V867" s="1"/>
      <c r="W867" s="1"/>
      <c r="X867" s="1"/>
      <c r="Y867" s="1"/>
      <c r="Z867" s="1"/>
    </row>
    <row r="868" spans="1:26" ht="14" x14ac:dyDescent="0.15">
      <c r="A868" s="21"/>
      <c r="B868" s="21"/>
      <c r="C868" s="21"/>
      <c r="D868" s="21"/>
      <c r="E868" s="1"/>
      <c r="F868" s="1"/>
      <c r="G868" s="1"/>
      <c r="H868" s="1"/>
      <c r="I868" s="1"/>
      <c r="J868" s="1"/>
      <c r="K868" s="1"/>
      <c r="L868" s="1"/>
      <c r="M868" s="1"/>
      <c r="N868" s="1"/>
      <c r="O868" s="1"/>
      <c r="P868" s="1"/>
      <c r="Q868" s="1"/>
      <c r="R868" s="1"/>
      <c r="S868" s="1"/>
      <c r="T868" s="1"/>
      <c r="U868" s="1"/>
      <c r="V868" s="1"/>
      <c r="W868" s="1"/>
      <c r="X868" s="1"/>
      <c r="Y868" s="1"/>
      <c r="Z868" s="1"/>
    </row>
    <row r="869" spans="1:26" ht="14" x14ac:dyDescent="0.15">
      <c r="A869" s="21"/>
      <c r="B869" s="21"/>
      <c r="C869" s="21"/>
      <c r="D869" s="21"/>
      <c r="E869" s="1"/>
      <c r="F869" s="1"/>
      <c r="G869" s="1"/>
      <c r="H869" s="1"/>
      <c r="I869" s="1"/>
      <c r="J869" s="1"/>
      <c r="K869" s="1"/>
      <c r="L869" s="1"/>
      <c r="M869" s="1"/>
      <c r="N869" s="1"/>
      <c r="O869" s="1"/>
      <c r="P869" s="1"/>
      <c r="Q869" s="1"/>
      <c r="R869" s="1"/>
      <c r="S869" s="1"/>
      <c r="T869" s="1"/>
      <c r="U869" s="1"/>
      <c r="V869" s="1"/>
      <c r="W869" s="1"/>
      <c r="X869" s="1"/>
      <c r="Y869" s="1"/>
      <c r="Z869" s="1"/>
    </row>
    <row r="870" spans="1:26" ht="14" x14ac:dyDescent="0.15">
      <c r="A870" s="21"/>
      <c r="B870" s="21"/>
      <c r="C870" s="21"/>
      <c r="D870" s="21"/>
      <c r="E870" s="1"/>
      <c r="F870" s="1"/>
      <c r="G870" s="1"/>
      <c r="H870" s="1"/>
      <c r="I870" s="1"/>
      <c r="J870" s="1"/>
      <c r="K870" s="1"/>
      <c r="L870" s="1"/>
      <c r="M870" s="1"/>
      <c r="N870" s="1"/>
      <c r="O870" s="1"/>
      <c r="P870" s="1"/>
      <c r="Q870" s="1"/>
      <c r="R870" s="1"/>
      <c r="S870" s="1"/>
      <c r="T870" s="1"/>
      <c r="U870" s="1"/>
      <c r="V870" s="1"/>
      <c r="W870" s="1"/>
      <c r="X870" s="1"/>
      <c r="Y870" s="1"/>
      <c r="Z870" s="1"/>
    </row>
    <row r="871" spans="1:26" ht="14" x14ac:dyDescent="0.15">
      <c r="A871" s="21"/>
      <c r="B871" s="21"/>
      <c r="C871" s="21"/>
      <c r="D871" s="21"/>
      <c r="E871" s="1"/>
      <c r="F871" s="1"/>
      <c r="G871" s="1"/>
      <c r="H871" s="1"/>
      <c r="I871" s="1"/>
      <c r="J871" s="1"/>
      <c r="K871" s="1"/>
      <c r="L871" s="1"/>
      <c r="M871" s="1"/>
      <c r="N871" s="1"/>
      <c r="O871" s="1"/>
      <c r="P871" s="1"/>
      <c r="Q871" s="1"/>
      <c r="R871" s="1"/>
      <c r="S871" s="1"/>
      <c r="T871" s="1"/>
      <c r="U871" s="1"/>
      <c r="V871" s="1"/>
      <c r="W871" s="1"/>
      <c r="X871" s="1"/>
      <c r="Y871" s="1"/>
      <c r="Z871" s="1"/>
    </row>
    <row r="872" spans="1:26" ht="14" x14ac:dyDescent="0.15">
      <c r="A872" s="21"/>
      <c r="B872" s="21"/>
      <c r="C872" s="21"/>
      <c r="D872" s="21"/>
      <c r="E872" s="1"/>
      <c r="F872" s="1"/>
      <c r="G872" s="1"/>
      <c r="H872" s="1"/>
      <c r="I872" s="1"/>
      <c r="J872" s="1"/>
      <c r="K872" s="1"/>
      <c r="L872" s="1"/>
      <c r="M872" s="1"/>
      <c r="N872" s="1"/>
      <c r="O872" s="1"/>
      <c r="P872" s="1"/>
      <c r="Q872" s="1"/>
      <c r="R872" s="1"/>
      <c r="S872" s="1"/>
      <c r="T872" s="1"/>
      <c r="U872" s="1"/>
      <c r="V872" s="1"/>
      <c r="W872" s="1"/>
      <c r="X872" s="1"/>
      <c r="Y872" s="1"/>
      <c r="Z872" s="1"/>
    </row>
    <row r="873" spans="1:26" ht="14" x14ac:dyDescent="0.15">
      <c r="A873" s="21"/>
      <c r="B873" s="21"/>
      <c r="C873" s="21"/>
      <c r="D873" s="21"/>
      <c r="E873" s="1"/>
      <c r="F873" s="1"/>
      <c r="G873" s="1"/>
      <c r="H873" s="1"/>
      <c r="I873" s="1"/>
      <c r="J873" s="1"/>
      <c r="K873" s="1"/>
      <c r="L873" s="1"/>
      <c r="M873" s="1"/>
      <c r="N873" s="1"/>
      <c r="O873" s="1"/>
      <c r="P873" s="1"/>
      <c r="Q873" s="1"/>
      <c r="R873" s="1"/>
      <c r="S873" s="1"/>
      <c r="T873" s="1"/>
      <c r="U873" s="1"/>
      <c r="V873" s="1"/>
      <c r="W873" s="1"/>
      <c r="X873" s="1"/>
      <c r="Y873" s="1"/>
      <c r="Z873" s="1"/>
    </row>
    <row r="874" spans="1:26" ht="14" x14ac:dyDescent="0.15">
      <c r="A874" s="21"/>
      <c r="B874" s="21"/>
      <c r="C874" s="21"/>
      <c r="D874" s="21"/>
      <c r="E874" s="1"/>
      <c r="F874" s="1"/>
      <c r="G874" s="1"/>
      <c r="H874" s="1"/>
      <c r="I874" s="1"/>
      <c r="J874" s="1"/>
      <c r="K874" s="1"/>
      <c r="L874" s="1"/>
      <c r="M874" s="1"/>
      <c r="N874" s="1"/>
      <c r="O874" s="1"/>
      <c r="P874" s="1"/>
      <c r="Q874" s="1"/>
      <c r="R874" s="1"/>
      <c r="S874" s="1"/>
      <c r="T874" s="1"/>
      <c r="U874" s="1"/>
      <c r="V874" s="1"/>
      <c r="W874" s="1"/>
      <c r="X874" s="1"/>
      <c r="Y874" s="1"/>
      <c r="Z874" s="1"/>
    </row>
    <row r="875" spans="1:26" ht="14" x14ac:dyDescent="0.15">
      <c r="A875" s="21"/>
      <c r="B875" s="21"/>
      <c r="C875" s="21"/>
      <c r="D875" s="21"/>
      <c r="E875" s="1"/>
      <c r="F875" s="1"/>
      <c r="G875" s="1"/>
      <c r="H875" s="1"/>
      <c r="I875" s="1"/>
      <c r="J875" s="1"/>
      <c r="K875" s="1"/>
      <c r="L875" s="1"/>
      <c r="M875" s="1"/>
      <c r="N875" s="1"/>
      <c r="O875" s="1"/>
      <c r="P875" s="1"/>
      <c r="Q875" s="1"/>
      <c r="R875" s="1"/>
      <c r="S875" s="1"/>
      <c r="T875" s="1"/>
      <c r="U875" s="1"/>
      <c r="V875" s="1"/>
      <c r="W875" s="1"/>
      <c r="X875" s="1"/>
      <c r="Y875" s="1"/>
      <c r="Z875" s="1"/>
    </row>
    <row r="876" spans="1:26" ht="14" x14ac:dyDescent="0.15">
      <c r="A876" s="21"/>
      <c r="B876" s="21"/>
      <c r="C876" s="21"/>
      <c r="D876" s="21"/>
      <c r="E876" s="1"/>
      <c r="F876" s="1"/>
      <c r="G876" s="1"/>
      <c r="H876" s="1"/>
      <c r="I876" s="1"/>
      <c r="J876" s="1"/>
      <c r="K876" s="1"/>
      <c r="L876" s="1"/>
      <c r="M876" s="1"/>
      <c r="N876" s="1"/>
      <c r="O876" s="1"/>
      <c r="P876" s="1"/>
      <c r="Q876" s="1"/>
      <c r="R876" s="1"/>
      <c r="S876" s="1"/>
      <c r="T876" s="1"/>
      <c r="U876" s="1"/>
      <c r="V876" s="1"/>
      <c r="W876" s="1"/>
      <c r="X876" s="1"/>
      <c r="Y876" s="1"/>
      <c r="Z876" s="1"/>
    </row>
    <row r="877" spans="1:26" ht="14" x14ac:dyDescent="0.15">
      <c r="A877" s="21"/>
      <c r="B877" s="21"/>
      <c r="C877" s="21"/>
      <c r="D877" s="21"/>
      <c r="E877" s="1"/>
      <c r="F877" s="1"/>
      <c r="G877" s="1"/>
      <c r="H877" s="1"/>
      <c r="I877" s="1"/>
      <c r="J877" s="1"/>
      <c r="K877" s="1"/>
      <c r="L877" s="1"/>
      <c r="M877" s="1"/>
      <c r="N877" s="1"/>
      <c r="O877" s="1"/>
      <c r="P877" s="1"/>
      <c r="Q877" s="1"/>
      <c r="R877" s="1"/>
      <c r="S877" s="1"/>
      <c r="T877" s="1"/>
      <c r="U877" s="1"/>
      <c r="V877" s="1"/>
      <c r="W877" s="1"/>
      <c r="X877" s="1"/>
      <c r="Y877" s="1"/>
      <c r="Z877" s="1"/>
    </row>
    <row r="878" spans="1:26" ht="14" x14ac:dyDescent="0.15">
      <c r="A878" s="21"/>
      <c r="B878" s="21"/>
      <c r="C878" s="21"/>
      <c r="D878" s="21"/>
      <c r="E878" s="1"/>
      <c r="F878" s="1"/>
      <c r="G878" s="1"/>
      <c r="H878" s="1"/>
      <c r="I878" s="1"/>
      <c r="J878" s="1"/>
      <c r="K878" s="1"/>
      <c r="L878" s="1"/>
      <c r="M878" s="1"/>
      <c r="N878" s="1"/>
      <c r="O878" s="1"/>
      <c r="P878" s="1"/>
      <c r="Q878" s="1"/>
      <c r="R878" s="1"/>
      <c r="S878" s="1"/>
      <c r="T878" s="1"/>
      <c r="U878" s="1"/>
      <c r="V878" s="1"/>
      <c r="W878" s="1"/>
      <c r="X878" s="1"/>
      <c r="Y878" s="1"/>
      <c r="Z878" s="1"/>
    </row>
    <row r="879" spans="1:26" ht="14" x14ac:dyDescent="0.15">
      <c r="A879" s="21"/>
      <c r="B879" s="21"/>
      <c r="C879" s="21"/>
      <c r="D879" s="21"/>
      <c r="E879" s="1"/>
      <c r="F879" s="1"/>
      <c r="G879" s="1"/>
      <c r="H879" s="1"/>
      <c r="I879" s="1"/>
      <c r="J879" s="1"/>
      <c r="K879" s="1"/>
      <c r="L879" s="1"/>
      <c r="M879" s="1"/>
      <c r="N879" s="1"/>
      <c r="O879" s="1"/>
      <c r="P879" s="1"/>
      <c r="Q879" s="1"/>
      <c r="R879" s="1"/>
      <c r="S879" s="1"/>
      <c r="T879" s="1"/>
      <c r="U879" s="1"/>
      <c r="V879" s="1"/>
      <c r="W879" s="1"/>
      <c r="X879" s="1"/>
      <c r="Y879" s="1"/>
      <c r="Z879" s="1"/>
    </row>
    <row r="880" spans="1:26" ht="14" x14ac:dyDescent="0.15">
      <c r="A880" s="21"/>
      <c r="B880" s="21"/>
      <c r="C880" s="21"/>
      <c r="D880" s="21"/>
      <c r="E880" s="1"/>
      <c r="F880" s="1"/>
      <c r="G880" s="1"/>
      <c r="H880" s="1"/>
      <c r="I880" s="1"/>
      <c r="J880" s="1"/>
      <c r="K880" s="1"/>
      <c r="L880" s="1"/>
      <c r="M880" s="1"/>
      <c r="N880" s="1"/>
      <c r="O880" s="1"/>
      <c r="P880" s="1"/>
      <c r="Q880" s="1"/>
      <c r="R880" s="1"/>
      <c r="S880" s="1"/>
      <c r="T880" s="1"/>
      <c r="U880" s="1"/>
      <c r="V880" s="1"/>
      <c r="W880" s="1"/>
      <c r="X880" s="1"/>
      <c r="Y880" s="1"/>
      <c r="Z880" s="1"/>
    </row>
    <row r="881" spans="1:26" ht="14" x14ac:dyDescent="0.15">
      <c r="A881" s="21"/>
      <c r="B881" s="21"/>
      <c r="C881" s="21"/>
      <c r="D881" s="21"/>
      <c r="E881" s="1"/>
      <c r="F881" s="1"/>
      <c r="G881" s="1"/>
      <c r="H881" s="1"/>
      <c r="I881" s="1"/>
      <c r="J881" s="1"/>
      <c r="K881" s="1"/>
      <c r="L881" s="1"/>
      <c r="M881" s="1"/>
      <c r="N881" s="1"/>
      <c r="O881" s="1"/>
      <c r="P881" s="1"/>
      <c r="Q881" s="1"/>
      <c r="R881" s="1"/>
      <c r="S881" s="1"/>
      <c r="T881" s="1"/>
      <c r="U881" s="1"/>
      <c r="V881" s="1"/>
      <c r="W881" s="1"/>
      <c r="X881" s="1"/>
      <c r="Y881" s="1"/>
      <c r="Z881" s="1"/>
    </row>
    <row r="882" spans="1:26" ht="14" x14ac:dyDescent="0.15">
      <c r="A882" s="21"/>
      <c r="B882" s="21"/>
      <c r="C882" s="21"/>
      <c r="D882" s="21"/>
      <c r="E882" s="1"/>
      <c r="F882" s="1"/>
      <c r="G882" s="1"/>
      <c r="H882" s="1"/>
      <c r="I882" s="1"/>
      <c r="J882" s="1"/>
      <c r="K882" s="1"/>
      <c r="L882" s="1"/>
      <c r="M882" s="1"/>
      <c r="N882" s="1"/>
      <c r="O882" s="1"/>
      <c r="P882" s="1"/>
      <c r="Q882" s="1"/>
      <c r="R882" s="1"/>
      <c r="S882" s="1"/>
      <c r="T882" s="1"/>
      <c r="U882" s="1"/>
      <c r="V882" s="1"/>
      <c r="W882" s="1"/>
      <c r="X882" s="1"/>
      <c r="Y882" s="1"/>
      <c r="Z882" s="1"/>
    </row>
    <row r="883" spans="1:26" ht="14" x14ac:dyDescent="0.15">
      <c r="A883" s="21"/>
      <c r="B883" s="21"/>
      <c r="C883" s="21"/>
      <c r="D883" s="21"/>
      <c r="E883" s="1"/>
      <c r="F883" s="1"/>
      <c r="G883" s="1"/>
      <c r="H883" s="1"/>
      <c r="I883" s="1"/>
      <c r="J883" s="1"/>
      <c r="K883" s="1"/>
      <c r="L883" s="1"/>
      <c r="M883" s="1"/>
      <c r="N883" s="1"/>
      <c r="O883" s="1"/>
      <c r="P883" s="1"/>
      <c r="Q883" s="1"/>
      <c r="R883" s="1"/>
      <c r="S883" s="1"/>
      <c r="T883" s="1"/>
      <c r="U883" s="1"/>
      <c r="V883" s="1"/>
      <c r="W883" s="1"/>
      <c r="X883" s="1"/>
      <c r="Y883" s="1"/>
      <c r="Z883" s="1"/>
    </row>
    <row r="884" spans="1:26" ht="14" x14ac:dyDescent="0.15">
      <c r="A884" s="21"/>
      <c r="B884" s="21"/>
      <c r="C884" s="21"/>
      <c r="D884" s="21"/>
      <c r="E884" s="1"/>
      <c r="F884" s="1"/>
      <c r="G884" s="1"/>
      <c r="H884" s="1"/>
      <c r="I884" s="1"/>
      <c r="J884" s="1"/>
      <c r="K884" s="1"/>
      <c r="L884" s="1"/>
      <c r="M884" s="1"/>
      <c r="N884" s="1"/>
      <c r="O884" s="1"/>
      <c r="P884" s="1"/>
      <c r="Q884" s="1"/>
      <c r="R884" s="1"/>
      <c r="S884" s="1"/>
      <c r="T884" s="1"/>
      <c r="U884" s="1"/>
      <c r="V884" s="1"/>
      <c r="W884" s="1"/>
      <c r="X884" s="1"/>
      <c r="Y884" s="1"/>
      <c r="Z884" s="1"/>
    </row>
    <row r="885" spans="1:26" ht="14" x14ac:dyDescent="0.15">
      <c r="A885" s="21"/>
      <c r="B885" s="21"/>
      <c r="C885" s="21"/>
      <c r="D885" s="21"/>
      <c r="E885" s="1"/>
      <c r="F885" s="1"/>
      <c r="G885" s="1"/>
      <c r="H885" s="1"/>
      <c r="I885" s="1"/>
      <c r="J885" s="1"/>
      <c r="K885" s="1"/>
      <c r="L885" s="1"/>
      <c r="M885" s="1"/>
      <c r="N885" s="1"/>
      <c r="O885" s="1"/>
      <c r="P885" s="1"/>
      <c r="Q885" s="1"/>
      <c r="R885" s="1"/>
      <c r="S885" s="1"/>
      <c r="T885" s="1"/>
      <c r="U885" s="1"/>
      <c r="V885" s="1"/>
      <c r="W885" s="1"/>
      <c r="X885" s="1"/>
      <c r="Y885" s="1"/>
      <c r="Z885" s="1"/>
    </row>
    <row r="886" spans="1:26" ht="14" x14ac:dyDescent="0.15">
      <c r="A886" s="21"/>
      <c r="B886" s="21"/>
      <c r="C886" s="21"/>
      <c r="D886" s="21"/>
      <c r="E886" s="1"/>
      <c r="F886" s="1"/>
      <c r="G886" s="1"/>
      <c r="H886" s="1"/>
      <c r="I886" s="1"/>
      <c r="J886" s="1"/>
      <c r="K886" s="1"/>
      <c r="L886" s="1"/>
      <c r="M886" s="1"/>
      <c r="N886" s="1"/>
      <c r="O886" s="1"/>
      <c r="P886" s="1"/>
      <c r="Q886" s="1"/>
      <c r="R886" s="1"/>
      <c r="S886" s="1"/>
      <c r="T886" s="1"/>
      <c r="U886" s="1"/>
      <c r="V886" s="1"/>
      <c r="W886" s="1"/>
      <c r="X886" s="1"/>
      <c r="Y886" s="1"/>
      <c r="Z886" s="1"/>
    </row>
    <row r="887" spans="1:26" ht="14" x14ac:dyDescent="0.15">
      <c r="A887" s="21"/>
      <c r="B887" s="21"/>
      <c r="C887" s="21"/>
      <c r="D887" s="21"/>
      <c r="E887" s="1"/>
      <c r="F887" s="1"/>
      <c r="G887" s="1"/>
      <c r="H887" s="1"/>
      <c r="I887" s="1"/>
      <c r="J887" s="1"/>
      <c r="K887" s="1"/>
      <c r="L887" s="1"/>
      <c r="M887" s="1"/>
      <c r="N887" s="1"/>
      <c r="O887" s="1"/>
      <c r="P887" s="1"/>
      <c r="Q887" s="1"/>
      <c r="R887" s="1"/>
      <c r="S887" s="1"/>
      <c r="T887" s="1"/>
      <c r="U887" s="1"/>
      <c r="V887" s="1"/>
      <c r="W887" s="1"/>
      <c r="X887" s="1"/>
      <c r="Y887" s="1"/>
      <c r="Z887" s="1"/>
    </row>
    <row r="888" spans="1:26" ht="14" x14ac:dyDescent="0.15">
      <c r="A888" s="21"/>
      <c r="B888" s="21"/>
      <c r="C888" s="21"/>
      <c r="D888" s="21"/>
      <c r="E888" s="1"/>
      <c r="F888" s="1"/>
      <c r="G888" s="1"/>
      <c r="H888" s="1"/>
      <c r="I888" s="1"/>
      <c r="J888" s="1"/>
      <c r="K888" s="1"/>
      <c r="L888" s="1"/>
      <c r="M888" s="1"/>
      <c r="N888" s="1"/>
      <c r="O888" s="1"/>
      <c r="P888" s="1"/>
      <c r="Q888" s="1"/>
      <c r="R888" s="1"/>
      <c r="S888" s="1"/>
      <c r="T888" s="1"/>
      <c r="U888" s="1"/>
      <c r="V888" s="1"/>
      <c r="W888" s="1"/>
      <c r="X888" s="1"/>
      <c r="Y888" s="1"/>
      <c r="Z888" s="1"/>
    </row>
    <row r="889" spans="1:26" ht="14" x14ac:dyDescent="0.15">
      <c r="A889" s="21"/>
      <c r="B889" s="21"/>
      <c r="C889" s="21"/>
      <c r="D889" s="21"/>
      <c r="E889" s="1"/>
      <c r="F889" s="1"/>
      <c r="G889" s="1"/>
      <c r="H889" s="1"/>
      <c r="I889" s="1"/>
      <c r="J889" s="1"/>
      <c r="K889" s="1"/>
      <c r="L889" s="1"/>
      <c r="M889" s="1"/>
      <c r="N889" s="1"/>
      <c r="O889" s="1"/>
      <c r="P889" s="1"/>
      <c r="Q889" s="1"/>
      <c r="R889" s="1"/>
      <c r="S889" s="1"/>
      <c r="T889" s="1"/>
      <c r="U889" s="1"/>
      <c r="V889" s="1"/>
      <c r="W889" s="1"/>
      <c r="X889" s="1"/>
      <c r="Y889" s="1"/>
      <c r="Z889" s="1"/>
    </row>
    <row r="890" spans="1:26" ht="14" x14ac:dyDescent="0.15">
      <c r="A890" s="21"/>
      <c r="B890" s="21"/>
      <c r="C890" s="21"/>
      <c r="D890" s="21"/>
      <c r="E890" s="1"/>
      <c r="F890" s="1"/>
      <c r="G890" s="1"/>
      <c r="H890" s="1"/>
      <c r="I890" s="1"/>
      <c r="J890" s="1"/>
      <c r="K890" s="1"/>
      <c r="L890" s="1"/>
      <c r="M890" s="1"/>
      <c r="N890" s="1"/>
      <c r="O890" s="1"/>
      <c r="P890" s="1"/>
      <c r="Q890" s="1"/>
      <c r="R890" s="1"/>
      <c r="S890" s="1"/>
      <c r="T890" s="1"/>
      <c r="U890" s="1"/>
      <c r="V890" s="1"/>
      <c r="W890" s="1"/>
      <c r="X890" s="1"/>
      <c r="Y890" s="1"/>
      <c r="Z890" s="1"/>
    </row>
    <row r="891" spans="1:26" ht="14" x14ac:dyDescent="0.15">
      <c r="A891" s="21"/>
      <c r="B891" s="21"/>
      <c r="C891" s="21"/>
      <c r="D891" s="21"/>
      <c r="E891" s="1"/>
      <c r="F891" s="1"/>
      <c r="G891" s="1"/>
      <c r="H891" s="1"/>
      <c r="I891" s="1"/>
      <c r="J891" s="1"/>
      <c r="K891" s="1"/>
      <c r="L891" s="1"/>
      <c r="M891" s="1"/>
      <c r="N891" s="1"/>
      <c r="O891" s="1"/>
      <c r="P891" s="1"/>
      <c r="Q891" s="1"/>
      <c r="R891" s="1"/>
      <c r="S891" s="1"/>
      <c r="T891" s="1"/>
      <c r="U891" s="1"/>
      <c r="V891" s="1"/>
      <c r="W891" s="1"/>
      <c r="X891" s="1"/>
      <c r="Y891" s="1"/>
      <c r="Z891" s="1"/>
    </row>
    <row r="892" spans="1:26" ht="14" x14ac:dyDescent="0.15">
      <c r="A892" s="21"/>
      <c r="B892" s="21"/>
      <c r="C892" s="21"/>
      <c r="D892" s="21"/>
      <c r="E892" s="1"/>
      <c r="F892" s="1"/>
      <c r="G892" s="1"/>
      <c r="H892" s="1"/>
      <c r="I892" s="1"/>
      <c r="J892" s="1"/>
      <c r="K892" s="1"/>
      <c r="L892" s="1"/>
      <c r="M892" s="1"/>
      <c r="N892" s="1"/>
      <c r="O892" s="1"/>
      <c r="P892" s="1"/>
      <c r="Q892" s="1"/>
      <c r="R892" s="1"/>
      <c r="S892" s="1"/>
      <c r="T892" s="1"/>
      <c r="U892" s="1"/>
      <c r="V892" s="1"/>
      <c r="W892" s="1"/>
      <c r="X892" s="1"/>
      <c r="Y892" s="1"/>
      <c r="Z892" s="1"/>
    </row>
    <row r="893" spans="1:26" ht="14" x14ac:dyDescent="0.15">
      <c r="A893" s="21"/>
      <c r="B893" s="21"/>
      <c r="C893" s="21"/>
      <c r="D893" s="21"/>
      <c r="E893" s="1"/>
      <c r="F893" s="1"/>
      <c r="G893" s="1"/>
      <c r="H893" s="1"/>
      <c r="I893" s="1"/>
      <c r="J893" s="1"/>
      <c r="K893" s="1"/>
      <c r="L893" s="1"/>
      <c r="M893" s="1"/>
      <c r="N893" s="1"/>
      <c r="O893" s="1"/>
      <c r="P893" s="1"/>
      <c r="Q893" s="1"/>
      <c r="R893" s="1"/>
      <c r="S893" s="1"/>
      <c r="T893" s="1"/>
      <c r="U893" s="1"/>
      <c r="V893" s="1"/>
      <c r="W893" s="1"/>
      <c r="X893" s="1"/>
      <c r="Y893" s="1"/>
      <c r="Z893" s="1"/>
    </row>
    <row r="894" spans="1:26" ht="14" x14ac:dyDescent="0.15">
      <c r="A894" s="21"/>
      <c r="B894" s="21"/>
      <c r="C894" s="21"/>
      <c r="D894" s="21"/>
      <c r="E894" s="1"/>
      <c r="F894" s="1"/>
      <c r="G894" s="1"/>
      <c r="H894" s="1"/>
      <c r="I894" s="1"/>
      <c r="J894" s="1"/>
      <c r="K894" s="1"/>
      <c r="L894" s="1"/>
      <c r="M894" s="1"/>
      <c r="N894" s="1"/>
      <c r="O894" s="1"/>
      <c r="P894" s="1"/>
      <c r="Q894" s="1"/>
      <c r="R894" s="1"/>
      <c r="S894" s="1"/>
      <c r="T894" s="1"/>
      <c r="U894" s="1"/>
      <c r="V894" s="1"/>
      <c r="W894" s="1"/>
      <c r="X894" s="1"/>
      <c r="Y894" s="1"/>
      <c r="Z894" s="1"/>
    </row>
    <row r="895" spans="1:26" ht="14" x14ac:dyDescent="0.15">
      <c r="A895" s="21"/>
      <c r="B895" s="21"/>
      <c r="C895" s="21"/>
      <c r="D895" s="21"/>
      <c r="E895" s="1"/>
      <c r="F895" s="1"/>
      <c r="G895" s="1"/>
      <c r="H895" s="1"/>
      <c r="I895" s="1"/>
      <c r="J895" s="1"/>
      <c r="K895" s="1"/>
      <c r="L895" s="1"/>
      <c r="M895" s="1"/>
      <c r="N895" s="1"/>
      <c r="O895" s="1"/>
      <c r="P895" s="1"/>
      <c r="Q895" s="1"/>
      <c r="R895" s="1"/>
      <c r="S895" s="1"/>
      <c r="T895" s="1"/>
      <c r="U895" s="1"/>
      <c r="V895" s="1"/>
      <c r="W895" s="1"/>
      <c r="X895" s="1"/>
      <c r="Y895" s="1"/>
      <c r="Z895" s="1"/>
    </row>
    <row r="896" spans="1:26" ht="14" x14ac:dyDescent="0.15">
      <c r="A896" s="21"/>
      <c r="B896" s="21"/>
      <c r="C896" s="21"/>
      <c r="D896" s="21"/>
      <c r="E896" s="1"/>
      <c r="F896" s="1"/>
      <c r="G896" s="1"/>
      <c r="H896" s="1"/>
      <c r="I896" s="1"/>
      <c r="J896" s="1"/>
      <c r="K896" s="1"/>
      <c r="L896" s="1"/>
      <c r="M896" s="1"/>
      <c r="N896" s="1"/>
      <c r="O896" s="1"/>
      <c r="P896" s="1"/>
      <c r="Q896" s="1"/>
      <c r="R896" s="1"/>
      <c r="S896" s="1"/>
      <c r="T896" s="1"/>
      <c r="U896" s="1"/>
      <c r="V896" s="1"/>
      <c r="W896" s="1"/>
      <c r="X896" s="1"/>
      <c r="Y896" s="1"/>
      <c r="Z896" s="1"/>
    </row>
    <row r="897" spans="1:26" ht="14" x14ac:dyDescent="0.15">
      <c r="A897" s="21"/>
      <c r="B897" s="21"/>
      <c r="C897" s="21"/>
      <c r="D897" s="21"/>
      <c r="E897" s="1"/>
      <c r="F897" s="1"/>
      <c r="G897" s="1"/>
      <c r="H897" s="1"/>
      <c r="I897" s="1"/>
      <c r="J897" s="1"/>
      <c r="K897" s="1"/>
      <c r="L897" s="1"/>
      <c r="M897" s="1"/>
      <c r="N897" s="1"/>
      <c r="O897" s="1"/>
      <c r="P897" s="1"/>
      <c r="Q897" s="1"/>
      <c r="R897" s="1"/>
      <c r="S897" s="1"/>
      <c r="T897" s="1"/>
      <c r="U897" s="1"/>
      <c r="V897" s="1"/>
      <c r="W897" s="1"/>
      <c r="X897" s="1"/>
      <c r="Y897" s="1"/>
      <c r="Z897" s="1"/>
    </row>
    <row r="898" spans="1:26" ht="14" x14ac:dyDescent="0.15">
      <c r="A898" s="21"/>
      <c r="B898" s="21"/>
      <c r="C898" s="21"/>
      <c r="D898" s="21"/>
      <c r="E898" s="1"/>
      <c r="F898" s="1"/>
      <c r="G898" s="1"/>
      <c r="H898" s="1"/>
      <c r="I898" s="1"/>
      <c r="J898" s="1"/>
      <c r="K898" s="1"/>
      <c r="L898" s="1"/>
      <c r="M898" s="1"/>
      <c r="N898" s="1"/>
      <c r="O898" s="1"/>
      <c r="P898" s="1"/>
      <c r="Q898" s="1"/>
      <c r="R898" s="1"/>
      <c r="S898" s="1"/>
      <c r="T898" s="1"/>
      <c r="U898" s="1"/>
      <c r="V898" s="1"/>
      <c r="W898" s="1"/>
      <c r="X898" s="1"/>
      <c r="Y898" s="1"/>
      <c r="Z898" s="1"/>
    </row>
    <row r="899" spans="1:26" ht="14" x14ac:dyDescent="0.15">
      <c r="A899" s="21"/>
      <c r="B899" s="21"/>
      <c r="C899" s="21"/>
      <c r="D899" s="21"/>
      <c r="E899" s="1"/>
      <c r="F899" s="1"/>
      <c r="G899" s="1"/>
      <c r="H899" s="1"/>
      <c r="I899" s="1"/>
      <c r="J899" s="1"/>
      <c r="K899" s="1"/>
      <c r="L899" s="1"/>
      <c r="M899" s="1"/>
      <c r="N899" s="1"/>
      <c r="O899" s="1"/>
      <c r="P899" s="1"/>
      <c r="Q899" s="1"/>
      <c r="R899" s="1"/>
      <c r="S899" s="1"/>
      <c r="T899" s="1"/>
      <c r="U899" s="1"/>
      <c r="V899" s="1"/>
      <c r="W899" s="1"/>
      <c r="X899" s="1"/>
      <c r="Y899" s="1"/>
      <c r="Z899" s="1"/>
    </row>
    <row r="900" spans="1:26" ht="14" x14ac:dyDescent="0.15">
      <c r="A900" s="21"/>
      <c r="B900" s="21"/>
      <c r="C900" s="21"/>
      <c r="D900" s="21"/>
      <c r="E900" s="1"/>
      <c r="F900" s="1"/>
      <c r="G900" s="1"/>
      <c r="H900" s="1"/>
      <c r="I900" s="1"/>
      <c r="J900" s="1"/>
      <c r="K900" s="1"/>
      <c r="L900" s="1"/>
      <c r="M900" s="1"/>
      <c r="N900" s="1"/>
      <c r="O900" s="1"/>
      <c r="P900" s="1"/>
      <c r="Q900" s="1"/>
      <c r="R900" s="1"/>
      <c r="S900" s="1"/>
      <c r="T900" s="1"/>
      <c r="U900" s="1"/>
      <c r="V900" s="1"/>
      <c r="W900" s="1"/>
      <c r="X900" s="1"/>
      <c r="Y900" s="1"/>
      <c r="Z900" s="1"/>
    </row>
    <row r="901" spans="1:26" ht="14" x14ac:dyDescent="0.15">
      <c r="A901" s="21"/>
      <c r="B901" s="21"/>
      <c r="C901" s="21"/>
      <c r="D901" s="21"/>
      <c r="E901" s="1"/>
      <c r="F901" s="1"/>
      <c r="G901" s="1"/>
      <c r="H901" s="1"/>
      <c r="I901" s="1"/>
      <c r="J901" s="1"/>
      <c r="K901" s="1"/>
      <c r="L901" s="1"/>
      <c r="M901" s="1"/>
      <c r="N901" s="1"/>
      <c r="O901" s="1"/>
      <c r="P901" s="1"/>
      <c r="Q901" s="1"/>
      <c r="R901" s="1"/>
      <c r="S901" s="1"/>
      <c r="T901" s="1"/>
      <c r="U901" s="1"/>
      <c r="V901" s="1"/>
      <c r="W901" s="1"/>
      <c r="X901" s="1"/>
      <c r="Y901" s="1"/>
      <c r="Z901" s="1"/>
    </row>
    <row r="902" spans="1:26" ht="14" x14ac:dyDescent="0.15">
      <c r="A902" s="21"/>
      <c r="B902" s="21"/>
      <c r="C902" s="21"/>
      <c r="D902" s="21"/>
      <c r="E902" s="1"/>
      <c r="F902" s="1"/>
      <c r="G902" s="1"/>
      <c r="H902" s="1"/>
      <c r="I902" s="1"/>
      <c r="J902" s="1"/>
      <c r="K902" s="1"/>
      <c r="L902" s="1"/>
      <c r="M902" s="1"/>
      <c r="N902" s="1"/>
      <c r="O902" s="1"/>
      <c r="P902" s="1"/>
      <c r="Q902" s="1"/>
      <c r="R902" s="1"/>
      <c r="S902" s="1"/>
      <c r="T902" s="1"/>
      <c r="U902" s="1"/>
      <c r="V902" s="1"/>
      <c r="W902" s="1"/>
      <c r="X902" s="1"/>
      <c r="Y902" s="1"/>
      <c r="Z902" s="1"/>
    </row>
    <row r="903" spans="1:26" ht="14" x14ac:dyDescent="0.15">
      <c r="A903" s="21"/>
      <c r="B903" s="21"/>
      <c r="C903" s="21"/>
      <c r="D903" s="21"/>
      <c r="E903" s="1"/>
      <c r="F903" s="1"/>
      <c r="G903" s="1"/>
      <c r="H903" s="1"/>
      <c r="I903" s="1"/>
      <c r="J903" s="1"/>
      <c r="K903" s="1"/>
      <c r="L903" s="1"/>
      <c r="M903" s="1"/>
      <c r="N903" s="1"/>
      <c r="O903" s="1"/>
      <c r="P903" s="1"/>
      <c r="Q903" s="1"/>
      <c r="R903" s="1"/>
      <c r="S903" s="1"/>
      <c r="T903" s="1"/>
      <c r="U903" s="1"/>
      <c r="V903" s="1"/>
      <c r="W903" s="1"/>
      <c r="X903" s="1"/>
      <c r="Y903" s="1"/>
      <c r="Z903" s="1"/>
    </row>
    <row r="904" spans="1:26" ht="14" x14ac:dyDescent="0.15">
      <c r="A904" s="21"/>
      <c r="B904" s="21"/>
      <c r="C904" s="21"/>
      <c r="D904" s="21"/>
      <c r="E904" s="1"/>
      <c r="F904" s="1"/>
      <c r="G904" s="1"/>
      <c r="H904" s="1"/>
      <c r="I904" s="1"/>
      <c r="J904" s="1"/>
      <c r="K904" s="1"/>
      <c r="L904" s="1"/>
      <c r="M904" s="1"/>
      <c r="N904" s="1"/>
      <c r="O904" s="1"/>
      <c r="P904" s="1"/>
      <c r="Q904" s="1"/>
      <c r="R904" s="1"/>
      <c r="S904" s="1"/>
      <c r="T904" s="1"/>
      <c r="U904" s="1"/>
      <c r="V904" s="1"/>
      <c r="W904" s="1"/>
      <c r="X904" s="1"/>
      <c r="Y904" s="1"/>
      <c r="Z904" s="1"/>
    </row>
    <row r="905" spans="1:26" ht="14" x14ac:dyDescent="0.15">
      <c r="A905" s="21"/>
      <c r="B905" s="21"/>
      <c r="C905" s="21"/>
      <c r="D905" s="21"/>
      <c r="E905" s="1"/>
      <c r="F905" s="1"/>
      <c r="G905" s="1"/>
      <c r="H905" s="1"/>
      <c r="I905" s="1"/>
      <c r="J905" s="1"/>
      <c r="K905" s="1"/>
      <c r="L905" s="1"/>
      <c r="M905" s="1"/>
      <c r="N905" s="1"/>
      <c r="O905" s="1"/>
      <c r="P905" s="1"/>
      <c r="Q905" s="1"/>
      <c r="R905" s="1"/>
      <c r="S905" s="1"/>
      <c r="T905" s="1"/>
      <c r="U905" s="1"/>
      <c r="V905" s="1"/>
      <c r="W905" s="1"/>
      <c r="X905" s="1"/>
      <c r="Y905" s="1"/>
      <c r="Z90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Demographics - Data</vt:lpstr>
      <vt:lpstr>Demographics Analysis</vt:lpstr>
      <vt:lpstr>Guidelines - Data</vt:lpstr>
      <vt:lpstr>Guidelines Analysis - Quant</vt:lpstr>
      <vt:lpstr>Detailed Guidelines Analysis - </vt:lpstr>
      <vt:lpstr>Guidelines Analysis - Qual - Pr</vt:lpstr>
      <vt:lpstr>Guide. Analysis - Qual - Limita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Hashini Gunatilake</cp:lastModifiedBy>
  <dcterms:modified xsi:type="dcterms:W3CDTF">2025-12-03T15:12:32Z</dcterms:modified>
</cp:coreProperties>
</file>